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ne\Documents\FOLDER YUSUF\MOUNTHLY REPORT\CASHLESS\"/>
    </mc:Choice>
  </mc:AlternateContent>
  <bookViews>
    <workbookView xWindow="0" yWindow="0" windowWidth="21600" windowHeight="9735" activeTab="6"/>
  </bookViews>
  <sheets>
    <sheet name="Raw Data" sheetId="1" r:id="rId1"/>
    <sheet name="Dashboard" sheetId="2" r:id="rId2"/>
    <sheet name="Rekap User" sheetId="3" r:id="rId3"/>
    <sheet name="Rekap Service" sheetId="4" r:id="rId4"/>
    <sheet name="Rekap Marketplace" sheetId="5" r:id="rId5"/>
    <sheet name="_Cust_Helper" sheetId="6" state="hidden" r:id="rId6"/>
    <sheet name="Top Customer" sheetId="7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5" i="1" l="1"/>
  <c r="T675" i="1"/>
  <c r="U675" i="1" s="1"/>
  <c r="V675" i="1"/>
  <c r="X675" i="1"/>
  <c r="S676" i="1"/>
  <c r="T676" i="1"/>
  <c r="U676" i="1" s="1"/>
  <c r="V676" i="1"/>
  <c r="W676" i="1"/>
  <c r="X676" i="1"/>
  <c r="S677" i="1"/>
  <c r="T677" i="1"/>
  <c r="U677" i="1"/>
  <c r="V677" i="1"/>
  <c r="W677" i="1" s="1"/>
  <c r="X677" i="1"/>
  <c r="S678" i="1"/>
  <c r="T678" i="1"/>
  <c r="U678" i="1" s="1"/>
  <c r="V678" i="1"/>
  <c r="X678" i="1"/>
  <c r="S679" i="1"/>
  <c r="T679" i="1"/>
  <c r="U679" i="1" s="1"/>
  <c r="V679" i="1"/>
  <c r="W679" i="1" s="1"/>
  <c r="X679" i="1"/>
  <c r="S680" i="1"/>
  <c r="T680" i="1"/>
  <c r="U680" i="1" s="1"/>
  <c r="V680" i="1"/>
  <c r="X680" i="1"/>
  <c r="S681" i="1"/>
  <c r="T681" i="1"/>
  <c r="U681" i="1" s="1"/>
  <c r="V681" i="1"/>
  <c r="X681" i="1"/>
  <c r="S682" i="1"/>
  <c r="T682" i="1"/>
  <c r="U682" i="1" s="1"/>
  <c r="V682" i="1"/>
  <c r="W682" i="1" s="1"/>
  <c r="X682" i="1"/>
  <c r="S683" i="1"/>
  <c r="T683" i="1"/>
  <c r="U683" i="1" s="1"/>
  <c r="V683" i="1"/>
  <c r="X683" i="1"/>
  <c r="S684" i="1"/>
  <c r="T684" i="1"/>
  <c r="U684" i="1" s="1"/>
  <c r="V684" i="1"/>
  <c r="W684" i="1" s="1"/>
  <c r="X684" i="1"/>
  <c r="S685" i="1"/>
  <c r="T685" i="1"/>
  <c r="U685" i="1" s="1"/>
  <c r="V685" i="1"/>
  <c r="W685" i="1" s="1"/>
  <c r="X685" i="1"/>
  <c r="S686" i="1"/>
  <c r="T686" i="1"/>
  <c r="U686" i="1" s="1"/>
  <c r="V686" i="1"/>
  <c r="W686" i="1" s="1"/>
  <c r="X686" i="1"/>
  <c r="S687" i="1"/>
  <c r="T687" i="1"/>
  <c r="U687" i="1" s="1"/>
  <c r="V687" i="1"/>
  <c r="W687" i="1" s="1"/>
  <c r="X687" i="1"/>
  <c r="S688" i="1"/>
  <c r="T688" i="1"/>
  <c r="U688" i="1" s="1"/>
  <c r="V688" i="1"/>
  <c r="X688" i="1"/>
  <c r="S689" i="1"/>
  <c r="T689" i="1"/>
  <c r="U689" i="1" s="1"/>
  <c r="V689" i="1"/>
  <c r="W689" i="1" s="1"/>
  <c r="X689" i="1"/>
  <c r="S690" i="1"/>
  <c r="T690" i="1"/>
  <c r="U690" i="1" s="1"/>
  <c r="V690" i="1"/>
  <c r="W690" i="1" s="1"/>
  <c r="X690" i="1"/>
  <c r="S691" i="1"/>
  <c r="T691" i="1"/>
  <c r="U691" i="1" s="1"/>
  <c r="V691" i="1"/>
  <c r="W691" i="1" s="1"/>
  <c r="X691" i="1"/>
  <c r="S692" i="1"/>
  <c r="T692" i="1"/>
  <c r="U692" i="1" s="1"/>
  <c r="V692" i="1"/>
  <c r="W692" i="1" s="1"/>
  <c r="X692" i="1"/>
  <c r="S693" i="1"/>
  <c r="T693" i="1"/>
  <c r="U693" i="1" s="1"/>
  <c r="V693" i="1"/>
  <c r="W693" i="1" s="1"/>
  <c r="X693" i="1"/>
  <c r="S694" i="1"/>
  <c r="T694" i="1"/>
  <c r="U694" i="1" s="1"/>
  <c r="V694" i="1"/>
  <c r="W694" i="1" s="1"/>
  <c r="X694" i="1"/>
  <c r="S695" i="1"/>
  <c r="T695" i="1"/>
  <c r="U695" i="1" s="1"/>
  <c r="V695" i="1"/>
  <c r="W695" i="1" s="1"/>
  <c r="X695" i="1"/>
  <c r="S696" i="1"/>
  <c r="T696" i="1"/>
  <c r="U696" i="1" s="1"/>
  <c r="V696" i="1"/>
  <c r="W696" i="1" s="1"/>
  <c r="X696" i="1"/>
  <c r="W678" i="1" l="1"/>
  <c r="A2" i="7"/>
  <c r="A2" i="2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G5" i="2"/>
  <c r="X674" i="1"/>
  <c r="V674" i="1"/>
  <c r="T674" i="1"/>
  <c r="U674" i="1" s="1"/>
  <c r="S674" i="1"/>
  <c r="X673" i="1"/>
  <c r="V673" i="1"/>
  <c r="T673" i="1"/>
  <c r="U673" i="1" s="1"/>
  <c r="S673" i="1"/>
  <c r="X672" i="1"/>
  <c r="V672" i="1"/>
  <c r="W672" i="1" s="1"/>
  <c r="T672" i="1"/>
  <c r="U672" i="1" s="1"/>
  <c r="S672" i="1"/>
  <c r="X671" i="1"/>
  <c r="V671" i="1"/>
  <c r="W671" i="1" s="1"/>
  <c r="T671" i="1"/>
  <c r="U671" i="1" s="1"/>
  <c r="S671" i="1"/>
  <c r="X670" i="1"/>
  <c r="V670" i="1"/>
  <c r="W670" i="1" s="1"/>
  <c r="T670" i="1"/>
  <c r="U670" i="1" s="1"/>
  <c r="S670" i="1"/>
  <c r="X669" i="1"/>
  <c r="V669" i="1"/>
  <c r="T669" i="1"/>
  <c r="U669" i="1" s="1"/>
  <c r="S669" i="1"/>
  <c r="X668" i="1"/>
  <c r="V668" i="1"/>
  <c r="W668" i="1" s="1"/>
  <c r="T668" i="1"/>
  <c r="U668" i="1" s="1"/>
  <c r="S668" i="1"/>
  <c r="X667" i="1"/>
  <c r="V667" i="1"/>
  <c r="T667" i="1"/>
  <c r="U667" i="1" s="1"/>
  <c r="S667" i="1"/>
  <c r="X666" i="1"/>
  <c r="V666" i="1"/>
  <c r="W666" i="1" s="1"/>
  <c r="T666" i="1"/>
  <c r="U666" i="1" s="1"/>
  <c r="S666" i="1"/>
  <c r="X665" i="1"/>
  <c r="V665" i="1"/>
  <c r="W665" i="1" s="1"/>
  <c r="T665" i="1"/>
  <c r="U665" i="1" s="1"/>
  <c r="S665" i="1"/>
  <c r="X664" i="1"/>
  <c r="V664" i="1"/>
  <c r="T664" i="1"/>
  <c r="U664" i="1" s="1"/>
  <c r="S664" i="1"/>
  <c r="X663" i="1"/>
  <c r="V663" i="1"/>
  <c r="T663" i="1"/>
  <c r="U663" i="1" s="1"/>
  <c r="S663" i="1"/>
  <c r="X662" i="1"/>
  <c r="V662" i="1"/>
  <c r="W662" i="1" s="1"/>
  <c r="T662" i="1"/>
  <c r="U662" i="1" s="1"/>
  <c r="S662" i="1"/>
  <c r="X661" i="1"/>
  <c r="V661" i="1"/>
  <c r="W661" i="1" s="1"/>
  <c r="T661" i="1"/>
  <c r="U661" i="1" s="1"/>
  <c r="S661" i="1"/>
  <c r="X660" i="1"/>
  <c r="V660" i="1"/>
  <c r="T660" i="1"/>
  <c r="U660" i="1" s="1"/>
  <c r="S660" i="1"/>
  <c r="X659" i="1"/>
  <c r="V659" i="1"/>
  <c r="T659" i="1"/>
  <c r="U659" i="1" s="1"/>
  <c r="S659" i="1"/>
  <c r="X658" i="1"/>
  <c r="V658" i="1"/>
  <c r="T658" i="1"/>
  <c r="U658" i="1" s="1"/>
  <c r="S658" i="1"/>
  <c r="X657" i="1"/>
  <c r="V657" i="1"/>
  <c r="T657" i="1"/>
  <c r="U657" i="1" s="1"/>
  <c r="S657" i="1"/>
  <c r="X656" i="1"/>
  <c r="V656" i="1"/>
  <c r="W656" i="1" s="1"/>
  <c r="T656" i="1"/>
  <c r="U656" i="1" s="1"/>
  <c r="S656" i="1"/>
  <c r="X655" i="1"/>
  <c r="V655" i="1"/>
  <c r="T655" i="1"/>
  <c r="U655" i="1" s="1"/>
  <c r="S655" i="1"/>
  <c r="X654" i="1"/>
  <c r="V654" i="1"/>
  <c r="T654" i="1"/>
  <c r="U654" i="1" s="1"/>
  <c r="S654" i="1"/>
  <c r="X653" i="1"/>
  <c r="V653" i="1"/>
  <c r="W653" i="1" s="1"/>
  <c r="T653" i="1"/>
  <c r="U653" i="1" s="1"/>
  <c r="S653" i="1"/>
  <c r="X652" i="1"/>
  <c r="V652" i="1"/>
  <c r="T652" i="1"/>
  <c r="U652" i="1" s="1"/>
  <c r="S652" i="1"/>
  <c r="X651" i="1"/>
  <c r="V651" i="1"/>
  <c r="T651" i="1"/>
  <c r="U651" i="1" s="1"/>
  <c r="S651" i="1"/>
  <c r="X650" i="1"/>
  <c r="V650" i="1"/>
  <c r="T650" i="1"/>
  <c r="U650" i="1" s="1"/>
  <c r="S650" i="1"/>
  <c r="X649" i="1"/>
  <c r="V649" i="1"/>
  <c r="T649" i="1"/>
  <c r="U649" i="1" s="1"/>
  <c r="S649" i="1"/>
  <c r="X648" i="1"/>
  <c r="V648" i="1"/>
  <c r="W648" i="1" s="1"/>
  <c r="T648" i="1"/>
  <c r="U648" i="1" s="1"/>
  <c r="S648" i="1"/>
  <c r="X647" i="1"/>
  <c r="V647" i="1"/>
  <c r="W647" i="1" s="1"/>
  <c r="T647" i="1"/>
  <c r="U647" i="1" s="1"/>
  <c r="S647" i="1"/>
  <c r="X646" i="1"/>
  <c r="V646" i="1"/>
  <c r="W646" i="1" s="1"/>
  <c r="T646" i="1"/>
  <c r="U646" i="1" s="1"/>
  <c r="S646" i="1"/>
  <c r="X645" i="1"/>
  <c r="V645" i="1"/>
  <c r="T645" i="1"/>
  <c r="U645" i="1" s="1"/>
  <c r="S645" i="1"/>
  <c r="X644" i="1"/>
  <c r="V644" i="1"/>
  <c r="W644" i="1" s="1"/>
  <c r="T644" i="1"/>
  <c r="U644" i="1" s="1"/>
  <c r="S644" i="1"/>
  <c r="X643" i="1"/>
  <c r="V643" i="1"/>
  <c r="W643" i="1" s="1"/>
  <c r="T643" i="1"/>
  <c r="U643" i="1" s="1"/>
  <c r="S643" i="1"/>
  <c r="X642" i="1"/>
  <c r="V642" i="1"/>
  <c r="W642" i="1" s="1"/>
  <c r="T642" i="1"/>
  <c r="U642" i="1" s="1"/>
  <c r="S642" i="1"/>
  <c r="X641" i="1"/>
  <c r="V641" i="1"/>
  <c r="T641" i="1"/>
  <c r="U641" i="1" s="1"/>
  <c r="S641" i="1"/>
  <c r="X640" i="1"/>
  <c r="V640" i="1"/>
  <c r="T640" i="1"/>
  <c r="U640" i="1" s="1"/>
  <c r="S640" i="1"/>
  <c r="X639" i="1"/>
  <c r="V639" i="1"/>
  <c r="T639" i="1"/>
  <c r="U639" i="1" s="1"/>
  <c r="S639" i="1"/>
  <c r="X638" i="1"/>
  <c r="V638" i="1"/>
  <c r="T638" i="1"/>
  <c r="U638" i="1" s="1"/>
  <c r="S638" i="1"/>
  <c r="X637" i="1"/>
  <c r="V637" i="1"/>
  <c r="T637" i="1"/>
  <c r="U637" i="1" s="1"/>
  <c r="S637" i="1"/>
  <c r="X636" i="1"/>
  <c r="V636" i="1"/>
  <c r="T636" i="1"/>
  <c r="U636" i="1" s="1"/>
  <c r="S636" i="1"/>
  <c r="X635" i="1"/>
  <c r="V635" i="1"/>
  <c r="W635" i="1" s="1"/>
  <c r="T635" i="1"/>
  <c r="U635" i="1" s="1"/>
  <c r="S635" i="1"/>
  <c r="X634" i="1"/>
  <c r="V634" i="1"/>
  <c r="T634" i="1"/>
  <c r="U634" i="1" s="1"/>
  <c r="S634" i="1"/>
  <c r="X633" i="1"/>
  <c r="V633" i="1"/>
  <c r="T633" i="1"/>
  <c r="U633" i="1" s="1"/>
  <c r="S633" i="1"/>
  <c r="X632" i="1"/>
  <c r="V632" i="1"/>
  <c r="T632" i="1"/>
  <c r="U632" i="1" s="1"/>
  <c r="S632" i="1"/>
  <c r="X631" i="1"/>
  <c r="V631" i="1"/>
  <c r="W631" i="1" s="1"/>
  <c r="T631" i="1"/>
  <c r="U631" i="1" s="1"/>
  <c r="S631" i="1"/>
  <c r="X630" i="1"/>
  <c r="V630" i="1"/>
  <c r="T630" i="1"/>
  <c r="U630" i="1" s="1"/>
  <c r="S630" i="1"/>
  <c r="X629" i="1"/>
  <c r="V629" i="1"/>
  <c r="W629" i="1" s="1"/>
  <c r="T629" i="1"/>
  <c r="U629" i="1" s="1"/>
  <c r="S629" i="1"/>
  <c r="X628" i="1"/>
  <c r="V628" i="1"/>
  <c r="W628" i="1" s="1"/>
  <c r="T628" i="1"/>
  <c r="U628" i="1" s="1"/>
  <c r="S628" i="1"/>
  <c r="X627" i="1"/>
  <c r="V627" i="1"/>
  <c r="T627" i="1"/>
  <c r="U627" i="1" s="1"/>
  <c r="S627" i="1"/>
  <c r="X626" i="1"/>
  <c r="V626" i="1"/>
  <c r="T626" i="1"/>
  <c r="U626" i="1" s="1"/>
  <c r="S626" i="1"/>
  <c r="X625" i="1"/>
  <c r="V625" i="1"/>
  <c r="W625" i="1" s="1"/>
  <c r="T625" i="1"/>
  <c r="U625" i="1" s="1"/>
  <c r="S625" i="1"/>
  <c r="X624" i="1"/>
  <c r="V624" i="1"/>
  <c r="T624" i="1"/>
  <c r="U624" i="1" s="1"/>
  <c r="S624" i="1"/>
  <c r="X623" i="1"/>
  <c r="V623" i="1"/>
  <c r="T623" i="1"/>
  <c r="U623" i="1" s="1"/>
  <c r="S623" i="1"/>
  <c r="X622" i="1"/>
  <c r="V622" i="1"/>
  <c r="W622" i="1" s="1"/>
  <c r="T622" i="1"/>
  <c r="U622" i="1" s="1"/>
  <c r="S622" i="1"/>
  <c r="X621" i="1"/>
  <c r="V621" i="1"/>
  <c r="T621" i="1"/>
  <c r="U621" i="1" s="1"/>
  <c r="S621" i="1"/>
  <c r="X620" i="1"/>
  <c r="V620" i="1"/>
  <c r="W620" i="1" s="1"/>
  <c r="T620" i="1"/>
  <c r="U620" i="1" s="1"/>
  <c r="S620" i="1"/>
  <c r="X619" i="1"/>
  <c r="V619" i="1"/>
  <c r="T619" i="1"/>
  <c r="U619" i="1" s="1"/>
  <c r="S619" i="1"/>
  <c r="X618" i="1"/>
  <c r="V618" i="1"/>
  <c r="T618" i="1"/>
  <c r="U618" i="1" s="1"/>
  <c r="S618" i="1"/>
  <c r="X617" i="1"/>
  <c r="V617" i="1"/>
  <c r="T617" i="1"/>
  <c r="U617" i="1" s="1"/>
  <c r="S617" i="1"/>
  <c r="X616" i="1"/>
  <c r="V616" i="1"/>
  <c r="W616" i="1" s="1"/>
  <c r="T616" i="1"/>
  <c r="U616" i="1" s="1"/>
  <c r="S616" i="1"/>
  <c r="X615" i="1"/>
  <c r="V615" i="1"/>
  <c r="W615" i="1" s="1"/>
  <c r="T615" i="1"/>
  <c r="U615" i="1" s="1"/>
  <c r="S615" i="1"/>
  <c r="X614" i="1"/>
  <c r="V614" i="1"/>
  <c r="W614" i="1" s="1"/>
  <c r="T614" i="1"/>
  <c r="U614" i="1" s="1"/>
  <c r="S614" i="1"/>
  <c r="X613" i="1"/>
  <c r="V613" i="1"/>
  <c r="W613" i="1" s="1"/>
  <c r="T613" i="1"/>
  <c r="U613" i="1" s="1"/>
  <c r="S613" i="1"/>
  <c r="X612" i="1"/>
  <c r="V612" i="1"/>
  <c r="W612" i="1" s="1"/>
  <c r="T612" i="1"/>
  <c r="U612" i="1" s="1"/>
  <c r="S612" i="1"/>
  <c r="X611" i="1"/>
  <c r="V611" i="1"/>
  <c r="W611" i="1" s="1"/>
  <c r="T611" i="1"/>
  <c r="U611" i="1" s="1"/>
  <c r="S611" i="1"/>
  <c r="X610" i="1"/>
  <c r="V610" i="1"/>
  <c r="W610" i="1" s="1"/>
  <c r="T610" i="1"/>
  <c r="U610" i="1" s="1"/>
  <c r="S610" i="1"/>
  <c r="X609" i="1"/>
  <c r="V609" i="1"/>
  <c r="W609" i="1" s="1"/>
  <c r="T609" i="1"/>
  <c r="U609" i="1" s="1"/>
  <c r="S609" i="1"/>
  <c r="X608" i="1"/>
  <c r="V608" i="1"/>
  <c r="T608" i="1"/>
  <c r="U608" i="1" s="1"/>
  <c r="S608" i="1"/>
  <c r="X607" i="1"/>
  <c r="V607" i="1"/>
  <c r="U607" i="1"/>
  <c r="T607" i="1"/>
  <c r="S607" i="1"/>
  <c r="X606" i="1"/>
  <c r="V606" i="1"/>
  <c r="T606" i="1"/>
  <c r="U606" i="1" s="1"/>
  <c r="S606" i="1"/>
  <c r="X605" i="1"/>
  <c r="V605" i="1"/>
  <c r="T605" i="1"/>
  <c r="U605" i="1" s="1"/>
  <c r="S605" i="1"/>
  <c r="X604" i="1"/>
  <c r="V604" i="1"/>
  <c r="W604" i="1" s="1"/>
  <c r="T604" i="1"/>
  <c r="U604" i="1" s="1"/>
  <c r="S604" i="1"/>
  <c r="X603" i="1"/>
  <c r="V603" i="1"/>
  <c r="T603" i="1"/>
  <c r="U603" i="1" s="1"/>
  <c r="S603" i="1"/>
  <c r="X602" i="1"/>
  <c r="V602" i="1"/>
  <c r="W602" i="1" s="1"/>
  <c r="T602" i="1"/>
  <c r="U602" i="1" s="1"/>
  <c r="S602" i="1"/>
  <c r="X601" i="1"/>
  <c r="V601" i="1"/>
  <c r="T601" i="1"/>
  <c r="U601" i="1" s="1"/>
  <c r="S601" i="1"/>
  <c r="X600" i="1"/>
  <c r="V600" i="1"/>
  <c r="W600" i="1" s="1"/>
  <c r="T600" i="1"/>
  <c r="U600" i="1" s="1"/>
  <c r="S600" i="1"/>
  <c r="X599" i="1"/>
  <c r="V599" i="1"/>
  <c r="T599" i="1"/>
  <c r="U599" i="1" s="1"/>
  <c r="S599" i="1"/>
  <c r="X598" i="1"/>
  <c r="V598" i="1"/>
  <c r="T598" i="1"/>
  <c r="U598" i="1" s="1"/>
  <c r="S598" i="1"/>
  <c r="X597" i="1"/>
  <c r="V597" i="1"/>
  <c r="W597" i="1" s="1"/>
  <c r="T597" i="1"/>
  <c r="U597" i="1" s="1"/>
  <c r="S597" i="1"/>
  <c r="X596" i="1"/>
  <c r="V596" i="1"/>
  <c r="T596" i="1"/>
  <c r="U596" i="1" s="1"/>
  <c r="S596" i="1"/>
  <c r="X595" i="1"/>
  <c r="V595" i="1"/>
  <c r="T595" i="1"/>
  <c r="U595" i="1" s="1"/>
  <c r="S595" i="1"/>
  <c r="X594" i="1"/>
  <c r="V594" i="1"/>
  <c r="T594" i="1"/>
  <c r="U594" i="1" s="1"/>
  <c r="S594" i="1"/>
  <c r="X593" i="1"/>
  <c r="V593" i="1"/>
  <c r="T593" i="1"/>
  <c r="U593" i="1" s="1"/>
  <c r="S593" i="1"/>
  <c r="X592" i="1"/>
  <c r="V592" i="1"/>
  <c r="T592" i="1"/>
  <c r="U592" i="1" s="1"/>
  <c r="S592" i="1"/>
  <c r="X591" i="1"/>
  <c r="V591" i="1"/>
  <c r="T591" i="1"/>
  <c r="U591" i="1" s="1"/>
  <c r="S591" i="1"/>
  <c r="X590" i="1"/>
  <c r="V590" i="1"/>
  <c r="T590" i="1"/>
  <c r="U590" i="1" s="1"/>
  <c r="S590" i="1"/>
  <c r="X589" i="1"/>
  <c r="V589" i="1"/>
  <c r="T589" i="1"/>
  <c r="U589" i="1" s="1"/>
  <c r="S589" i="1"/>
  <c r="X588" i="1"/>
  <c r="V588" i="1"/>
  <c r="W588" i="1" s="1"/>
  <c r="T588" i="1"/>
  <c r="U588" i="1" s="1"/>
  <c r="S588" i="1"/>
  <c r="X587" i="1"/>
  <c r="V587" i="1"/>
  <c r="T587" i="1"/>
  <c r="U587" i="1" s="1"/>
  <c r="S587" i="1"/>
  <c r="X586" i="1"/>
  <c r="V586" i="1"/>
  <c r="T586" i="1"/>
  <c r="U586" i="1" s="1"/>
  <c r="S586" i="1"/>
  <c r="X585" i="1"/>
  <c r="V585" i="1"/>
  <c r="T585" i="1"/>
  <c r="U585" i="1" s="1"/>
  <c r="S585" i="1"/>
  <c r="X584" i="1"/>
  <c r="V584" i="1"/>
  <c r="T584" i="1"/>
  <c r="U584" i="1" s="1"/>
  <c r="S584" i="1"/>
  <c r="X583" i="1"/>
  <c r="V583" i="1"/>
  <c r="T583" i="1"/>
  <c r="U583" i="1" s="1"/>
  <c r="S583" i="1"/>
  <c r="X582" i="1"/>
  <c r="V582" i="1"/>
  <c r="W582" i="1" s="1"/>
  <c r="T582" i="1"/>
  <c r="U582" i="1" s="1"/>
  <c r="S582" i="1"/>
  <c r="X581" i="1"/>
  <c r="V581" i="1"/>
  <c r="T581" i="1"/>
  <c r="U581" i="1" s="1"/>
  <c r="S581" i="1"/>
  <c r="X580" i="1"/>
  <c r="V580" i="1"/>
  <c r="T580" i="1"/>
  <c r="U580" i="1" s="1"/>
  <c r="S580" i="1"/>
  <c r="X579" i="1"/>
  <c r="V579" i="1"/>
  <c r="T579" i="1"/>
  <c r="U579" i="1" s="1"/>
  <c r="S579" i="1"/>
  <c r="X578" i="1"/>
  <c r="V578" i="1"/>
  <c r="T578" i="1"/>
  <c r="U578" i="1" s="1"/>
  <c r="S578" i="1"/>
  <c r="X577" i="1"/>
  <c r="V577" i="1"/>
  <c r="T577" i="1"/>
  <c r="U577" i="1" s="1"/>
  <c r="S577" i="1"/>
  <c r="X576" i="1"/>
  <c r="V576" i="1"/>
  <c r="W576" i="1" s="1"/>
  <c r="T576" i="1"/>
  <c r="U576" i="1" s="1"/>
  <c r="S576" i="1"/>
  <c r="X575" i="1"/>
  <c r="V575" i="1"/>
  <c r="W575" i="1" s="1"/>
  <c r="T575" i="1"/>
  <c r="U575" i="1" s="1"/>
  <c r="S575" i="1"/>
  <c r="X574" i="1"/>
  <c r="V574" i="1"/>
  <c r="T574" i="1"/>
  <c r="U574" i="1" s="1"/>
  <c r="S574" i="1"/>
  <c r="X573" i="1"/>
  <c r="V573" i="1"/>
  <c r="W573" i="1" s="1"/>
  <c r="T573" i="1"/>
  <c r="U573" i="1" s="1"/>
  <c r="S573" i="1"/>
  <c r="X572" i="1"/>
  <c r="V572" i="1"/>
  <c r="W572" i="1" s="1"/>
  <c r="T572" i="1"/>
  <c r="U572" i="1" s="1"/>
  <c r="S572" i="1"/>
  <c r="X571" i="1"/>
  <c r="V571" i="1"/>
  <c r="T571" i="1"/>
  <c r="U571" i="1" s="1"/>
  <c r="S571" i="1"/>
  <c r="X570" i="1"/>
  <c r="V570" i="1"/>
  <c r="T570" i="1"/>
  <c r="U570" i="1" s="1"/>
  <c r="S570" i="1"/>
  <c r="X569" i="1"/>
  <c r="V569" i="1"/>
  <c r="T569" i="1"/>
  <c r="U569" i="1" s="1"/>
  <c r="S569" i="1"/>
  <c r="X568" i="1"/>
  <c r="V568" i="1"/>
  <c r="W568" i="1" s="1"/>
  <c r="T568" i="1"/>
  <c r="U568" i="1" s="1"/>
  <c r="S568" i="1"/>
  <c r="X567" i="1"/>
  <c r="V567" i="1"/>
  <c r="W567" i="1" s="1"/>
  <c r="T567" i="1"/>
  <c r="U567" i="1" s="1"/>
  <c r="S567" i="1"/>
  <c r="X566" i="1"/>
  <c r="V566" i="1"/>
  <c r="W566" i="1" s="1"/>
  <c r="T566" i="1"/>
  <c r="U566" i="1" s="1"/>
  <c r="S566" i="1"/>
  <c r="X565" i="1"/>
  <c r="V565" i="1"/>
  <c r="T565" i="1"/>
  <c r="U565" i="1" s="1"/>
  <c r="S565" i="1"/>
  <c r="X564" i="1"/>
  <c r="V564" i="1"/>
  <c r="W564" i="1" s="1"/>
  <c r="T564" i="1"/>
  <c r="U564" i="1" s="1"/>
  <c r="S564" i="1"/>
  <c r="X563" i="1"/>
  <c r="V563" i="1"/>
  <c r="W563" i="1" s="1"/>
  <c r="T563" i="1"/>
  <c r="U563" i="1" s="1"/>
  <c r="S563" i="1"/>
  <c r="X562" i="1"/>
  <c r="V562" i="1"/>
  <c r="W562" i="1" s="1"/>
  <c r="T562" i="1"/>
  <c r="U562" i="1" s="1"/>
  <c r="S562" i="1"/>
  <c r="X561" i="1"/>
  <c r="V561" i="1"/>
  <c r="W561" i="1" s="1"/>
  <c r="T561" i="1"/>
  <c r="U561" i="1" s="1"/>
  <c r="S561" i="1"/>
  <c r="X560" i="1"/>
  <c r="V560" i="1"/>
  <c r="W560" i="1" s="1"/>
  <c r="T560" i="1"/>
  <c r="U560" i="1" s="1"/>
  <c r="S560" i="1"/>
  <c r="X559" i="1"/>
  <c r="V559" i="1"/>
  <c r="W559" i="1" s="1"/>
  <c r="T559" i="1"/>
  <c r="U559" i="1" s="1"/>
  <c r="S559" i="1"/>
  <c r="X558" i="1"/>
  <c r="V558" i="1"/>
  <c r="W558" i="1" s="1"/>
  <c r="T558" i="1"/>
  <c r="U558" i="1" s="1"/>
  <c r="S558" i="1"/>
  <c r="X557" i="1"/>
  <c r="V557" i="1"/>
  <c r="W557" i="1" s="1"/>
  <c r="T557" i="1"/>
  <c r="U557" i="1" s="1"/>
  <c r="S557" i="1"/>
  <c r="X556" i="1"/>
  <c r="V556" i="1"/>
  <c r="T556" i="1"/>
  <c r="U556" i="1" s="1"/>
  <c r="S556" i="1"/>
  <c r="X555" i="1"/>
  <c r="V555" i="1"/>
  <c r="T555" i="1"/>
  <c r="U555" i="1" s="1"/>
  <c r="S555" i="1"/>
  <c r="X554" i="1"/>
  <c r="V554" i="1"/>
  <c r="T554" i="1"/>
  <c r="U554" i="1" s="1"/>
  <c r="S554" i="1"/>
  <c r="X553" i="1"/>
  <c r="V553" i="1"/>
  <c r="T553" i="1"/>
  <c r="U553" i="1" s="1"/>
  <c r="S553" i="1"/>
  <c r="X552" i="1"/>
  <c r="V552" i="1"/>
  <c r="T552" i="1"/>
  <c r="U552" i="1" s="1"/>
  <c r="S552" i="1"/>
  <c r="X551" i="1"/>
  <c r="V551" i="1"/>
  <c r="W551" i="1" s="1"/>
  <c r="T551" i="1"/>
  <c r="U551" i="1" s="1"/>
  <c r="S551" i="1"/>
  <c r="X550" i="1"/>
  <c r="V550" i="1"/>
  <c r="W550" i="1" s="1"/>
  <c r="T550" i="1"/>
  <c r="U550" i="1" s="1"/>
  <c r="S550" i="1"/>
  <c r="X549" i="1"/>
  <c r="V549" i="1"/>
  <c r="T549" i="1"/>
  <c r="U549" i="1" s="1"/>
  <c r="S549" i="1"/>
  <c r="X548" i="1"/>
  <c r="V548" i="1"/>
  <c r="T548" i="1"/>
  <c r="U548" i="1" s="1"/>
  <c r="S548" i="1"/>
  <c r="X547" i="1"/>
  <c r="V547" i="1"/>
  <c r="W547" i="1" s="1"/>
  <c r="T547" i="1"/>
  <c r="U547" i="1" s="1"/>
  <c r="S547" i="1"/>
  <c r="X546" i="1"/>
  <c r="V546" i="1"/>
  <c r="T546" i="1"/>
  <c r="U546" i="1" s="1"/>
  <c r="S546" i="1"/>
  <c r="X545" i="1"/>
  <c r="V545" i="1"/>
  <c r="T545" i="1"/>
  <c r="U545" i="1" s="1"/>
  <c r="S545" i="1"/>
  <c r="X544" i="1"/>
  <c r="V544" i="1"/>
  <c r="T544" i="1"/>
  <c r="U544" i="1" s="1"/>
  <c r="S544" i="1"/>
  <c r="X543" i="1"/>
  <c r="V543" i="1"/>
  <c r="W543" i="1" s="1"/>
  <c r="T543" i="1"/>
  <c r="U543" i="1" s="1"/>
  <c r="S543" i="1"/>
  <c r="X542" i="1"/>
  <c r="V542" i="1"/>
  <c r="T542" i="1"/>
  <c r="U542" i="1" s="1"/>
  <c r="S542" i="1"/>
  <c r="X541" i="1"/>
  <c r="V541" i="1"/>
  <c r="W541" i="1" s="1"/>
  <c r="T541" i="1"/>
  <c r="U541" i="1" s="1"/>
  <c r="S541" i="1"/>
  <c r="X540" i="1"/>
  <c r="V540" i="1"/>
  <c r="T540" i="1"/>
  <c r="U540" i="1" s="1"/>
  <c r="S540" i="1"/>
  <c r="X539" i="1"/>
  <c r="V539" i="1"/>
  <c r="W539" i="1" s="1"/>
  <c r="T539" i="1"/>
  <c r="U539" i="1" s="1"/>
  <c r="S539" i="1"/>
  <c r="X538" i="1"/>
  <c r="V538" i="1"/>
  <c r="T538" i="1"/>
  <c r="U538" i="1" s="1"/>
  <c r="S538" i="1"/>
  <c r="X537" i="1"/>
  <c r="V537" i="1"/>
  <c r="W537" i="1" s="1"/>
  <c r="T537" i="1"/>
  <c r="U537" i="1" s="1"/>
  <c r="S537" i="1"/>
  <c r="X536" i="1"/>
  <c r="V536" i="1"/>
  <c r="T536" i="1"/>
  <c r="U536" i="1" s="1"/>
  <c r="S536" i="1"/>
  <c r="X535" i="1"/>
  <c r="V535" i="1"/>
  <c r="W535" i="1" s="1"/>
  <c r="T535" i="1"/>
  <c r="U535" i="1" s="1"/>
  <c r="S535" i="1"/>
  <c r="X534" i="1"/>
  <c r="V534" i="1"/>
  <c r="T534" i="1"/>
  <c r="U534" i="1" s="1"/>
  <c r="S534" i="1"/>
  <c r="X533" i="1"/>
  <c r="V533" i="1"/>
  <c r="W533" i="1" s="1"/>
  <c r="T533" i="1"/>
  <c r="U533" i="1" s="1"/>
  <c r="S533" i="1"/>
  <c r="X532" i="1"/>
  <c r="V532" i="1"/>
  <c r="T532" i="1"/>
  <c r="U532" i="1" s="1"/>
  <c r="S532" i="1"/>
  <c r="X531" i="1"/>
  <c r="V531" i="1"/>
  <c r="W531" i="1" s="1"/>
  <c r="T531" i="1"/>
  <c r="U531" i="1" s="1"/>
  <c r="S531" i="1"/>
  <c r="X530" i="1"/>
  <c r="V530" i="1"/>
  <c r="W530" i="1" s="1"/>
  <c r="T530" i="1"/>
  <c r="U530" i="1" s="1"/>
  <c r="S530" i="1"/>
  <c r="X529" i="1"/>
  <c r="V529" i="1"/>
  <c r="W529" i="1" s="1"/>
  <c r="T529" i="1"/>
  <c r="U529" i="1" s="1"/>
  <c r="S529" i="1"/>
  <c r="X528" i="1"/>
  <c r="V528" i="1"/>
  <c r="W528" i="1" s="1"/>
  <c r="T528" i="1"/>
  <c r="U528" i="1" s="1"/>
  <c r="S528" i="1"/>
  <c r="X527" i="1"/>
  <c r="V527" i="1"/>
  <c r="T527" i="1"/>
  <c r="U527" i="1" s="1"/>
  <c r="S527" i="1"/>
  <c r="X526" i="1"/>
  <c r="V526" i="1"/>
  <c r="W526" i="1" s="1"/>
  <c r="T526" i="1"/>
  <c r="U526" i="1" s="1"/>
  <c r="S526" i="1"/>
  <c r="X525" i="1"/>
  <c r="V525" i="1"/>
  <c r="T525" i="1"/>
  <c r="U525" i="1" s="1"/>
  <c r="S525" i="1"/>
  <c r="X524" i="1"/>
  <c r="V524" i="1"/>
  <c r="T524" i="1"/>
  <c r="U524" i="1" s="1"/>
  <c r="S524" i="1"/>
  <c r="X523" i="1"/>
  <c r="V523" i="1"/>
  <c r="W523" i="1" s="1"/>
  <c r="T523" i="1"/>
  <c r="U523" i="1" s="1"/>
  <c r="S523" i="1"/>
  <c r="X522" i="1"/>
  <c r="V522" i="1"/>
  <c r="W522" i="1" s="1"/>
  <c r="T522" i="1"/>
  <c r="U522" i="1" s="1"/>
  <c r="S522" i="1"/>
  <c r="X521" i="1"/>
  <c r="V521" i="1"/>
  <c r="T521" i="1"/>
  <c r="U521" i="1" s="1"/>
  <c r="S521" i="1"/>
  <c r="X520" i="1"/>
  <c r="V520" i="1"/>
  <c r="W520" i="1" s="1"/>
  <c r="T520" i="1"/>
  <c r="U520" i="1" s="1"/>
  <c r="S520" i="1"/>
  <c r="X519" i="1"/>
  <c r="V519" i="1"/>
  <c r="T519" i="1"/>
  <c r="U519" i="1" s="1"/>
  <c r="S519" i="1"/>
  <c r="X518" i="1"/>
  <c r="V518" i="1"/>
  <c r="T518" i="1"/>
  <c r="U518" i="1" s="1"/>
  <c r="S518" i="1"/>
  <c r="X517" i="1"/>
  <c r="V517" i="1"/>
  <c r="T517" i="1"/>
  <c r="U517" i="1" s="1"/>
  <c r="S517" i="1"/>
  <c r="X516" i="1"/>
  <c r="V516" i="1"/>
  <c r="T516" i="1"/>
  <c r="U516" i="1" s="1"/>
  <c r="S516" i="1"/>
  <c r="X515" i="1"/>
  <c r="V515" i="1"/>
  <c r="T515" i="1"/>
  <c r="U515" i="1" s="1"/>
  <c r="S515" i="1"/>
  <c r="X514" i="1"/>
  <c r="V514" i="1"/>
  <c r="W514" i="1" s="1"/>
  <c r="T514" i="1"/>
  <c r="U514" i="1" s="1"/>
  <c r="S514" i="1"/>
  <c r="X513" i="1"/>
  <c r="V513" i="1"/>
  <c r="T513" i="1"/>
  <c r="U513" i="1" s="1"/>
  <c r="S513" i="1"/>
  <c r="X512" i="1"/>
  <c r="V512" i="1"/>
  <c r="W512" i="1" s="1"/>
  <c r="T512" i="1"/>
  <c r="U512" i="1" s="1"/>
  <c r="S512" i="1"/>
  <c r="X511" i="1"/>
  <c r="V511" i="1"/>
  <c r="T511" i="1"/>
  <c r="U511" i="1" s="1"/>
  <c r="S511" i="1"/>
  <c r="X510" i="1"/>
  <c r="V510" i="1"/>
  <c r="T510" i="1"/>
  <c r="U510" i="1" s="1"/>
  <c r="S510" i="1"/>
  <c r="X509" i="1"/>
  <c r="V509" i="1"/>
  <c r="T509" i="1"/>
  <c r="U509" i="1" s="1"/>
  <c r="S509" i="1"/>
  <c r="X508" i="1"/>
  <c r="V508" i="1"/>
  <c r="T508" i="1"/>
  <c r="U508" i="1" s="1"/>
  <c r="S508" i="1"/>
  <c r="X507" i="1"/>
  <c r="V507" i="1"/>
  <c r="T507" i="1"/>
  <c r="U507" i="1" s="1"/>
  <c r="S507" i="1"/>
  <c r="X506" i="1"/>
  <c r="V506" i="1"/>
  <c r="T506" i="1"/>
  <c r="U506" i="1" s="1"/>
  <c r="S506" i="1"/>
  <c r="X505" i="1"/>
  <c r="V505" i="1"/>
  <c r="T505" i="1"/>
  <c r="U505" i="1" s="1"/>
  <c r="S505" i="1"/>
  <c r="X504" i="1"/>
  <c r="V504" i="1"/>
  <c r="T504" i="1"/>
  <c r="U504" i="1" s="1"/>
  <c r="S504" i="1"/>
  <c r="X503" i="1"/>
  <c r="V503" i="1"/>
  <c r="T503" i="1"/>
  <c r="U503" i="1" s="1"/>
  <c r="S503" i="1"/>
  <c r="X502" i="1"/>
  <c r="V502" i="1"/>
  <c r="T502" i="1"/>
  <c r="U502" i="1" s="1"/>
  <c r="S502" i="1"/>
  <c r="X501" i="1"/>
  <c r="V501" i="1"/>
  <c r="U501" i="1"/>
  <c r="T501" i="1"/>
  <c r="S501" i="1"/>
  <c r="X500" i="1"/>
  <c r="V500" i="1"/>
  <c r="T500" i="1"/>
  <c r="U500" i="1" s="1"/>
  <c r="S500" i="1"/>
  <c r="X499" i="1"/>
  <c r="V499" i="1"/>
  <c r="T499" i="1"/>
  <c r="U499" i="1" s="1"/>
  <c r="S499" i="1"/>
  <c r="X498" i="1"/>
  <c r="V498" i="1"/>
  <c r="T498" i="1"/>
  <c r="U498" i="1" s="1"/>
  <c r="S498" i="1"/>
  <c r="X497" i="1"/>
  <c r="V497" i="1"/>
  <c r="T497" i="1"/>
  <c r="U497" i="1" s="1"/>
  <c r="S497" i="1"/>
  <c r="X496" i="1"/>
  <c r="V496" i="1"/>
  <c r="T496" i="1"/>
  <c r="U496" i="1" s="1"/>
  <c r="S496" i="1"/>
  <c r="X495" i="1"/>
  <c r="V495" i="1"/>
  <c r="T495" i="1"/>
  <c r="U495" i="1" s="1"/>
  <c r="S495" i="1"/>
  <c r="X494" i="1"/>
  <c r="V494" i="1"/>
  <c r="T494" i="1"/>
  <c r="U494" i="1" s="1"/>
  <c r="S494" i="1"/>
  <c r="X493" i="1"/>
  <c r="V493" i="1"/>
  <c r="T493" i="1"/>
  <c r="U493" i="1" s="1"/>
  <c r="S493" i="1"/>
  <c r="X492" i="1"/>
  <c r="V492" i="1"/>
  <c r="T492" i="1"/>
  <c r="U492" i="1" s="1"/>
  <c r="S492" i="1"/>
  <c r="X491" i="1"/>
  <c r="V491" i="1"/>
  <c r="T491" i="1"/>
  <c r="U491" i="1" s="1"/>
  <c r="S491" i="1"/>
  <c r="X490" i="1"/>
  <c r="V490" i="1"/>
  <c r="W490" i="1" s="1"/>
  <c r="T490" i="1"/>
  <c r="U490" i="1" s="1"/>
  <c r="S490" i="1"/>
  <c r="X489" i="1"/>
  <c r="V489" i="1"/>
  <c r="T489" i="1"/>
  <c r="U489" i="1" s="1"/>
  <c r="S489" i="1"/>
  <c r="X488" i="1"/>
  <c r="V488" i="1"/>
  <c r="T488" i="1"/>
  <c r="U488" i="1" s="1"/>
  <c r="S488" i="1"/>
  <c r="X487" i="1"/>
  <c r="V487" i="1"/>
  <c r="T487" i="1"/>
  <c r="U487" i="1" s="1"/>
  <c r="S487" i="1"/>
  <c r="X486" i="1"/>
  <c r="V486" i="1"/>
  <c r="W486" i="1" s="1"/>
  <c r="T486" i="1"/>
  <c r="U486" i="1" s="1"/>
  <c r="S486" i="1"/>
  <c r="X485" i="1"/>
  <c r="V485" i="1"/>
  <c r="T485" i="1"/>
  <c r="U485" i="1" s="1"/>
  <c r="S485" i="1"/>
  <c r="X484" i="1"/>
  <c r="V484" i="1"/>
  <c r="T484" i="1"/>
  <c r="U484" i="1" s="1"/>
  <c r="S484" i="1"/>
  <c r="X483" i="1"/>
  <c r="V483" i="1"/>
  <c r="W483" i="1" s="1"/>
  <c r="T483" i="1"/>
  <c r="U483" i="1" s="1"/>
  <c r="S483" i="1"/>
  <c r="X482" i="1"/>
  <c r="V482" i="1"/>
  <c r="T482" i="1"/>
  <c r="U482" i="1" s="1"/>
  <c r="S482" i="1"/>
  <c r="X481" i="1"/>
  <c r="V481" i="1"/>
  <c r="T481" i="1"/>
  <c r="U481" i="1" s="1"/>
  <c r="S481" i="1"/>
  <c r="X480" i="1"/>
  <c r="V480" i="1"/>
  <c r="T480" i="1"/>
  <c r="U480" i="1" s="1"/>
  <c r="S480" i="1"/>
  <c r="X479" i="1"/>
  <c r="V479" i="1"/>
  <c r="W479" i="1" s="1"/>
  <c r="T479" i="1"/>
  <c r="U479" i="1" s="1"/>
  <c r="S479" i="1"/>
  <c r="X478" i="1"/>
  <c r="V478" i="1"/>
  <c r="T478" i="1"/>
  <c r="U478" i="1" s="1"/>
  <c r="S478" i="1"/>
  <c r="X477" i="1"/>
  <c r="V477" i="1"/>
  <c r="T477" i="1"/>
  <c r="U477" i="1" s="1"/>
  <c r="S477" i="1"/>
  <c r="X476" i="1"/>
  <c r="V476" i="1"/>
  <c r="T476" i="1"/>
  <c r="U476" i="1" s="1"/>
  <c r="S476" i="1"/>
  <c r="X475" i="1"/>
  <c r="V475" i="1"/>
  <c r="W475" i="1" s="1"/>
  <c r="T475" i="1"/>
  <c r="U475" i="1" s="1"/>
  <c r="S475" i="1"/>
  <c r="X474" i="1"/>
  <c r="V474" i="1"/>
  <c r="T474" i="1"/>
  <c r="U474" i="1" s="1"/>
  <c r="S474" i="1"/>
  <c r="X473" i="1"/>
  <c r="V473" i="1"/>
  <c r="W473" i="1" s="1"/>
  <c r="T473" i="1"/>
  <c r="U473" i="1" s="1"/>
  <c r="S473" i="1"/>
  <c r="X472" i="1"/>
  <c r="V472" i="1"/>
  <c r="W472" i="1" s="1"/>
  <c r="T472" i="1"/>
  <c r="U472" i="1" s="1"/>
  <c r="S472" i="1"/>
  <c r="X471" i="1"/>
  <c r="V471" i="1"/>
  <c r="T471" i="1"/>
  <c r="U471" i="1" s="1"/>
  <c r="S471" i="1"/>
  <c r="X470" i="1"/>
  <c r="V470" i="1"/>
  <c r="T470" i="1"/>
  <c r="U470" i="1" s="1"/>
  <c r="S470" i="1"/>
  <c r="X469" i="1"/>
  <c r="V469" i="1"/>
  <c r="W469" i="1" s="1"/>
  <c r="T469" i="1"/>
  <c r="U469" i="1" s="1"/>
  <c r="S469" i="1"/>
  <c r="X468" i="1"/>
  <c r="V468" i="1"/>
  <c r="W468" i="1" s="1"/>
  <c r="T468" i="1"/>
  <c r="U468" i="1" s="1"/>
  <c r="S468" i="1"/>
  <c r="X467" i="1"/>
  <c r="V467" i="1"/>
  <c r="W467" i="1" s="1"/>
  <c r="T467" i="1"/>
  <c r="U467" i="1" s="1"/>
  <c r="S467" i="1"/>
  <c r="X466" i="1"/>
  <c r="V466" i="1"/>
  <c r="W466" i="1" s="1"/>
  <c r="T466" i="1"/>
  <c r="U466" i="1" s="1"/>
  <c r="S466" i="1"/>
  <c r="X465" i="1"/>
  <c r="V465" i="1"/>
  <c r="T465" i="1"/>
  <c r="U465" i="1" s="1"/>
  <c r="S465" i="1"/>
  <c r="X464" i="1"/>
  <c r="V464" i="1"/>
  <c r="T464" i="1"/>
  <c r="U464" i="1" s="1"/>
  <c r="S464" i="1"/>
  <c r="X463" i="1"/>
  <c r="V463" i="1"/>
  <c r="W463" i="1" s="1"/>
  <c r="T463" i="1"/>
  <c r="U463" i="1" s="1"/>
  <c r="S463" i="1"/>
  <c r="X462" i="1"/>
  <c r="V462" i="1"/>
  <c r="W462" i="1" s="1"/>
  <c r="T462" i="1"/>
  <c r="U462" i="1" s="1"/>
  <c r="S462" i="1"/>
  <c r="X461" i="1"/>
  <c r="V461" i="1"/>
  <c r="T461" i="1"/>
  <c r="U461" i="1" s="1"/>
  <c r="S461" i="1"/>
  <c r="X460" i="1"/>
  <c r="V460" i="1"/>
  <c r="T460" i="1"/>
  <c r="U460" i="1" s="1"/>
  <c r="S460" i="1"/>
  <c r="X459" i="1"/>
  <c r="V459" i="1"/>
  <c r="T459" i="1"/>
  <c r="U459" i="1" s="1"/>
  <c r="S459" i="1"/>
  <c r="X458" i="1"/>
  <c r="V458" i="1"/>
  <c r="T458" i="1"/>
  <c r="U458" i="1" s="1"/>
  <c r="S458" i="1"/>
  <c r="X457" i="1"/>
  <c r="V457" i="1"/>
  <c r="W457" i="1" s="1"/>
  <c r="T457" i="1"/>
  <c r="U457" i="1" s="1"/>
  <c r="S457" i="1"/>
  <c r="X456" i="1"/>
  <c r="V456" i="1"/>
  <c r="T456" i="1"/>
  <c r="U456" i="1" s="1"/>
  <c r="S456" i="1"/>
  <c r="X455" i="1"/>
  <c r="V455" i="1"/>
  <c r="T455" i="1"/>
  <c r="U455" i="1" s="1"/>
  <c r="S455" i="1"/>
  <c r="X454" i="1"/>
  <c r="V454" i="1"/>
  <c r="T454" i="1"/>
  <c r="U454" i="1" s="1"/>
  <c r="S454" i="1"/>
  <c r="X453" i="1"/>
  <c r="V453" i="1"/>
  <c r="T453" i="1"/>
  <c r="U453" i="1" s="1"/>
  <c r="S453" i="1"/>
  <c r="X452" i="1"/>
  <c r="V452" i="1"/>
  <c r="T452" i="1"/>
  <c r="U452" i="1" s="1"/>
  <c r="S452" i="1"/>
  <c r="X451" i="1"/>
  <c r="V451" i="1"/>
  <c r="T451" i="1"/>
  <c r="U451" i="1" s="1"/>
  <c r="S451" i="1"/>
  <c r="X450" i="1"/>
  <c r="V450" i="1"/>
  <c r="T450" i="1"/>
  <c r="U450" i="1" s="1"/>
  <c r="S450" i="1"/>
  <c r="X449" i="1"/>
  <c r="V449" i="1"/>
  <c r="T449" i="1"/>
  <c r="U449" i="1" s="1"/>
  <c r="S449" i="1"/>
  <c r="X448" i="1"/>
  <c r="V448" i="1"/>
  <c r="W448" i="1" s="1"/>
  <c r="T448" i="1"/>
  <c r="U448" i="1" s="1"/>
  <c r="S448" i="1"/>
  <c r="X447" i="1"/>
  <c r="V447" i="1"/>
  <c r="T447" i="1"/>
  <c r="U447" i="1" s="1"/>
  <c r="S447" i="1"/>
  <c r="X446" i="1"/>
  <c r="V446" i="1"/>
  <c r="W446" i="1" s="1"/>
  <c r="T446" i="1"/>
  <c r="U446" i="1" s="1"/>
  <c r="S446" i="1"/>
  <c r="X445" i="1"/>
  <c r="V445" i="1"/>
  <c r="T445" i="1"/>
  <c r="U445" i="1" s="1"/>
  <c r="S445" i="1"/>
  <c r="X444" i="1"/>
  <c r="V444" i="1"/>
  <c r="T444" i="1"/>
  <c r="U444" i="1" s="1"/>
  <c r="S444" i="1"/>
  <c r="X443" i="1"/>
  <c r="V443" i="1"/>
  <c r="T443" i="1"/>
  <c r="U443" i="1" s="1"/>
  <c r="S443" i="1"/>
  <c r="X442" i="1"/>
  <c r="V442" i="1"/>
  <c r="W442" i="1" s="1"/>
  <c r="T442" i="1"/>
  <c r="U442" i="1" s="1"/>
  <c r="S442" i="1"/>
  <c r="X441" i="1"/>
  <c r="V441" i="1"/>
  <c r="W441" i="1" s="1"/>
  <c r="T441" i="1"/>
  <c r="U441" i="1" s="1"/>
  <c r="S441" i="1"/>
  <c r="X440" i="1"/>
  <c r="V440" i="1"/>
  <c r="W440" i="1" s="1"/>
  <c r="T440" i="1"/>
  <c r="U440" i="1" s="1"/>
  <c r="S440" i="1"/>
  <c r="X439" i="1"/>
  <c r="V439" i="1"/>
  <c r="W439" i="1" s="1"/>
  <c r="T439" i="1"/>
  <c r="U439" i="1" s="1"/>
  <c r="S439" i="1"/>
  <c r="X438" i="1"/>
  <c r="V438" i="1"/>
  <c r="T438" i="1"/>
  <c r="U438" i="1" s="1"/>
  <c r="S438" i="1"/>
  <c r="X437" i="1"/>
  <c r="V437" i="1"/>
  <c r="T437" i="1"/>
  <c r="U437" i="1" s="1"/>
  <c r="S437" i="1"/>
  <c r="X436" i="1"/>
  <c r="V436" i="1"/>
  <c r="W436" i="1" s="1"/>
  <c r="T436" i="1"/>
  <c r="U436" i="1" s="1"/>
  <c r="S436" i="1"/>
  <c r="X435" i="1"/>
  <c r="V435" i="1"/>
  <c r="W435" i="1" s="1"/>
  <c r="T435" i="1"/>
  <c r="U435" i="1" s="1"/>
  <c r="S435" i="1"/>
  <c r="X434" i="1"/>
  <c r="V434" i="1"/>
  <c r="W434" i="1" s="1"/>
  <c r="T434" i="1"/>
  <c r="U434" i="1" s="1"/>
  <c r="S434" i="1"/>
  <c r="X433" i="1"/>
  <c r="V433" i="1"/>
  <c r="T433" i="1"/>
  <c r="U433" i="1" s="1"/>
  <c r="S433" i="1"/>
  <c r="X432" i="1"/>
  <c r="V432" i="1"/>
  <c r="T432" i="1"/>
  <c r="U432" i="1" s="1"/>
  <c r="S432" i="1"/>
  <c r="X431" i="1"/>
  <c r="V431" i="1"/>
  <c r="T431" i="1"/>
  <c r="U431" i="1" s="1"/>
  <c r="S431" i="1"/>
  <c r="X430" i="1"/>
  <c r="V430" i="1"/>
  <c r="T430" i="1"/>
  <c r="U430" i="1" s="1"/>
  <c r="S430" i="1"/>
  <c r="X429" i="1"/>
  <c r="V429" i="1"/>
  <c r="T429" i="1"/>
  <c r="U429" i="1" s="1"/>
  <c r="S429" i="1"/>
  <c r="X428" i="1"/>
  <c r="V428" i="1"/>
  <c r="T428" i="1"/>
  <c r="U428" i="1" s="1"/>
  <c r="S428" i="1"/>
  <c r="X427" i="1"/>
  <c r="V427" i="1"/>
  <c r="T427" i="1"/>
  <c r="U427" i="1" s="1"/>
  <c r="S427" i="1"/>
  <c r="X426" i="1"/>
  <c r="V426" i="1"/>
  <c r="T426" i="1"/>
  <c r="U426" i="1" s="1"/>
  <c r="S426" i="1"/>
  <c r="X425" i="1"/>
  <c r="V425" i="1"/>
  <c r="T425" i="1"/>
  <c r="U425" i="1" s="1"/>
  <c r="S425" i="1"/>
  <c r="X424" i="1"/>
  <c r="V424" i="1"/>
  <c r="W424" i="1" s="1"/>
  <c r="T424" i="1"/>
  <c r="U424" i="1" s="1"/>
  <c r="S424" i="1"/>
  <c r="X423" i="1"/>
  <c r="V423" i="1"/>
  <c r="W423" i="1" s="1"/>
  <c r="T423" i="1"/>
  <c r="U423" i="1" s="1"/>
  <c r="S423" i="1"/>
  <c r="X422" i="1"/>
  <c r="V422" i="1"/>
  <c r="T422" i="1"/>
  <c r="U422" i="1" s="1"/>
  <c r="S422" i="1"/>
  <c r="X421" i="1"/>
  <c r="V421" i="1"/>
  <c r="W421" i="1" s="1"/>
  <c r="T421" i="1"/>
  <c r="U421" i="1" s="1"/>
  <c r="S421" i="1"/>
  <c r="X420" i="1"/>
  <c r="V420" i="1"/>
  <c r="T420" i="1"/>
  <c r="U420" i="1" s="1"/>
  <c r="S420" i="1"/>
  <c r="X419" i="1"/>
  <c r="V419" i="1"/>
  <c r="T419" i="1"/>
  <c r="U419" i="1" s="1"/>
  <c r="S419" i="1"/>
  <c r="X418" i="1"/>
  <c r="V418" i="1"/>
  <c r="T418" i="1"/>
  <c r="U418" i="1" s="1"/>
  <c r="S418" i="1"/>
  <c r="X417" i="1"/>
  <c r="V417" i="1"/>
  <c r="T417" i="1"/>
  <c r="U417" i="1" s="1"/>
  <c r="S417" i="1"/>
  <c r="X416" i="1"/>
  <c r="V416" i="1"/>
  <c r="T416" i="1"/>
  <c r="U416" i="1" s="1"/>
  <c r="S416" i="1"/>
  <c r="X415" i="1"/>
  <c r="V415" i="1"/>
  <c r="T415" i="1"/>
  <c r="U415" i="1" s="1"/>
  <c r="S415" i="1"/>
  <c r="X414" i="1"/>
  <c r="V414" i="1"/>
  <c r="T414" i="1"/>
  <c r="U414" i="1" s="1"/>
  <c r="S414" i="1"/>
  <c r="X413" i="1"/>
  <c r="V413" i="1"/>
  <c r="W413" i="1" s="1"/>
  <c r="T413" i="1"/>
  <c r="U413" i="1" s="1"/>
  <c r="S413" i="1"/>
  <c r="X412" i="1"/>
  <c r="V412" i="1"/>
  <c r="W412" i="1" s="1"/>
  <c r="T412" i="1"/>
  <c r="U412" i="1" s="1"/>
  <c r="S412" i="1"/>
  <c r="X411" i="1"/>
  <c r="V411" i="1"/>
  <c r="T411" i="1"/>
  <c r="U411" i="1" s="1"/>
  <c r="S411" i="1"/>
  <c r="X410" i="1"/>
  <c r="V410" i="1"/>
  <c r="T410" i="1"/>
  <c r="U410" i="1" s="1"/>
  <c r="S410" i="1"/>
  <c r="X409" i="1"/>
  <c r="V409" i="1"/>
  <c r="T409" i="1"/>
  <c r="U409" i="1" s="1"/>
  <c r="S409" i="1"/>
  <c r="X408" i="1"/>
  <c r="V408" i="1"/>
  <c r="T408" i="1"/>
  <c r="U408" i="1" s="1"/>
  <c r="S408" i="1"/>
  <c r="X407" i="1"/>
  <c r="V407" i="1"/>
  <c r="W407" i="1" s="1"/>
  <c r="T407" i="1"/>
  <c r="U407" i="1" s="1"/>
  <c r="S407" i="1"/>
  <c r="X406" i="1"/>
  <c r="V406" i="1"/>
  <c r="T406" i="1"/>
  <c r="U406" i="1" s="1"/>
  <c r="S406" i="1"/>
  <c r="X405" i="1"/>
  <c r="V405" i="1"/>
  <c r="T405" i="1"/>
  <c r="U405" i="1" s="1"/>
  <c r="S405" i="1"/>
  <c r="X404" i="1"/>
  <c r="V404" i="1"/>
  <c r="T404" i="1"/>
  <c r="U404" i="1" s="1"/>
  <c r="S404" i="1"/>
  <c r="X403" i="1"/>
  <c r="V403" i="1"/>
  <c r="T403" i="1"/>
  <c r="U403" i="1" s="1"/>
  <c r="S403" i="1"/>
  <c r="X402" i="1"/>
  <c r="V402" i="1"/>
  <c r="T402" i="1"/>
  <c r="U402" i="1" s="1"/>
  <c r="S402" i="1"/>
  <c r="X401" i="1"/>
  <c r="V401" i="1"/>
  <c r="T401" i="1"/>
  <c r="U401" i="1" s="1"/>
  <c r="S401" i="1"/>
  <c r="X400" i="1"/>
  <c r="V400" i="1"/>
  <c r="W400" i="1" s="1"/>
  <c r="T400" i="1"/>
  <c r="U400" i="1" s="1"/>
  <c r="S400" i="1"/>
  <c r="X399" i="1"/>
  <c r="V399" i="1"/>
  <c r="T399" i="1"/>
  <c r="U399" i="1" s="1"/>
  <c r="S399" i="1"/>
  <c r="X398" i="1"/>
  <c r="V398" i="1"/>
  <c r="T398" i="1"/>
  <c r="U398" i="1" s="1"/>
  <c r="S398" i="1"/>
  <c r="X397" i="1"/>
  <c r="V397" i="1"/>
  <c r="T397" i="1"/>
  <c r="U397" i="1" s="1"/>
  <c r="S397" i="1"/>
  <c r="X396" i="1"/>
  <c r="V396" i="1"/>
  <c r="W396" i="1" s="1"/>
  <c r="T396" i="1"/>
  <c r="U396" i="1" s="1"/>
  <c r="S396" i="1"/>
  <c r="X395" i="1"/>
  <c r="V395" i="1"/>
  <c r="W395" i="1" s="1"/>
  <c r="T395" i="1"/>
  <c r="U395" i="1" s="1"/>
  <c r="S395" i="1"/>
  <c r="X394" i="1"/>
  <c r="V394" i="1"/>
  <c r="T394" i="1"/>
  <c r="U394" i="1" s="1"/>
  <c r="S394" i="1"/>
  <c r="X393" i="1"/>
  <c r="V393" i="1"/>
  <c r="T393" i="1"/>
  <c r="U393" i="1" s="1"/>
  <c r="S393" i="1"/>
  <c r="X392" i="1"/>
  <c r="V392" i="1"/>
  <c r="T392" i="1"/>
  <c r="U392" i="1" s="1"/>
  <c r="S392" i="1"/>
  <c r="X391" i="1"/>
  <c r="V391" i="1"/>
  <c r="T391" i="1"/>
  <c r="U391" i="1" s="1"/>
  <c r="S391" i="1"/>
  <c r="X390" i="1"/>
  <c r="V390" i="1"/>
  <c r="T390" i="1"/>
  <c r="U390" i="1" s="1"/>
  <c r="S390" i="1"/>
  <c r="X389" i="1"/>
  <c r="V389" i="1"/>
  <c r="T389" i="1"/>
  <c r="U389" i="1" s="1"/>
  <c r="S389" i="1"/>
  <c r="X388" i="1"/>
  <c r="V388" i="1"/>
  <c r="T388" i="1"/>
  <c r="U388" i="1" s="1"/>
  <c r="S388" i="1"/>
  <c r="X387" i="1"/>
  <c r="V387" i="1"/>
  <c r="T387" i="1"/>
  <c r="U387" i="1" s="1"/>
  <c r="S387" i="1"/>
  <c r="X386" i="1"/>
  <c r="V386" i="1"/>
  <c r="W386" i="1" s="1"/>
  <c r="T386" i="1"/>
  <c r="U386" i="1" s="1"/>
  <c r="S386" i="1"/>
  <c r="X385" i="1"/>
  <c r="V385" i="1"/>
  <c r="T385" i="1"/>
  <c r="U385" i="1" s="1"/>
  <c r="S385" i="1"/>
  <c r="X384" i="1"/>
  <c r="V384" i="1"/>
  <c r="T384" i="1"/>
  <c r="U384" i="1" s="1"/>
  <c r="S384" i="1"/>
  <c r="X383" i="1"/>
  <c r="V383" i="1"/>
  <c r="T383" i="1"/>
  <c r="U383" i="1" s="1"/>
  <c r="S383" i="1"/>
  <c r="X382" i="1"/>
  <c r="V382" i="1"/>
  <c r="T382" i="1"/>
  <c r="U382" i="1" s="1"/>
  <c r="S382" i="1"/>
  <c r="X381" i="1"/>
  <c r="V381" i="1"/>
  <c r="T381" i="1"/>
  <c r="U381" i="1" s="1"/>
  <c r="S381" i="1"/>
  <c r="X380" i="1"/>
  <c r="V380" i="1"/>
  <c r="T380" i="1"/>
  <c r="U380" i="1" s="1"/>
  <c r="S380" i="1"/>
  <c r="X379" i="1"/>
  <c r="V379" i="1"/>
  <c r="T379" i="1"/>
  <c r="U379" i="1" s="1"/>
  <c r="S379" i="1"/>
  <c r="X378" i="1"/>
  <c r="V378" i="1"/>
  <c r="W378" i="1" s="1"/>
  <c r="T378" i="1"/>
  <c r="U378" i="1" s="1"/>
  <c r="S378" i="1"/>
  <c r="X377" i="1"/>
  <c r="V377" i="1"/>
  <c r="T377" i="1"/>
  <c r="U377" i="1" s="1"/>
  <c r="S377" i="1"/>
  <c r="X376" i="1"/>
  <c r="V376" i="1"/>
  <c r="T376" i="1"/>
  <c r="U376" i="1" s="1"/>
  <c r="S376" i="1"/>
  <c r="X375" i="1"/>
  <c r="V375" i="1"/>
  <c r="T375" i="1"/>
  <c r="U375" i="1" s="1"/>
  <c r="S375" i="1"/>
  <c r="X374" i="1"/>
  <c r="V374" i="1"/>
  <c r="T374" i="1"/>
  <c r="U374" i="1" s="1"/>
  <c r="S374" i="1"/>
  <c r="X373" i="1"/>
  <c r="V373" i="1"/>
  <c r="T373" i="1"/>
  <c r="U373" i="1" s="1"/>
  <c r="S373" i="1"/>
  <c r="X372" i="1"/>
  <c r="V372" i="1"/>
  <c r="T372" i="1"/>
  <c r="U372" i="1" s="1"/>
  <c r="S372" i="1"/>
  <c r="X371" i="1"/>
  <c r="V371" i="1"/>
  <c r="W371" i="1" s="1"/>
  <c r="T371" i="1"/>
  <c r="U371" i="1" s="1"/>
  <c r="S371" i="1"/>
  <c r="X370" i="1"/>
  <c r="V370" i="1"/>
  <c r="T370" i="1"/>
  <c r="U370" i="1" s="1"/>
  <c r="S370" i="1"/>
  <c r="X369" i="1"/>
  <c r="V369" i="1"/>
  <c r="T369" i="1"/>
  <c r="U369" i="1" s="1"/>
  <c r="S369" i="1"/>
  <c r="X368" i="1"/>
  <c r="V368" i="1"/>
  <c r="T368" i="1"/>
  <c r="U368" i="1" s="1"/>
  <c r="S368" i="1"/>
  <c r="X367" i="1"/>
  <c r="V367" i="1"/>
  <c r="T367" i="1"/>
  <c r="U367" i="1" s="1"/>
  <c r="S367" i="1"/>
  <c r="X366" i="1"/>
  <c r="V366" i="1"/>
  <c r="T366" i="1"/>
  <c r="U366" i="1" s="1"/>
  <c r="S366" i="1"/>
  <c r="X365" i="1"/>
  <c r="V365" i="1"/>
  <c r="W365" i="1" s="1"/>
  <c r="T365" i="1"/>
  <c r="U365" i="1" s="1"/>
  <c r="S365" i="1"/>
  <c r="X364" i="1"/>
  <c r="V364" i="1"/>
  <c r="T364" i="1"/>
  <c r="U364" i="1" s="1"/>
  <c r="S364" i="1"/>
  <c r="X363" i="1"/>
  <c r="V363" i="1"/>
  <c r="W363" i="1" s="1"/>
  <c r="T363" i="1"/>
  <c r="U363" i="1" s="1"/>
  <c r="S363" i="1"/>
  <c r="X362" i="1"/>
  <c r="V362" i="1"/>
  <c r="T362" i="1"/>
  <c r="U362" i="1" s="1"/>
  <c r="S362" i="1"/>
  <c r="X361" i="1"/>
  <c r="V361" i="1"/>
  <c r="W361" i="1" s="1"/>
  <c r="T361" i="1"/>
  <c r="U361" i="1" s="1"/>
  <c r="S361" i="1"/>
  <c r="X360" i="1"/>
  <c r="V360" i="1"/>
  <c r="W360" i="1" s="1"/>
  <c r="T360" i="1"/>
  <c r="U360" i="1" s="1"/>
  <c r="S360" i="1"/>
  <c r="X359" i="1"/>
  <c r="V359" i="1"/>
  <c r="T359" i="1"/>
  <c r="U359" i="1" s="1"/>
  <c r="S359" i="1"/>
  <c r="X358" i="1"/>
  <c r="V358" i="1"/>
  <c r="T358" i="1"/>
  <c r="U358" i="1" s="1"/>
  <c r="S358" i="1"/>
  <c r="X357" i="1"/>
  <c r="V357" i="1"/>
  <c r="W357" i="1" s="1"/>
  <c r="T357" i="1"/>
  <c r="U357" i="1" s="1"/>
  <c r="S357" i="1"/>
  <c r="X356" i="1"/>
  <c r="V356" i="1"/>
  <c r="W356" i="1" s="1"/>
  <c r="T356" i="1"/>
  <c r="U356" i="1" s="1"/>
  <c r="S356" i="1"/>
  <c r="X355" i="1"/>
  <c r="V355" i="1"/>
  <c r="T355" i="1"/>
  <c r="U355" i="1" s="1"/>
  <c r="S355" i="1"/>
  <c r="X354" i="1"/>
  <c r="V354" i="1"/>
  <c r="T354" i="1"/>
  <c r="U354" i="1" s="1"/>
  <c r="S354" i="1"/>
  <c r="X353" i="1"/>
  <c r="V353" i="1"/>
  <c r="T353" i="1"/>
  <c r="U353" i="1" s="1"/>
  <c r="S353" i="1"/>
  <c r="X352" i="1"/>
  <c r="V352" i="1"/>
  <c r="T352" i="1"/>
  <c r="U352" i="1" s="1"/>
  <c r="S352" i="1"/>
  <c r="X351" i="1"/>
  <c r="V351" i="1"/>
  <c r="W351" i="1" s="1"/>
  <c r="T351" i="1"/>
  <c r="U351" i="1" s="1"/>
  <c r="S351" i="1"/>
  <c r="X350" i="1"/>
  <c r="V350" i="1"/>
  <c r="W350" i="1" s="1"/>
  <c r="T350" i="1"/>
  <c r="U350" i="1" s="1"/>
  <c r="S350" i="1"/>
  <c r="X349" i="1"/>
  <c r="V349" i="1"/>
  <c r="T349" i="1"/>
  <c r="U349" i="1" s="1"/>
  <c r="S349" i="1"/>
  <c r="X348" i="1"/>
  <c r="V348" i="1"/>
  <c r="W348" i="1" s="1"/>
  <c r="T348" i="1"/>
  <c r="U348" i="1" s="1"/>
  <c r="S348" i="1"/>
  <c r="X347" i="1"/>
  <c r="V347" i="1"/>
  <c r="T347" i="1"/>
  <c r="U347" i="1" s="1"/>
  <c r="S347" i="1"/>
  <c r="X346" i="1"/>
  <c r="V346" i="1"/>
  <c r="T346" i="1"/>
  <c r="U346" i="1" s="1"/>
  <c r="S346" i="1"/>
  <c r="X345" i="1"/>
  <c r="V345" i="1"/>
  <c r="T345" i="1"/>
  <c r="U345" i="1" s="1"/>
  <c r="S345" i="1"/>
  <c r="X344" i="1"/>
  <c r="V344" i="1"/>
  <c r="T344" i="1"/>
  <c r="U344" i="1" s="1"/>
  <c r="S344" i="1"/>
  <c r="X343" i="1"/>
  <c r="V343" i="1"/>
  <c r="T343" i="1"/>
  <c r="U343" i="1" s="1"/>
  <c r="S343" i="1"/>
  <c r="X342" i="1"/>
  <c r="V342" i="1"/>
  <c r="T342" i="1"/>
  <c r="U342" i="1" s="1"/>
  <c r="S342" i="1"/>
  <c r="X341" i="1"/>
  <c r="V341" i="1"/>
  <c r="T341" i="1"/>
  <c r="U341" i="1" s="1"/>
  <c r="S341" i="1"/>
  <c r="X340" i="1"/>
  <c r="V340" i="1"/>
  <c r="T340" i="1"/>
  <c r="U340" i="1" s="1"/>
  <c r="S340" i="1"/>
  <c r="X339" i="1"/>
  <c r="V339" i="1"/>
  <c r="T339" i="1"/>
  <c r="U339" i="1" s="1"/>
  <c r="S339" i="1"/>
  <c r="X338" i="1"/>
  <c r="V338" i="1"/>
  <c r="T338" i="1"/>
  <c r="U338" i="1" s="1"/>
  <c r="S338" i="1"/>
  <c r="X337" i="1"/>
  <c r="V337" i="1"/>
  <c r="T337" i="1"/>
  <c r="U337" i="1" s="1"/>
  <c r="S337" i="1"/>
  <c r="X336" i="1"/>
  <c r="V336" i="1"/>
  <c r="T336" i="1"/>
  <c r="U336" i="1" s="1"/>
  <c r="S336" i="1"/>
  <c r="X335" i="1"/>
  <c r="V335" i="1"/>
  <c r="T335" i="1"/>
  <c r="U335" i="1" s="1"/>
  <c r="S335" i="1"/>
  <c r="X334" i="1"/>
  <c r="V334" i="1"/>
  <c r="T334" i="1"/>
  <c r="U334" i="1" s="1"/>
  <c r="S334" i="1"/>
  <c r="X333" i="1"/>
  <c r="V333" i="1"/>
  <c r="T333" i="1"/>
  <c r="U333" i="1" s="1"/>
  <c r="S333" i="1"/>
  <c r="X332" i="1"/>
  <c r="V332" i="1"/>
  <c r="T332" i="1"/>
  <c r="U332" i="1" s="1"/>
  <c r="S332" i="1"/>
  <c r="X331" i="1"/>
  <c r="V331" i="1"/>
  <c r="T331" i="1"/>
  <c r="U331" i="1" s="1"/>
  <c r="S331" i="1"/>
  <c r="X330" i="1"/>
  <c r="V330" i="1"/>
  <c r="T330" i="1"/>
  <c r="U330" i="1" s="1"/>
  <c r="S330" i="1"/>
  <c r="X329" i="1"/>
  <c r="V329" i="1"/>
  <c r="T329" i="1"/>
  <c r="U329" i="1" s="1"/>
  <c r="S329" i="1"/>
  <c r="X328" i="1"/>
  <c r="V328" i="1"/>
  <c r="T328" i="1"/>
  <c r="U328" i="1" s="1"/>
  <c r="S328" i="1"/>
  <c r="X327" i="1"/>
  <c r="V327" i="1"/>
  <c r="T327" i="1"/>
  <c r="U327" i="1" s="1"/>
  <c r="S327" i="1"/>
  <c r="X326" i="1"/>
  <c r="V326" i="1"/>
  <c r="T326" i="1"/>
  <c r="U326" i="1" s="1"/>
  <c r="S326" i="1"/>
  <c r="X325" i="1"/>
  <c r="V325" i="1"/>
  <c r="T325" i="1"/>
  <c r="U325" i="1" s="1"/>
  <c r="S325" i="1"/>
  <c r="X324" i="1"/>
  <c r="V324" i="1"/>
  <c r="T324" i="1"/>
  <c r="U324" i="1" s="1"/>
  <c r="S324" i="1"/>
  <c r="X323" i="1"/>
  <c r="V323" i="1"/>
  <c r="T323" i="1"/>
  <c r="U323" i="1" s="1"/>
  <c r="S323" i="1"/>
  <c r="X322" i="1"/>
  <c r="V322" i="1"/>
  <c r="T322" i="1"/>
  <c r="U322" i="1" s="1"/>
  <c r="S322" i="1"/>
  <c r="X321" i="1"/>
  <c r="V321" i="1"/>
  <c r="T321" i="1"/>
  <c r="U321" i="1" s="1"/>
  <c r="S321" i="1"/>
  <c r="X320" i="1"/>
  <c r="V320" i="1"/>
  <c r="T320" i="1"/>
  <c r="U320" i="1" s="1"/>
  <c r="S320" i="1"/>
  <c r="X319" i="1"/>
  <c r="V319" i="1"/>
  <c r="T319" i="1"/>
  <c r="U319" i="1" s="1"/>
  <c r="S319" i="1"/>
  <c r="X318" i="1"/>
  <c r="V318" i="1"/>
  <c r="W318" i="1" s="1"/>
  <c r="T318" i="1"/>
  <c r="U318" i="1" s="1"/>
  <c r="S318" i="1"/>
  <c r="X317" i="1"/>
  <c r="V317" i="1"/>
  <c r="W317" i="1" s="1"/>
  <c r="T317" i="1"/>
  <c r="U317" i="1" s="1"/>
  <c r="S317" i="1"/>
  <c r="X316" i="1"/>
  <c r="V316" i="1"/>
  <c r="T316" i="1"/>
  <c r="U316" i="1" s="1"/>
  <c r="S316" i="1"/>
  <c r="X315" i="1"/>
  <c r="V315" i="1"/>
  <c r="T315" i="1"/>
  <c r="U315" i="1" s="1"/>
  <c r="S315" i="1"/>
  <c r="X314" i="1"/>
  <c r="V314" i="1"/>
  <c r="T314" i="1"/>
  <c r="U314" i="1" s="1"/>
  <c r="S314" i="1"/>
  <c r="X313" i="1"/>
  <c r="V313" i="1"/>
  <c r="W313" i="1" s="1"/>
  <c r="T313" i="1"/>
  <c r="U313" i="1" s="1"/>
  <c r="S313" i="1"/>
  <c r="X312" i="1"/>
  <c r="V312" i="1"/>
  <c r="W312" i="1" s="1"/>
  <c r="T312" i="1"/>
  <c r="U312" i="1" s="1"/>
  <c r="S312" i="1"/>
  <c r="X311" i="1"/>
  <c r="V311" i="1"/>
  <c r="W311" i="1" s="1"/>
  <c r="T311" i="1"/>
  <c r="U311" i="1" s="1"/>
  <c r="S311" i="1"/>
  <c r="X310" i="1"/>
  <c r="V310" i="1"/>
  <c r="T310" i="1"/>
  <c r="U310" i="1" s="1"/>
  <c r="S310" i="1"/>
  <c r="X309" i="1"/>
  <c r="V309" i="1"/>
  <c r="W309" i="1" s="1"/>
  <c r="T309" i="1"/>
  <c r="U309" i="1" s="1"/>
  <c r="S309" i="1"/>
  <c r="X308" i="1"/>
  <c r="V308" i="1"/>
  <c r="T308" i="1"/>
  <c r="U308" i="1" s="1"/>
  <c r="S308" i="1"/>
  <c r="X307" i="1"/>
  <c r="V307" i="1"/>
  <c r="T307" i="1"/>
  <c r="U307" i="1" s="1"/>
  <c r="S307" i="1"/>
  <c r="X306" i="1"/>
  <c r="V306" i="1"/>
  <c r="T306" i="1"/>
  <c r="U306" i="1" s="1"/>
  <c r="S306" i="1"/>
  <c r="X305" i="1"/>
  <c r="V305" i="1"/>
  <c r="T305" i="1"/>
  <c r="U305" i="1" s="1"/>
  <c r="S305" i="1"/>
  <c r="X304" i="1"/>
  <c r="V304" i="1"/>
  <c r="T304" i="1"/>
  <c r="U304" i="1" s="1"/>
  <c r="S304" i="1"/>
  <c r="X303" i="1"/>
  <c r="V303" i="1"/>
  <c r="T303" i="1"/>
  <c r="U303" i="1" s="1"/>
  <c r="S303" i="1"/>
  <c r="X302" i="1"/>
  <c r="V302" i="1"/>
  <c r="T302" i="1"/>
  <c r="U302" i="1" s="1"/>
  <c r="S302" i="1"/>
  <c r="X301" i="1"/>
  <c r="V301" i="1"/>
  <c r="T301" i="1"/>
  <c r="U301" i="1" s="1"/>
  <c r="S301" i="1"/>
  <c r="X300" i="1"/>
  <c r="V300" i="1"/>
  <c r="T300" i="1"/>
  <c r="U300" i="1" s="1"/>
  <c r="S300" i="1"/>
  <c r="X299" i="1"/>
  <c r="V299" i="1"/>
  <c r="T299" i="1"/>
  <c r="U299" i="1" s="1"/>
  <c r="S299" i="1"/>
  <c r="X298" i="1"/>
  <c r="V298" i="1"/>
  <c r="T298" i="1"/>
  <c r="U298" i="1" s="1"/>
  <c r="S298" i="1"/>
  <c r="X297" i="1"/>
  <c r="V297" i="1"/>
  <c r="T297" i="1"/>
  <c r="U297" i="1" s="1"/>
  <c r="S297" i="1"/>
  <c r="X296" i="1"/>
  <c r="V296" i="1"/>
  <c r="W296" i="1" s="1"/>
  <c r="T296" i="1"/>
  <c r="U296" i="1" s="1"/>
  <c r="S296" i="1"/>
  <c r="X295" i="1"/>
  <c r="V295" i="1"/>
  <c r="T295" i="1"/>
  <c r="U295" i="1" s="1"/>
  <c r="S295" i="1"/>
  <c r="X294" i="1"/>
  <c r="V294" i="1"/>
  <c r="T294" i="1"/>
  <c r="U294" i="1" s="1"/>
  <c r="S294" i="1"/>
  <c r="X293" i="1"/>
  <c r="V293" i="1"/>
  <c r="T293" i="1"/>
  <c r="U293" i="1" s="1"/>
  <c r="S293" i="1"/>
  <c r="X292" i="1"/>
  <c r="V292" i="1"/>
  <c r="T292" i="1"/>
  <c r="U292" i="1" s="1"/>
  <c r="S292" i="1"/>
  <c r="X291" i="1"/>
  <c r="V291" i="1"/>
  <c r="T291" i="1"/>
  <c r="U291" i="1" s="1"/>
  <c r="S291" i="1"/>
  <c r="X290" i="1"/>
  <c r="V290" i="1"/>
  <c r="T290" i="1"/>
  <c r="U290" i="1" s="1"/>
  <c r="S290" i="1"/>
  <c r="X289" i="1"/>
  <c r="V289" i="1"/>
  <c r="T289" i="1"/>
  <c r="U289" i="1" s="1"/>
  <c r="S289" i="1"/>
  <c r="X288" i="1"/>
  <c r="V288" i="1"/>
  <c r="W288" i="1" s="1"/>
  <c r="T288" i="1"/>
  <c r="U288" i="1" s="1"/>
  <c r="S288" i="1"/>
  <c r="X287" i="1"/>
  <c r="V287" i="1"/>
  <c r="W287" i="1" s="1"/>
  <c r="T287" i="1"/>
  <c r="U287" i="1" s="1"/>
  <c r="S287" i="1"/>
  <c r="X286" i="1"/>
  <c r="V286" i="1"/>
  <c r="T286" i="1"/>
  <c r="U286" i="1" s="1"/>
  <c r="S286" i="1"/>
  <c r="X285" i="1"/>
  <c r="V285" i="1"/>
  <c r="T285" i="1"/>
  <c r="U285" i="1" s="1"/>
  <c r="S285" i="1"/>
  <c r="X284" i="1"/>
  <c r="V284" i="1"/>
  <c r="T284" i="1"/>
  <c r="U284" i="1" s="1"/>
  <c r="S284" i="1"/>
  <c r="X283" i="1"/>
  <c r="V283" i="1"/>
  <c r="T283" i="1"/>
  <c r="U283" i="1" s="1"/>
  <c r="S283" i="1"/>
  <c r="X282" i="1"/>
  <c r="V282" i="1"/>
  <c r="W282" i="1" s="1"/>
  <c r="T282" i="1"/>
  <c r="U282" i="1" s="1"/>
  <c r="S282" i="1"/>
  <c r="X281" i="1"/>
  <c r="V281" i="1"/>
  <c r="T281" i="1"/>
  <c r="U281" i="1" s="1"/>
  <c r="S281" i="1"/>
  <c r="X280" i="1"/>
  <c r="V280" i="1"/>
  <c r="T280" i="1"/>
  <c r="U280" i="1" s="1"/>
  <c r="S280" i="1"/>
  <c r="X279" i="1"/>
  <c r="V279" i="1"/>
  <c r="T279" i="1"/>
  <c r="U279" i="1" s="1"/>
  <c r="S279" i="1"/>
  <c r="X278" i="1"/>
  <c r="V278" i="1"/>
  <c r="T278" i="1"/>
  <c r="U278" i="1" s="1"/>
  <c r="S278" i="1"/>
  <c r="X277" i="1"/>
  <c r="V277" i="1"/>
  <c r="T277" i="1"/>
  <c r="U277" i="1" s="1"/>
  <c r="S277" i="1"/>
  <c r="X276" i="1"/>
  <c r="V276" i="1"/>
  <c r="T276" i="1"/>
  <c r="U276" i="1" s="1"/>
  <c r="S276" i="1"/>
  <c r="X275" i="1"/>
  <c r="V275" i="1"/>
  <c r="T275" i="1"/>
  <c r="U275" i="1" s="1"/>
  <c r="S275" i="1"/>
  <c r="X274" i="1"/>
  <c r="V274" i="1"/>
  <c r="T274" i="1"/>
  <c r="U274" i="1" s="1"/>
  <c r="S274" i="1"/>
  <c r="X273" i="1"/>
  <c r="V273" i="1"/>
  <c r="W273" i="1" s="1"/>
  <c r="T273" i="1"/>
  <c r="U273" i="1" s="1"/>
  <c r="S273" i="1"/>
  <c r="X272" i="1"/>
  <c r="V272" i="1"/>
  <c r="W272" i="1" s="1"/>
  <c r="T272" i="1"/>
  <c r="U272" i="1" s="1"/>
  <c r="S272" i="1"/>
  <c r="X271" i="1"/>
  <c r="V271" i="1"/>
  <c r="T271" i="1"/>
  <c r="U271" i="1" s="1"/>
  <c r="S271" i="1"/>
  <c r="X270" i="1"/>
  <c r="V270" i="1"/>
  <c r="T270" i="1"/>
  <c r="U270" i="1" s="1"/>
  <c r="S270" i="1"/>
  <c r="X269" i="1"/>
  <c r="V269" i="1"/>
  <c r="T269" i="1"/>
  <c r="U269" i="1" s="1"/>
  <c r="S269" i="1"/>
  <c r="X268" i="1"/>
  <c r="V268" i="1"/>
  <c r="T268" i="1"/>
  <c r="U268" i="1" s="1"/>
  <c r="S268" i="1"/>
  <c r="X267" i="1"/>
  <c r="V267" i="1"/>
  <c r="T267" i="1"/>
  <c r="U267" i="1" s="1"/>
  <c r="S267" i="1"/>
  <c r="X266" i="1"/>
  <c r="V266" i="1"/>
  <c r="T266" i="1"/>
  <c r="U266" i="1" s="1"/>
  <c r="S266" i="1"/>
  <c r="X265" i="1"/>
  <c r="V265" i="1"/>
  <c r="W265" i="1" s="1"/>
  <c r="T265" i="1"/>
  <c r="U265" i="1" s="1"/>
  <c r="S265" i="1"/>
  <c r="X264" i="1"/>
  <c r="V264" i="1"/>
  <c r="T264" i="1"/>
  <c r="U264" i="1" s="1"/>
  <c r="S264" i="1"/>
  <c r="X263" i="1"/>
  <c r="V263" i="1"/>
  <c r="T263" i="1"/>
  <c r="U263" i="1" s="1"/>
  <c r="S263" i="1"/>
  <c r="X262" i="1"/>
  <c r="V262" i="1"/>
  <c r="T262" i="1"/>
  <c r="U262" i="1" s="1"/>
  <c r="S262" i="1"/>
  <c r="X261" i="1"/>
  <c r="V261" i="1"/>
  <c r="W261" i="1" s="1"/>
  <c r="T261" i="1"/>
  <c r="U261" i="1" s="1"/>
  <c r="S261" i="1"/>
  <c r="X260" i="1"/>
  <c r="V260" i="1"/>
  <c r="W260" i="1" s="1"/>
  <c r="T260" i="1"/>
  <c r="U260" i="1" s="1"/>
  <c r="S260" i="1"/>
  <c r="X259" i="1"/>
  <c r="V259" i="1"/>
  <c r="T259" i="1"/>
  <c r="U259" i="1" s="1"/>
  <c r="S259" i="1"/>
  <c r="X258" i="1"/>
  <c r="V258" i="1"/>
  <c r="T258" i="1"/>
  <c r="U258" i="1" s="1"/>
  <c r="S258" i="1"/>
  <c r="X257" i="1"/>
  <c r="V257" i="1"/>
  <c r="T257" i="1"/>
  <c r="U257" i="1" s="1"/>
  <c r="S257" i="1"/>
  <c r="X256" i="1"/>
  <c r="V256" i="1"/>
  <c r="T256" i="1"/>
  <c r="U256" i="1" s="1"/>
  <c r="S256" i="1"/>
  <c r="X255" i="1"/>
  <c r="V255" i="1"/>
  <c r="T255" i="1"/>
  <c r="U255" i="1" s="1"/>
  <c r="S255" i="1"/>
  <c r="X254" i="1"/>
  <c r="V254" i="1"/>
  <c r="T254" i="1"/>
  <c r="U254" i="1" s="1"/>
  <c r="S254" i="1"/>
  <c r="X253" i="1"/>
  <c r="V253" i="1"/>
  <c r="T253" i="1"/>
  <c r="U253" i="1" s="1"/>
  <c r="S253" i="1"/>
  <c r="X252" i="1"/>
  <c r="V252" i="1"/>
  <c r="T252" i="1"/>
  <c r="U252" i="1" s="1"/>
  <c r="S252" i="1"/>
  <c r="X251" i="1"/>
  <c r="V251" i="1"/>
  <c r="T251" i="1"/>
  <c r="U251" i="1" s="1"/>
  <c r="S251" i="1"/>
  <c r="X250" i="1"/>
  <c r="V250" i="1"/>
  <c r="T250" i="1"/>
  <c r="U250" i="1" s="1"/>
  <c r="S250" i="1"/>
  <c r="X249" i="1"/>
  <c r="V249" i="1"/>
  <c r="T249" i="1"/>
  <c r="U249" i="1" s="1"/>
  <c r="S249" i="1"/>
  <c r="X248" i="1"/>
  <c r="V248" i="1"/>
  <c r="T248" i="1"/>
  <c r="U248" i="1" s="1"/>
  <c r="S248" i="1"/>
  <c r="X247" i="1"/>
  <c r="V247" i="1"/>
  <c r="T247" i="1"/>
  <c r="U247" i="1" s="1"/>
  <c r="S247" i="1"/>
  <c r="X246" i="1"/>
  <c r="V246" i="1"/>
  <c r="T246" i="1"/>
  <c r="U246" i="1" s="1"/>
  <c r="S246" i="1"/>
  <c r="X245" i="1"/>
  <c r="V245" i="1"/>
  <c r="W245" i="1" s="1"/>
  <c r="T245" i="1"/>
  <c r="U245" i="1" s="1"/>
  <c r="S245" i="1"/>
  <c r="X244" i="1"/>
  <c r="V244" i="1"/>
  <c r="W244" i="1" s="1"/>
  <c r="T244" i="1"/>
  <c r="U244" i="1" s="1"/>
  <c r="S244" i="1"/>
  <c r="X243" i="1"/>
  <c r="V243" i="1"/>
  <c r="T243" i="1"/>
  <c r="U243" i="1" s="1"/>
  <c r="S243" i="1"/>
  <c r="X242" i="1"/>
  <c r="V242" i="1"/>
  <c r="T242" i="1"/>
  <c r="U242" i="1" s="1"/>
  <c r="S242" i="1"/>
  <c r="X241" i="1"/>
  <c r="V241" i="1"/>
  <c r="T241" i="1"/>
  <c r="U241" i="1" s="1"/>
  <c r="S241" i="1"/>
  <c r="X240" i="1"/>
  <c r="V240" i="1"/>
  <c r="W240" i="1" s="1"/>
  <c r="T240" i="1"/>
  <c r="U240" i="1" s="1"/>
  <c r="S240" i="1"/>
  <c r="X239" i="1"/>
  <c r="V239" i="1"/>
  <c r="T239" i="1"/>
  <c r="U239" i="1" s="1"/>
  <c r="S239" i="1"/>
  <c r="X238" i="1"/>
  <c r="V238" i="1"/>
  <c r="T238" i="1"/>
  <c r="U238" i="1" s="1"/>
  <c r="S238" i="1"/>
  <c r="X237" i="1"/>
  <c r="V237" i="1"/>
  <c r="T237" i="1"/>
  <c r="U237" i="1" s="1"/>
  <c r="S237" i="1"/>
  <c r="X236" i="1"/>
  <c r="V236" i="1"/>
  <c r="T236" i="1"/>
  <c r="U236" i="1" s="1"/>
  <c r="S236" i="1"/>
  <c r="X235" i="1"/>
  <c r="V235" i="1"/>
  <c r="T235" i="1"/>
  <c r="U235" i="1" s="1"/>
  <c r="S235" i="1"/>
  <c r="X234" i="1"/>
  <c r="V234" i="1"/>
  <c r="W234" i="1" s="1"/>
  <c r="T234" i="1"/>
  <c r="U234" i="1" s="1"/>
  <c r="S234" i="1"/>
  <c r="X233" i="1"/>
  <c r="V233" i="1"/>
  <c r="T233" i="1"/>
  <c r="U233" i="1" s="1"/>
  <c r="S233" i="1"/>
  <c r="X232" i="1"/>
  <c r="V232" i="1"/>
  <c r="T232" i="1"/>
  <c r="U232" i="1" s="1"/>
  <c r="S232" i="1"/>
  <c r="X231" i="1"/>
  <c r="V231" i="1"/>
  <c r="T231" i="1"/>
  <c r="U231" i="1" s="1"/>
  <c r="S231" i="1"/>
  <c r="X230" i="1"/>
  <c r="V230" i="1"/>
  <c r="T230" i="1"/>
  <c r="U230" i="1" s="1"/>
  <c r="S230" i="1"/>
  <c r="X229" i="1"/>
  <c r="V229" i="1"/>
  <c r="T229" i="1"/>
  <c r="U229" i="1" s="1"/>
  <c r="S229" i="1"/>
  <c r="X228" i="1"/>
  <c r="V228" i="1"/>
  <c r="T228" i="1"/>
  <c r="U228" i="1" s="1"/>
  <c r="S228" i="1"/>
  <c r="X227" i="1"/>
  <c r="V227" i="1"/>
  <c r="W227" i="1" s="1"/>
  <c r="T227" i="1"/>
  <c r="U227" i="1" s="1"/>
  <c r="S227" i="1"/>
  <c r="X226" i="1"/>
  <c r="V226" i="1"/>
  <c r="T226" i="1"/>
  <c r="U226" i="1" s="1"/>
  <c r="S226" i="1"/>
  <c r="X225" i="1"/>
  <c r="V225" i="1"/>
  <c r="T225" i="1"/>
  <c r="U225" i="1" s="1"/>
  <c r="S225" i="1"/>
  <c r="X224" i="1"/>
  <c r="V224" i="1"/>
  <c r="T224" i="1"/>
  <c r="U224" i="1" s="1"/>
  <c r="S224" i="1"/>
  <c r="X223" i="1"/>
  <c r="V223" i="1"/>
  <c r="T223" i="1"/>
  <c r="U223" i="1" s="1"/>
  <c r="S223" i="1"/>
  <c r="X222" i="1"/>
  <c r="V222" i="1"/>
  <c r="T222" i="1"/>
  <c r="U222" i="1" s="1"/>
  <c r="S222" i="1"/>
  <c r="X221" i="1"/>
  <c r="V221" i="1"/>
  <c r="T221" i="1"/>
  <c r="U221" i="1" s="1"/>
  <c r="S221" i="1"/>
  <c r="X220" i="1"/>
  <c r="V220" i="1"/>
  <c r="T220" i="1"/>
  <c r="U220" i="1" s="1"/>
  <c r="S220" i="1"/>
  <c r="X219" i="1"/>
  <c r="V219" i="1"/>
  <c r="T219" i="1"/>
  <c r="U219" i="1" s="1"/>
  <c r="S219" i="1"/>
  <c r="X218" i="1"/>
  <c r="V218" i="1"/>
  <c r="T218" i="1"/>
  <c r="U218" i="1" s="1"/>
  <c r="S218" i="1"/>
  <c r="X217" i="1"/>
  <c r="V217" i="1"/>
  <c r="T217" i="1"/>
  <c r="U217" i="1" s="1"/>
  <c r="S217" i="1"/>
  <c r="X216" i="1"/>
  <c r="V216" i="1"/>
  <c r="T216" i="1"/>
  <c r="U216" i="1" s="1"/>
  <c r="S216" i="1"/>
  <c r="X215" i="1"/>
  <c r="V215" i="1"/>
  <c r="T215" i="1"/>
  <c r="U215" i="1" s="1"/>
  <c r="S215" i="1"/>
  <c r="X214" i="1"/>
  <c r="V214" i="1"/>
  <c r="T214" i="1"/>
  <c r="U214" i="1" s="1"/>
  <c r="S214" i="1"/>
  <c r="X213" i="1"/>
  <c r="V213" i="1"/>
  <c r="W213" i="1" s="1"/>
  <c r="T213" i="1"/>
  <c r="U213" i="1" s="1"/>
  <c r="S213" i="1"/>
  <c r="X212" i="1"/>
  <c r="V212" i="1"/>
  <c r="T212" i="1"/>
  <c r="U212" i="1" s="1"/>
  <c r="S212" i="1"/>
  <c r="X211" i="1"/>
  <c r="V211" i="1"/>
  <c r="T211" i="1"/>
  <c r="U211" i="1" s="1"/>
  <c r="S211" i="1"/>
  <c r="X210" i="1"/>
  <c r="V210" i="1"/>
  <c r="T210" i="1"/>
  <c r="U210" i="1" s="1"/>
  <c r="S210" i="1"/>
  <c r="X209" i="1"/>
  <c r="V209" i="1"/>
  <c r="T209" i="1"/>
  <c r="U209" i="1" s="1"/>
  <c r="S209" i="1"/>
  <c r="X208" i="1"/>
  <c r="V208" i="1"/>
  <c r="T208" i="1"/>
  <c r="U208" i="1" s="1"/>
  <c r="S208" i="1"/>
  <c r="X207" i="1"/>
  <c r="V207" i="1"/>
  <c r="W207" i="1" s="1"/>
  <c r="T207" i="1"/>
  <c r="U207" i="1" s="1"/>
  <c r="S207" i="1"/>
  <c r="X206" i="1"/>
  <c r="V206" i="1"/>
  <c r="T206" i="1"/>
  <c r="U206" i="1" s="1"/>
  <c r="S206" i="1"/>
  <c r="X205" i="1"/>
  <c r="V205" i="1"/>
  <c r="T205" i="1"/>
  <c r="U205" i="1" s="1"/>
  <c r="S205" i="1"/>
  <c r="X204" i="1"/>
  <c r="V204" i="1"/>
  <c r="W204" i="1" s="1"/>
  <c r="T204" i="1"/>
  <c r="U204" i="1" s="1"/>
  <c r="S204" i="1"/>
  <c r="X203" i="1"/>
  <c r="V203" i="1"/>
  <c r="T203" i="1"/>
  <c r="U203" i="1" s="1"/>
  <c r="S203" i="1"/>
  <c r="X202" i="1"/>
  <c r="V202" i="1"/>
  <c r="T202" i="1"/>
  <c r="U202" i="1" s="1"/>
  <c r="S202" i="1"/>
  <c r="X201" i="1"/>
  <c r="V201" i="1"/>
  <c r="T201" i="1"/>
  <c r="U201" i="1" s="1"/>
  <c r="S201" i="1"/>
  <c r="X200" i="1"/>
  <c r="V200" i="1"/>
  <c r="T200" i="1"/>
  <c r="U200" i="1" s="1"/>
  <c r="S200" i="1"/>
  <c r="X199" i="1"/>
  <c r="V199" i="1"/>
  <c r="T199" i="1"/>
  <c r="U199" i="1" s="1"/>
  <c r="S199" i="1"/>
  <c r="X198" i="1"/>
  <c r="V198" i="1"/>
  <c r="T198" i="1"/>
  <c r="U198" i="1" s="1"/>
  <c r="S198" i="1"/>
  <c r="X197" i="1"/>
  <c r="V197" i="1"/>
  <c r="W197" i="1" s="1"/>
  <c r="T197" i="1"/>
  <c r="U197" i="1" s="1"/>
  <c r="S197" i="1"/>
  <c r="X196" i="1"/>
  <c r="V196" i="1"/>
  <c r="T196" i="1"/>
  <c r="U196" i="1" s="1"/>
  <c r="S196" i="1"/>
  <c r="X195" i="1"/>
  <c r="V195" i="1"/>
  <c r="T195" i="1"/>
  <c r="U195" i="1" s="1"/>
  <c r="S195" i="1"/>
  <c r="X194" i="1"/>
  <c r="V194" i="1"/>
  <c r="T194" i="1"/>
  <c r="U194" i="1" s="1"/>
  <c r="S194" i="1"/>
  <c r="X193" i="1"/>
  <c r="V193" i="1"/>
  <c r="W193" i="1" s="1"/>
  <c r="T193" i="1"/>
  <c r="U193" i="1" s="1"/>
  <c r="S193" i="1"/>
  <c r="X192" i="1"/>
  <c r="V192" i="1"/>
  <c r="T192" i="1"/>
  <c r="U192" i="1" s="1"/>
  <c r="S192" i="1"/>
  <c r="X191" i="1"/>
  <c r="V191" i="1"/>
  <c r="T191" i="1"/>
  <c r="U191" i="1" s="1"/>
  <c r="S191" i="1"/>
  <c r="X190" i="1"/>
  <c r="V190" i="1"/>
  <c r="T190" i="1"/>
  <c r="U190" i="1" s="1"/>
  <c r="S190" i="1"/>
  <c r="X189" i="1"/>
  <c r="V189" i="1"/>
  <c r="T189" i="1"/>
  <c r="U189" i="1" s="1"/>
  <c r="S189" i="1"/>
  <c r="X188" i="1"/>
  <c r="V188" i="1"/>
  <c r="T188" i="1"/>
  <c r="U188" i="1" s="1"/>
  <c r="S188" i="1"/>
  <c r="X187" i="1"/>
  <c r="V187" i="1"/>
  <c r="T187" i="1"/>
  <c r="U187" i="1" s="1"/>
  <c r="S187" i="1"/>
  <c r="X186" i="1"/>
  <c r="V186" i="1"/>
  <c r="T186" i="1"/>
  <c r="U186" i="1" s="1"/>
  <c r="S186" i="1"/>
  <c r="X185" i="1"/>
  <c r="V185" i="1"/>
  <c r="T185" i="1"/>
  <c r="U185" i="1" s="1"/>
  <c r="S185" i="1"/>
  <c r="X184" i="1"/>
  <c r="V184" i="1"/>
  <c r="T184" i="1"/>
  <c r="U184" i="1" s="1"/>
  <c r="S184" i="1"/>
  <c r="X183" i="1"/>
  <c r="V183" i="1"/>
  <c r="T183" i="1"/>
  <c r="U183" i="1" s="1"/>
  <c r="S183" i="1"/>
  <c r="X182" i="1"/>
  <c r="V182" i="1"/>
  <c r="T182" i="1"/>
  <c r="U182" i="1" s="1"/>
  <c r="S182" i="1"/>
  <c r="X181" i="1"/>
  <c r="V181" i="1"/>
  <c r="W181" i="1" s="1"/>
  <c r="T181" i="1"/>
  <c r="U181" i="1" s="1"/>
  <c r="S181" i="1"/>
  <c r="X180" i="1"/>
  <c r="V180" i="1"/>
  <c r="T180" i="1"/>
  <c r="U180" i="1" s="1"/>
  <c r="S180" i="1"/>
  <c r="X179" i="1"/>
  <c r="V179" i="1"/>
  <c r="T179" i="1"/>
  <c r="U179" i="1" s="1"/>
  <c r="S179" i="1"/>
  <c r="X178" i="1"/>
  <c r="V178" i="1"/>
  <c r="T178" i="1"/>
  <c r="U178" i="1" s="1"/>
  <c r="S178" i="1"/>
  <c r="X177" i="1"/>
  <c r="V177" i="1"/>
  <c r="T177" i="1"/>
  <c r="U177" i="1" s="1"/>
  <c r="S177" i="1"/>
  <c r="X176" i="1"/>
  <c r="V176" i="1"/>
  <c r="T176" i="1"/>
  <c r="U176" i="1" s="1"/>
  <c r="S176" i="1"/>
  <c r="X175" i="1"/>
  <c r="V175" i="1"/>
  <c r="T175" i="1"/>
  <c r="U175" i="1" s="1"/>
  <c r="S175" i="1"/>
  <c r="X174" i="1"/>
  <c r="V174" i="1"/>
  <c r="W174" i="1" s="1"/>
  <c r="T174" i="1"/>
  <c r="U174" i="1" s="1"/>
  <c r="S174" i="1"/>
  <c r="X173" i="1"/>
  <c r="V173" i="1"/>
  <c r="T173" i="1"/>
  <c r="U173" i="1" s="1"/>
  <c r="S173" i="1"/>
  <c r="X172" i="1"/>
  <c r="V172" i="1"/>
  <c r="T172" i="1"/>
  <c r="U172" i="1" s="1"/>
  <c r="S172" i="1"/>
  <c r="X171" i="1"/>
  <c r="V171" i="1"/>
  <c r="T171" i="1"/>
  <c r="U171" i="1" s="1"/>
  <c r="S171" i="1"/>
  <c r="X170" i="1"/>
  <c r="V170" i="1"/>
  <c r="T170" i="1"/>
  <c r="U170" i="1" s="1"/>
  <c r="S170" i="1"/>
  <c r="X169" i="1"/>
  <c r="V169" i="1"/>
  <c r="T169" i="1"/>
  <c r="U169" i="1" s="1"/>
  <c r="S169" i="1"/>
  <c r="X168" i="1"/>
  <c r="V168" i="1"/>
  <c r="T168" i="1"/>
  <c r="U168" i="1" s="1"/>
  <c r="S168" i="1"/>
  <c r="X167" i="1"/>
  <c r="V167" i="1"/>
  <c r="W167" i="1" s="1"/>
  <c r="T167" i="1"/>
  <c r="U167" i="1" s="1"/>
  <c r="S167" i="1"/>
  <c r="X166" i="1"/>
  <c r="V166" i="1"/>
  <c r="T166" i="1"/>
  <c r="U166" i="1" s="1"/>
  <c r="S166" i="1"/>
  <c r="X165" i="1"/>
  <c r="V165" i="1"/>
  <c r="T165" i="1"/>
  <c r="U165" i="1" s="1"/>
  <c r="S165" i="1"/>
  <c r="X164" i="1"/>
  <c r="V164" i="1"/>
  <c r="T164" i="1"/>
  <c r="U164" i="1" s="1"/>
  <c r="S164" i="1"/>
  <c r="X163" i="1"/>
  <c r="V163" i="1"/>
  <c r="T163" i="1"/>
  <c r="U163" i="1" s="1"/>
  <c r="S163" i="1"/>
  <c r="X162" i="1"/>
  <c r="V162" i="1"/>
  <c r="T162" i="1"/>
  <c r="U162" i="1" s="1"/>
  <c r="S162" i="1"/>
  <c r="X161" i="1"/>
  <c r="V161" i="1"/>
  <c r="T161" i="1"/>
  <c r="U161" i="1" s="1"/>
  <c r="S161" i="1"/>
  <c r="X160" i="1"/>
  <c r="V160" i="1"/>
  <c r="T160" i="1"/>
  <c r="U160" i="1" s="1"/>
  <c r="S160" i="1"/>
  <c r="X159" i="1"/>
  <c r="V159" i="1"/>
  <c r="T159" i="1"/>
  <c r="U159" i="1" s="1"/>
  <c r="S159" i="1"/>
  <c r="X158" i="1"/>
  <c r="V158" i="1"/>
  <c r="T158" i="1"/>
  <c r="U158" i="1" s="1"/>
  <c r="S158" i="1"/>
  <c r="X157" i="1"/>
  <c r="V157" i="1"/>
  <c r="T157" i="1"/>
  <c r="U157" i="1" s="1"/>
  <c r="S157" i="1"/>
  <c r="X156" i="1"/>
  <c r="V156" i="1"/>
  <c r="T156" i="1"/>
  <c r="U156" i="1" s="1"/>
  <c r="S156" i="1"/>
  <c r="X155" i="1"/>
  <c r="V155" i="1"/>
  <c r="T155" i="1"/>
  <c r="U155" i="1" s="1"/>
  <c r="S155" i="1"/>
  <c r="X154" i="1"/>
  <c r="V154" i="1"/>
  <c r="T154" i="1"/>
  <c r="U154" i="1" s="1"/>
  <c r="S154" i="1"/>
  <c r="X153" i="1"/>
  <c r="V153" i="1"/>
  <c r="T153" i="1"/>
  <c r="U153" i="1" s="1"/>
  <c r="S153" i="1"/>
  <c r="X152" i="1"/>
  <c r="V152" i="1"/>
  <c r="T152" i="1"/>
  <c r="U152" i="1" s="1"/>
  <c r="S152" i="1"/>
  <c r="X151" i="1"/>
  <c r="V151" i="1"/>
  <c r="T151" i="1"/>
  <c r="U151" i="1" s="1"/>
  <c r="S151" i="1"/>
  <c r="X150" i="1"/>
  <c r="V150" i="1"/>
  <c r="T150" i="1"/>
  <c r="U150" i="1" s="1"/>
  <c r="S150" i="1"/>
  <c r="X149" i="1"/>
  <c r="V149" i="1"/>
  <c r="T149" i="1"/>
  <c r="U149" i="1" s="1"/>
  <c r="S149" i="1"/>
  <c r="X148" i="1"/>
  <c r="V148" i="1"/>
  <c r="T148" i="1"/>
  <c r="U148" i="1" s="1"/>
  <c r="S148" i="1"/>
  <c r="X147" i="1"/>
  <c r="V147" i="1"/>
  <c r="T147" i="1"/>
  <c r="U147" i="1" s="1"/>
  <c r="S147" i="1"/>
  <c r="X146" i="1"/>
  <c r="V146" i="1"/>
  <c r="T146" i="1"/>
  <c r="U146" i="1" s="1"/>
  <c r="S146" i="1"/>
  <c r="X145" i="1"/>
  <c r="V145" i="1"/>
  <c r="T145" i="1"/>
  <c r="U145" i="1" s="1"/>
  <c r="S145" i="1"/>
  <c r="X144" i="1"/>
  <c r="V144" i="1"/>
  <c r="T144" i="1"/>
  <c r="U144" i="1" s="1"/>
  <c r="S144" i="1"/>
  <c r="X143" i="1"/>
  <c r="V143" i="1"/>
  <c r="T143" i="1"/>
  <c r="U143" i="1" s="1"/>
  <c r="S143" i="1"/>
  <c r="X142" i="1"/>
  <c r="V142" i="1"/>
  <c r="T142" i="1"/>
  <c r="U142" i="1" s="1"/>
  <c r="S142" i="1"/>
  <c r="X141" i="1"/>
  <c r="V141" i="1"/>
  <c r="T141" i="1"/>
  <c r="U141" i="1" s="1"/>
  <c r="S141" i="1"/>
  <c r="X140" i="1"/>
  <c r="V140" i="1"/>
  <c r="T140" i="1"/>
  <c r="U140" i="1" s="1"/>
  <c r="S140" i="1"/>
  <c r="X139" i="1"/>
  <c r="V139" i="1"/>
  <c r="T139" i="1"/>
  <c r="U139" i="1" s="1"/>
  <c r="S139" i="1"/>
  <c r="X138" i="1"/>
  <c r="V138" i="1"/>
  <c r="T138" i="1"/>
  <c r="U138" i="1" s="1"/>
  <c r="S138" i="1"/>
  <c r="X137" i="1"/>
  <c r="V137" i="1"/>
  <c r="T137" i="1"/>
  <c r="U137" i="1" s="1"/>
  <c r="S137" i="1"/>
  <c r="X136" i="1"/>
  <c r="V136" i="1"/>
  <c r="T136" i="1"/>
  <c r="U136" i="1" s="1"/>
  <c r="S136" i="1"/>
  <c r="X135" i="1"/>
  <c r="V135" i="1"/>
  <c r="T135" i="1"/>
  <c r="U135" i="1" s="1"/>
  <c r="S135" i="1"/>
  <c r="X134" i="1"/>
  <c r="V134" i="1"/>
  <c r="T134" i="1"/>
  <c r="U134" i="1" s="1"/>
  <c r="S134" i="1"/>
  <c r="X133" i="1"/>
  <c r="V133" i="1"/>
  <c r="T133" i="1"/>
  <c r="U133" i="1" s="1"/>
  <c r="S133" i="1"/>
  <c r="X132" i="1"/>
  <c r="V132" i="1"/>
  <c r="W132" i="1" s="1"/>
  <c r="T132" i="1"/>
  <c r="U132" i="1" s="1"/>
  <c r="S132" i="1"/>
  <c r="X131" i="1"/>
  <c r="V131" i="1"/>
  <c r="W131" i="1" s="1"/>
  <c r="T131" i="1"/>
  <c r="U131" i="1" s="1"/>
  <c r="S131" i="1"/>
  <c r="X130" i="1"/>
  <c r="V130" i="1"/>
  <c r="T130" i="1"/>
  <c r="U130" i="1" s="1"/>
  <c r="S130" i="1"/>
  <c r="X129" i="1"/>
  <c r="V129" i="1"/>
  <c r="T129" i="1"/>
  <c r="U129" i="1" s="1"/>
  <c r="S129" i="1"/>
  <c r="X128" i="1"/>
  <c r="V128" i="1"/>
  <c r="T128" i="1"/>
  <c r="U128" i="1" s="1"/>
  <c r="S128" i="1"/>
  <c r="X127" i="1"/>
  <c r="V127" i="1"/>
  <c r="T127" i="1"/>
  <c r="U127" i="1" s="1"/>
  <c r="S127" i="1"/>
  <c r="X126" i="1"/>
  <c r="V126" i="1"/>
  <c r="T126" i="1"/>
  <c r="U126" i="1" s="1"/>
  <c r="S126" i="1"/>
  <c r="X125" i="1"/>
  <c r="V125" i="1"/>
  <c r="T125" i="1"/>
  <c r="U125" i="1" s="1"/>
  <c r="S125" i="1"/>
  <c r="X124" i="1"/>
  <c r="V124" i="1"/>
  <c r="T124" i="1"/>
  <c r="U124" i="1" s="1"/>
  <c r="S124" i="1"/>
  <c r="X123" i="1"/>
  <c r="V123" i="1"/>
  <c r="T123" i="1"/>
  <c r="U123" i="1" s="1"/>
  <c r="S123" i="1"/>
  <c r="X122" i="1"/>
  <c r="V122" i="1"/>
  <c r="W122" i="1" s="1"/>
  <c r="T122" i="1"/>
  <c r="U122" i="1" s="1"/>
  <c r="S122" i="1"/>
  <c r="X121" i="1"/>
  <c r="V121" i="1"/>
  <c r="W121" i="1" s="1"/>
  <c r="T121" i="1"/>
  <c r="U121" i="1" s="1"/>
  <c r="S121" i="1"/>
  <c r="X120" i="1"/>
  <c r="V120" i="1"/>
  <c r="W120" i="1" s="1"/>
  <c r="T120" i="1"/>
  <c r="U120" i="1" s="1"/>
  <c r="S120" i="1"/>
  <c r="X119" i="1"/>
  <c r="V119" i="1"/>
  <c r="T119" i="1"/>
  <c r="U119" i="1" s="1"/>
  <c r="S119" i="1"/>
  <c r="X118" i="1"/>
  <c r="V118" i="1"/>
  <c r="T118" i="1"/>
  <c r="U118" i="1" s="1"/>
  <c r="S118" i="1"/>
  <c r="X117" i="1"/>
  <c r="V117" i="1"/>
  <c r="T117" i="1"/>
  <c r="U117" i="1" s="1"/>
  <c r="S117" i="1"/>
  <c r="X116" i="1"/>
  <c r="V116" i="1"/>
  <c r="T116" i="1"/>
  <c r="U116" i="1" s="1"/>
  <c r="S116" i="1"/>
  <c r="X115" i="1"/>
  <c r="V115" i="1"/>
  <c r="T115" i="1"/>
  <c r="U115" i="1" s="1"/>
  <c r="S115" i="1"/>
  <c r="X114" i="1"/>
  <c r="V114" i="1"/>
  <c r="T114" i="1"/>
  <c r="U114" i="1" s="1"/>
  <c r="S114" i="1"/>
  <c r="X113" i="1"/>
  <c r="V113" i="1"/>
  <c r="T113" i="1"/>
  <c r="U113" i="1" s="1"/>
  <c r="S113" i="1"/>
  <c r="X112" i="1"/>
  <c r="V112" i="1"/>
  <c r="W112" i="1" s="1"/>
  <c r="T112" i="1"/>
  <c r="U112" i="1" s="1"/>
  <c r="S112" i="1"/>
  <c r="X111" i="1"/>
  <c r="V111" i="1"/>
  <c r="W111" i="1" s="1"/>
  <c r="T111" i="1"/>
  <c r="U111" i="1" s="1"/>
  <c r="S111" i="1"/>
  <c r="X110" i="1"/>
  <c r="V110" i="1"/>
  <c r="T110" i="1"/>
  <c r="U110" i="1" s="1"/>
  <c r="S110" i="1"/>
  <c r="X109" i="1"/>
  <c r="V109" i="1"/>
  <c r="T109" i="1"/>
  <c r="U109" i="1" s="1"/>
  <c r="S109" i="1"/>
  <c r="X108" i="1"/>
  <c r="V108" i="1"/>
  <c r="T108" i="1"/>
  <c r="U108" i="1" s="1"/>
  <c r="S108" i="1"/>
  <c r="X107" i="1"/>
  <c r="V107" i="1"/>
  <c r="T107" i="1"/>
  <c r="U107" i="1" s="1"/>
  <c r="S107" i="1"/>
  <c r="X106" i="1"/>
  <c r="V106" i="1"/>
  <c r="W106" i="1" s="1"/>
  <c r="T106" i="1"/>
  <c r="U106" i="1" s="1"/>
  <c r="S106" i="1"/>
  <c r="X105" i="1"/>
  <c r="V105" i="1"/>
  <c r="W105" i="1" s="1"/>
  <c r="T105" i="1"/>
  <c r="U105" i="1" s="1"/>
  <c r="S105" i="1"/>
  <c r="X104" i="1"/>
  <c r="V104" i="1"/>
  <c r="W104" i="1" s="1"/>
  <c r="T104" i="1"/>
  <c r="U104" i="1" s="1"/>
  <c r="S104" i="1"/>
  <c r="X103" i="1"/>
  <c r="V103" i="1"/>
  <c r="W103" i="1" s="1"/>
  <c r="T103" i="1"/>
  <c r="U103" i="1" s="1"/>
  <c r="S103" i="1"/>
  <c r="X102" i="1"/>
  <c r="V102" i="1"/>
  <c r="W102" i="1" s="1"/>
  <c r="T102" i="1"/>
  <c r="U102" i="1" s="1"/>
  <c r="S102" i="1"/>
  <c r="X101" i="1"/>
  <c r="V101" i="1"/>
  <c r="W101" i="1" s="1"/>
  <c r="T101" i="1"/>
  <c r="U101" i="1" s="1"/>
  <c r="S101" i="1"/>
  <c r="X100" i="1"/>
  <c r="V100" i="1"/>
  <c r="W100" i="1" s="1"/>
  <c r="T100" i="1"/>
  <c r="U100" i="1" s="1"/>
  <c r="S100" i="1"/>
  <c r="X99" i="1"/>
  <c r="V99" i="1"/>
  <c r="T99" i="1"/>
  <c r="U99" i="1" s="1"/>
  <c r="S99" i="1"/>
  <c r="X98" i="1"/>
  <c r="V98" i="1"/>
  <c r="T98" i="1"/>
  <c r="U98" i="1" s="1"/>
  <c r="S98" i="1"/>
  <c r="X97" i="1"/>
  <c r="V97" i="1"/>
  <c r="T97" i="1"/>
  <c r="U97" i="1" s="1"/>
  <c r="S97" i="1"/>
  <c r="X96" i="1"/>
  <c r="V96" i="1"/>
  <c r="T96" i="1"/>
  <c r="U96" i="1" s="1"/>
  <c r="S96" i="1"/>
  <c r="X95" i="1"/>
  <c r="V95" i="1"/>
  <c r="T95" i="1"/>
  <c r="U95" i="1" s="1"/>
  <c r="S95" i="1"/>
  <c r="X94" i="1"/>
  <c r="V94" i="1"/>
  <c r="W94" i="1" s="1"/>
  <c r="T94" i="1"/>
  <c r="U94" i="1" s="1"/>
  <c r="S94" i="1"/>
  <c r="X93" i="1"/>
  <c r="V93" i="1"/>
  <c r="T93" i="1"/>
  <c r="U93" i="1" s="1"/>
  <c r="S93" i="1"/>
  <c r="X92" i="1"/>
  <c r="V92" i="1"/>
  <c r="W92" i="1" s="1"/>
  <c r="T92" i="1"/>
  <c r="U92" i="1" s="1"/>
  <c r="S92" i="1"/>
  <c r="X91" i="1"/>
  <c r="V91" i="1"/>
  <c r="T91" i="1"/>
  <c r="U91" i="1" s="1"/>
  <c r="S91" i="1"/>
  <c r="X90" i="1"/>
  <c r="V90" i="1"/>
  <c r="T90" i="1"/>
  <c r="U90" i="1" s="1"/>
  <c r="S90" i="1"/>
  <c r="X89" i="1"/>
  <c r="V89" i="1"/>
  <c r="T89" i="1"/>
  <c r="U89" i="1" s="1"/>
  <c r="S89" i="1"/>
  <c r="X88" i="1"/>
  <c r="V88" i="1"/>
  <c r="T88" i="1"/>
  <c r="U88" i="1" s="1"/>
  <c r="S88" i="1"/>
  <c r="X87" i="1"/>
  <c r="V87" i="1"/>
  <c r="T87" i="1"/>
  <c r="U87" i="1" s="1"/>
  <c r="S87" i="1"/>
  <c r="X86" i="1"/>
  <c r="V86" i="1"/>
  <c r="T86" i="1"/>
  <c r="U86" i="1" s="1"/>
  <c r="S86" i="1"/>
  <c r="X85" i="1"/>
  <c r="V85" i="1"/>
  <c r="T85" i="1"/>
  <c r="U85" i="1" s="1"/>
  <c r="S85" i="1"/>
  <c r="X84" i="1"/>
  <c r="V84" i="1"/>
  <c r="T84" i="1"/>
  <c r="U84" i="1" s="1"/>
  <c r="S84" i="1"/>
  <c r="X83" i="1"/>
  <c r="V83" i="1"/>
  <c r="W83" i="1" s="1"/>
  <c r="T83" i="1"/>
  <c r="U83" i="1" s="1"/>
  <c r="S83" i="1"/>
  <c r="X82" i="1"/>
  <c r="V82" i="1"/>
  <c r="T82" i="1"/>
  <c r="U82" i="1" s="1"/>
  <c r="S82" i="1"/>
  <c r="X81" i="1"/>
  <c r="V81" i="1"/>
  <c r="T81" i="1"/>
  <c r="U81" i="1" s="1"/>
  <c r="S81" i="1"/>
  <c r="X80" i="1"/>
  <c r="V80" i="1"/>
  <c r="T80" i="1"/>
  <c r="U80" i="1" s="1"/>
  <c r="S80" i="1"/>
  <c r="X79" i="1"/>
  <c r="V79" i="1"/>
  <c r="T79" i="1"/>
  <c r="U79" i="1" s="1"/>
  <c r="S79" i="1"/>
  <c r="X78" i="1"/>
  <c r="V78" i="1"/>
  <c r="T78" i="1"/>
  <c r="U78" i="1" s="1"/>
  <c r="S78" i="1"/>
  <c r="X77" i="1"/>
  <c r="V77" i="1"/>
  <c r="T77" i="1"/>
  <c r="U77" i="1" s="1"/>
  <c r="S77" i="1"/>
  <c r="X76" i="1"/>
  <c r="V76" i="1"/>
  <c r="T76" i="1"/>
  <c r="U76" i="1" s="1"/>
  <c r="S76" i="1"/>
  <c r="X75" i="1"/>
  <c r="V75" i="1"/>
  <c r="T75" i="1"/>
  <c r="U75" i="1" s="1"/>
  <c r="S75" i="1"/>
  <c r="X74" i="1"/>
  <c r="V74" i="1"/>
  <c r="T74" i="1"/>
  <c r="U74" i="1" s="1"/>
  <c r="S74" i="1"/>
  <c r="X73" i="1"/>
  <c r="V73" i="1"/>
  <c r="T73" i="1"/>
  <c r="U73" i="1" s="1"/>
  <c r="S73" i="1"/>
  <c r="X72" i="1"/>
  <c r="V72" i="1"/>
  <c r="W72" i="1" s="1"/>
  <c r="T72" i="1"/>
  <c r="U72" i="1" s="1"/>
  <c r="S72" i="1"/>
  <c r="X71" i="1"/>
  <c r="V71" i="1"/>
  <c r="T71" i="1"/>
  <c r="U71" i="1" s="1"/>
  <c r="S71" i="1"/>
  <c r="X70" i="1"/>
  <c r="V70" i="1"/>
  <c r="T70" i="1"/>
  <c r="U70" i="1" s="1"/>
  <c r="S70" i="1"/>
  <c r="X69" i="1"/>
  <c r="V69" i="1"/>
  <c r="T69" i="1"/>
  <c r="U69" i="1" s="1"/>
  <c r="S69" i="1"/>
  <c r="X68" i="1"/>
  <c r="V68" i="1"/>
  <c r="T68" i="1"/>
  <c r="U68" i="1" s="1"/>
  <c r="S68" i="1"/>
  <c r="X67" i="1"/>
  <c r="V67" i="1"/>
  <c r="T67" i="1"/>
  <c r="U67" i="1" s="1"/>
  <c r="S67" i="1"/>
  <c r="X66" i="1"/>
  <c r="V66" i="1"/>
  <c r="T66" i="1"/>
  <c r="U66" i="1" s="1"/>
  <c r="S66" i="1"/>
  <c r="X65" i="1"/>
  <c r="V65" i="1"/>
  <c r="T65" i="1"/>
  <c r="U65" i="1" s="1"/>
  <c r="S65" i="1"/>
  <c r="X64" i="1"/>
  <c r="V64" i="1"/>
  <c r="T64" i="1"/>
  <c r="U64" i="1" s="1"/>
  <c r="S64" i="1"/>
  <c r="X63" i="1"/>
  <c r="V63" i="1"/>
  <c r="T63" i="1"/>
  <c r="U63" i="1" s="1"/>
  <c r="S63" i="1"/>
  <c r="X62" i="1"/>
  <c r="V62" i="1"/>
  <c r="T62" i="1"/>
  <c r="U62" i="1" s="1"/>
  <c r="S62" i="1"/>
  <c r="X61" i="1"/>
  <c r="V61" i="1"/>
  <c r="T61" i="1"/>
  <c r="U61" i="1" s="1"/>
  <c r="S61" i="1"/>
  <c r="X60" i="1"/>
  <c r="V60" i="1"/>
  <c r="T60" i="1"/>
  <c r="U60" i="1" s="1"/>
  <c r="S60" i="1"/>
  <c r="X59" i="1"/>
  <c r="V59" i="1"/>
  <c r="T59" i="1"/>
  <c r="U59" i="1" s="1"/>
  <c r="S59" i="1"/>
  <c r="X58" i="1"/>
  <c r="V58" i="1"/>
  <c r="T58" i="1"/>
  <c r="U58" i="1" s="1"/>
  <c r="S58" i="1"/>
  <c r="X57" i="1"/>
  <c r="V57" i="1"/>
  <c r="T57" i="1"/>
  <c r="U57" i="1" s="1"/>
  <c r="S57" i="1"/>
  <c r="X56" i="1"/>
  <c r="V56" i="1"/>
  <c r="T56" i="1"/>
  <c r="U56" i="1" s="1"/>
  <c r="S56" i="1"/>
  <c r="X55" i="1"/>
  <c r="V55" i="1"/>
  <c r="T55" i="1"/>
  <c r="S55" i="1"/>
  <c r="X54" i="1"/>
  <c r="V54" i="1"/>
  <c r="T54" i="1"/>
  <c r="U54" i="1" s="1"/>
  <c r="S54" i="1"/>
  <c r="X53" i="1"/>
  <c r="V53" i="1"/>
  <c r="T53" i="1"/>
  <c r="U53" i="1" s="1"/>
  <c r="S53" i="1"/>
  <c r="X52" i="1"/>
  <c r="V52" i="1"/>
  <c r="T52" i="1"/>
  <c r="U52" i="1" s="1"/>
  <c r="S52" i="1"/>
  <c r="X51" i="1"/>
  <c r="V51" i="1"/>
  <c r="T51" i="1"/>
  <c r="U51" i="1" s="1"/>
  <c r="S51" i="1"/>
  <c r="X50" i="1"/>
  <c r="V50" i="1"/>
  <c r="T50" i="1"/>
  <c r="U50" i="1" s="1"/>
  <c r="S50" i="1"/>
  <c r="X49" i="1"/>
  <c r="V49" i="1"/>
  <c r="T49" i="1"/>
  <c r="U49" i="1" s="1"/>
  <c r="S49" i="1"/>
  <c r="X48" i="1"/>
  <c r="V48" i="1"/>
  <c r="T48" i="1"/>
  <c r="U48" i="1" s="1"/>
  <c r="S48" i="1"/>
  <c r="X47" i="1"/>
  <c r="V47" i="1"/>
  <c r="T47" i="1"/>
  <c r="U47" i="1" s="1"/>
  <c r="S47" i="1"/>
  <c r="X46" i="1"/>
  <c r="V46" i="1"/>
  <c r="T46" i="1"/>
  <c r="U46" i="1" s="1"/>
  <c r="S46" i="1"/>
  <c r="X45" i="1"/>
  <c r="V45" i="1"/>
  <c r="T45" i="1"/>
  <c r="U45" i="1" s="1"/>
  <c r="S45" i="1"/>
  <c r="X44" i="1"/>
  <c r="V44" i="1"/>
  <c r="T44" i="1"/>
  <c r="U44" i="1" s="1"/>
  <c r="S44" i="1"/>
  <c r="X43" i="1"/>
  <c r="V43" i="1"/>
  <c r="T43" i="1"/>
  <c r="U43" i="1" s="1"/>
  <c r="S43" i="1"/>
  <c r="X42" i="1"/>
  <c r="V42" i="1"/>
  <c r="T42" i="1"/>
  <c r="U42" i="1" s="1"/>
  <c r="S42" i="1"/>
  <c r="X41" i="1"/>
  <c r="V41" i="1"/>
  <c r="T41" i="1"/>
  <c r="S41" i="1"/>
  <c r="X40" i="1"/>
  <c r="V40" i="1"/>
  <c r="T40" i="1"/>
  <c r="U40" i="1" s="1"/>
  <c r="S40" i="1"/>
  <c r="X39" i="1"/>
  <c r="V39" i="1"/>
  <c r="W39" i="1" s="1"/>
  <c r="T39" i="1"/>
  <c r="U39" i="1" s="1"/>
  <c r="S39" i="1"/>
  <c r="X38" i="1"/>
  <c r="V38" i="1"/>
  <c r="T38" i="1"/>
  <c r="U38" i="1" s="1"/>
  <c r="S38" i="1"/>
  <c r="X37" i="1"/>
  <c r="V37" i="1"/>
  <c r="T37" i="1"/>
  <c r="U37" i="1" s="1"/>
  <c r="S37" i="1"/>
  <c r="X36" i="1"/>
  <c r="V36" i="1"/>
  <c r="T36" i="1"/>
  <c r="U36" i="1" s="1"/>
  <c r="S36" i="1"/>
  <c r="X35" i="1"/>
  <c r="V35" i="1"/>
  <c r="T35" i="1"/>
  <c r="U35" i="1" s="1"/>
  <c r="S35" i="1"/>
  <c r="X34" i="1"/>
  <c r="V34" i="1"/>
  <c r="T34" i="1"/>
  <c r="U34" i="1" s="1"/>
  <c r="S34" i="1"/>
  <c r="X33" i="1"/>
  <c r="V33" i="1"/>
  <c r="W33" i="1" s="1"/>
  <c r="T33" i="1"/>
  <c r="U33" i="1" s="1"/>
  <c r="S33" i="1"/>
  <c r="X32" i="1"/>
  <c r="V32" i="1"/>
  <c r="T32" i="1"/>
  <c r="U32" i="1" s="1"/>
  <c r="S32" i="1"/>
  <c r="X31" i="1"/>
  <c r="V31" i="1"/>
  <c r="T31" i="1"/>
  <c r="U31" i="1" s="1"/>
  <c r="S31" i="1"/>
  <c r="X30" i="1"/>
  <c r="V30" i="1"/>
  <c r="T30" i="1"/>
  <c r="U30" i="1" s="1"/>
  <c r="S30" i="1"/>
  <c r="X29" i="1"/>
  <c r="V29" i="1"/>
  <c r="T29" i="1"/>
  <c r="U29" i="1" s="1"/>
  <c r="S29" i="1"/>
  <c r="X28" i="1"/>
  <c r="V28" i="1"/>
  <c r="T28" i="1"/>
  <c r="U28" i="1" s="1"/>
  <c r="S28" i="1"/>
  <c r="X27" i="1"/>
  <c r="V27" i="1"/>
  <c r="T27" i="1"/>
  <c r="U27" i="1" s="1"/>
  <c r="S27" i="1"/>
  <c r="X26" i="1"/>
  <c r="V26" i="1"/>
  <c r="T26" i="1"/>
  <c r="U26" i="1" s="1"/>
  <c r="S26" i="1"/>
  <c r="X25" i="1"/>
  <c r="V25" i="1"/>
  <c r="T25" i="1"/>
  <c r="U25" i="1" s="1"/>
  <c r="S25" i="1"/>
  <c r="X24" i="1"/>
  <c r="V24" i="1"/>
  <c r="T24" i="1"/>
  <c r="U24" i="1" s="1"/>
  <c r="S24" i="1"/>
  <c r="X23" i="1"/>
  <c r="V23" i="1"/>
  <c r="T23" i="1"/>
  <c r="U23" i="1" s="1"/>
  <c r="S23" i="1"/>
  <c r="X22" i="1"/>
  <c r="V22" i="1"/>
  <c r="T22" i="1"/>
  <c r="U22" i="1" s="1"/>
  <c r="S22" i="1"/>
  <c r="X21" i="1"/>
  <c r="V21" i="1"/>
  <c r="T21" i="1"/>
  <c r="S21" i="1"/>
  <c r="X20" i="1"/>
  <c r="V20" i="1"/>
  <c r="T20" i="1"/>
  <c r="U20" i="1" s="1"/>
  <c r="S20" i="1"/>
  <c r="X19" i="1"/>
  <c r="V19" i="1"/>
  <c r="T19" i="1"/>
  <c r="S19" i="1"/>
  <c r="X18" i="1"/>
  <c r="V18" i="1"/>
  <c r="T18" i="1"/>
  <c r="U18" i="1" s="1"/>
  <c r="S18" i="1"/>
  <c r="X17" i="1"/>
  <c r="V17" i="1"/>
  <c r="T17" i="1"/>
  <c r="S17" i="1"/>
  <c r="X16" i="1"/>
  <c r="V16" i="1"/>
  <c r="T16" i="1"/>
  <c r="U16" i="1" s="1"/>
  <c r="S16" i="1"/>
  <c r="X15" i="1"/>
  <c r="V15" i="1"/>
  <c r="T15" i="1"/>
  <c r="S15" i="1"/>
  <c r="X14" i="1"/>
  <c r="V14" i="1"/>
  <c r="T14" i="1"/>
  <c r="U14" i="1" s="1"/>
  <c r="S14" i="1"/>
  <c r="X13" i="1"/>
  <c r="V13" i="1"/>
  <c r="T13" i="1"/>
  <c r="U13" i="1" s="1"/>
  <c r="S13" i="1"/>
  <c r="X12" i="1"/>
  <c r="V12" i="1"/>
  <c r="T12" i="1"/>
  <c r="U12" i="1" s="1"/>
  <c r="S12" i="1"/>
  <c r="X11" i="1"/>
  <c r="V11" i="1"/>
  <c r="T11" i="1"/>
  <c r="U11" i="1" s="1"/>
  <c r="S11" i="1"/>
  <c r="X10" i="1"/>
  <c r="V10" i="1"/>
  <c r="T10" i="1"/>
  <c r="U10" i="1" s="1"/>
  <c r="S10" i="1"/>
  <c r="X9" i="1"/>
  <c r="V9" i="1"/>
  <c r="T9" i="1"/>
  <c r="U9" i="1" s="1"/>
  <c r="S9" i="1"/>
  <c r="X8" i="1"/>
  <c r="V8" i="1"/>
  <c r="T8" i="1"/>
  <c r="U8" i="1" s="1"/>
  <c r="S8" i="1"/>
  <c r="X7" i="1"/>
  <c r="V7" i="1"/>
  <c r="T7" i="1"/>
  <c r="U7" i="1" s="1"/>
  <c r="S7" i="1"/>
  <c r="X6" i="1"/>
  <c r="V6" i="1"/>
  <c r="T6" i="1"/>
  <c r="U6" i="1" s="1"/>
  <c r="S6" i="1"/>
  <c r="X5" i="1"/>
  <c r="V5" i="1"/>
  <c r="T5" i="1"/>
  <c r="U5" i="1" s="1"/>
  <c r="S5" i="1"/>
  <c r="X4" i="1"/>
  <c r="V4" i="1"/>
  <c r="T4" i="1"/>
  <c r="S4" i="1"/>
  <c r="X3" i="1"/>
  <c r="V3" i="1"/>
  <c r="T3" i="1"/>
  <c r="S3" i="1"/>
  <c r="X2" i="1"/>
  <c r="V2" i="1"/>
  <c r="W500" i="1" s="1"/>
  <c r="T2" i="1"/>
  <c r="U2" i="1" s="1"/>
  <c r="S2" i="1"/>
  <c r="U19" i="1" l="1"/>
  <c r="U55" i="1"/>
  <c r="W510" i="1"/>
  <c r="W511" i="1"/>
  <c r="W515" i="1"/>
  <c r="W548" i="1"/>
  <c r="W554" i="1"/>
  <c r="W555" i="1"/>
  <c r="W574" i="1"/>
  <c r="W581" i="1"/>
  <c r="W585" i="1"/>
  <c r="W586" i="1"/>
  <c r="W601" i="1"/>
  <c r="W603" i="1"/>
  <c r="W605" i="1"/>
  <c r="W680" i="1"/>
  <c r="W608" i="1"/>
  <c r="W617" i="1"/>
  <c r="W630" i="1"/>
  <c r="W632" i="1"/>
  <c r="W634" i="1"/>
  <c r="W636" i="1"/>
  <c r="W637" i="1"/>
  <c r="W640" i="1"/>
  <c r="W645" i="1"/>
  <c r="W654" i="1"/>
  <c r="W657" i="1"/>
  <c r="W658" i="1"/>
  <c r="W659" i="1"/>
  <c r="W663" i="1"/>
  <c r="W674" i="1"/>
  <c r="W681" i="1"/>
  <c r="W6" i="1"/>
  <c r="W61" i="1"/>
  <c r="W63" i="1"/>
  <c r="W149" i="1"/>
  <c r="W155" i="1"/>
  <c r="W157" i="1"/>
  <c r="W159" i="1"/>
  <c r="W196" i="1"/>
  <c r="W198" i="1"/>
  <c r="W201" i="1"/>
  <c r="W215" i="1"/>
  <c r="W242" i="1"/>
  <c r="W243" i="1"/>
  <c r="W264" i="1"/>
  <c r="W271" i="1"/>
  <c r="W284" i="1"/>
  <c r="W285" i="1"/>
  <c r="W286" i="1"/>
  <c r="W298" i="1"/>
  <c r="W303" i="1"/>
  <c r="W306" i="1"/>
  <c r="W308" i="1"/>
  <c r="W310" i="1"/>
  <c r="W316" i="1"/>
  <c r="W333" i="1"/>
  <c r="W343" i="1"/>
  <c r="W346" i="1"/>
  <c r="W358" i="1"/>
  <c r="W364" i="1"/>
  <c r="W366" i="1"/>
  <c r="W367" i="1"/>
  <c r="W374" i="1"/>
  <c r="W376" i="1"/>
  <c r="W379" i="1"/>
  <c r="W388" i="1"/>
  <c r="W389" i="1"/>
  <c r="W394" i="1"/>
  <c r="W683" i="1"/>
  <c r="W135" i="1"/>
  <c r="W138" i="1"/>
  <c r="W140" i="1"/>
  <c r="W151" i="1"/>
  <c r="W156" i="1"/>
  <c r="W162" i="1"/>
  <c r="W180" i="1"/>
  <c r="W192" i="1"/>
  <c r="W216" i="1"/>
  <c r="W432" i="1"/>
  <c r="W450" i="1"/>
  <c r="W488" i="1"/>
  <c r="W491" i="1"/>
  <c r="W493" i="1"/>
  <c r="W496" i="1"/>
  <c r="W675" i="1"/>
  <c r="W688" i="1"/>
  <c r="W430" i="1"/>
  <c r="W45" i="1"/>
  <c r="W86" i="1"/>
  <c r="W108" i="1"/>
  <c r="W130" i="1"/>
  <c r="W142" i="1"/>
  <c r="W146" i="1"/>
  <c r="W176" i="1"/>
  <c r="W182" i="1"/>
  <c r="W238" i="1"/>
  <c r="W276" i="1"/>
  <c r="W314" i="1"/>
  <c r="W325" i="1"/>
  <c r="W329" i="1"/>
  <c r="W338" i="1"/>
  <c r="W354" i="1"/>
  <c r="W397" i="1"/>
  <c r="W399" i="1"/>
  <c r="U4" i="1"/>
  <c r="W428" i="1"/>
  <c r="W503" i="1"/>
  <c r="W517" i="1"/>
  <c r="W518" i="1"/>
  <c r="W524" i="1"/>
  <c r="W525" i="1"/>
  <c r="W527" i="1"/>
  <c r="W532" i="1"/>
  <c r="U15" i="1"/>
  <c r="W36" i="1"/>
  <c r="W57" i="1"/>
  <c r="W60" i="1"/>
  <c r="W67" i="1"/>
  <c r="W74" i="1"/>
  <c r="W81" i="1"/>
  <c r="W82" i="1"/>
  <c r="W96" i="1"/>
  <c r="W123" i="1"/>
  <c r="W129" i="1"/>
  <c r="W141" i="1"/>
  <c r="W144" i="1"/>
  <c r="W150" i="1"/>
  <c r="W158" i="1"/>
  <c r="W179" i="1"/>
  <c r="W188" i="1"/>
  <c r="W191" i="1"/>
  <c r="W200" i="1"/>
  <c r="W203" i="1"/>
  <c r="W225" i="1"/>
  <c r="W302" i="1"/>
  <c r="W246" i="1"/>
  <c r="W252" i="1"/>
  <c r="W258" i="1"/>
  <c r="W266" i="1"/>
  <c r="W267" i="1"/>
  <c r="W431" i="1"/>
  <c r="W433" i="1"/>
  <c r="W445" i="1"/>
  <c r="W447" i="1"/>
  <c r="W449" i="1"/>
  <c r="W451" i="1"/>
  <c r="W461" i="1"/>
  <c r="W268" i="1"/>
  <c r="E8" i="2"/>
  <c r="W154" i="1"/>
  <c r="W160" i="1"/>
  <c r="W172" i="1"/>
  <c r="W178" i="1"/>
  <c r="W184" i="1"/>
  <c r="W208" i="1"/>
  <c r="W212" i="1"/>
  <c r="W218" i="1"/>
  <c r="W221" i="1"/>
  <c r="W301" i="1"/>
  <c r="W304" i="1"/>
  <c r="W335" i="1"/>
  <c r="W353" i="1"/>
  <c r="W355" i="1"/>
  <c r="W359" i="1"/>
  <c r="W362" i="1"/>
  <c r="W415" i="1"/>
  <c r="W418" i="1"/>
  <c r="W425" i="1"/>
  <c r="W474" i="1"/>
  <c r="W476" i="1"/>
  <c r="W478" i="1"/>
  <c r="W480" i="1"/>
  <c r="W494" i="1"/>
  <c r="W498" i="1"/>
  <c r="W10" i="1"/>
  <c r="W21" i="1"/>
  <c r="W23" i="1"/>
  <c r="W25" i="1"/>
  <c r="W58" i="1"/>
  <c r="W75" i="1"/>
  <c r="W87" i="1"/>
  <c r="W90" i="1"/>
  <c r="W93" i="1"/>
  <c r="W98" i="1"/>
  <c r="W110" i="1"/>
  <c r="W114" i="1"/>
  <c r="W119" i="1"/>
  <c r="W125" i="1"/>
  <c r="W134" i="1"/>
  <c r="W136" i="1"/>
  <c r="W148" i="1"/>
  <c r="W166" i="1"/>
  <c r="W185" i="1"/>
  <c r="W187" i="1"/>
  <c r="W190" i="1"/>
  <c r="W199" i="1"/>
  <c r="W202" i="1"/>
  <c r="W257" i="1"/>
  <c r="W279" i="1"/>
  <c r="W291" i="1"/>
  <c r="W297" i="1"/>
  <c r="W300" i="1"/>
  <c r="W315" i="1"/>
  <c r="W324" i="1"/>
  <c r="W327" i="1"/>
  <c r="W339" i="1"/>
  <c r="W342" i="1"/>
  <c r="W345" i="1"/>
  <c r="W370" i="1"/>
  <c r="W373" i="1"/>
  <c r="W391" i="1"/>
  <c r="U3" i="1"/>
  <c r="W220" i="1"/>
  <c r="W222" i="1"/>
  <c r="W224" i="1"/>
  <c r="W226" i="1"/>
  <c r="W228" i="1"/>
  <c r="W454" i="1"/>
  <c r="W455" i="1"/>
  <c r="W456" i="1"/>
  <c r="W458" i="1"/>
  <c r="W459" i="1"/>
  <c r="W471" i="1"/>
  <c r="W606" i="1"/>
  <c r="W618" i="1"/>
  <c r="W660" i="1"/>
  <c r="W664" i="1"/>
  <c r="U21" i="1"/>
  <c r="W9" i="1"/>
  <c r="W22" i="1"/>
  <c r="W26" i="1"/>
  <c r="W30" i="1"/>
  <c r="W32" i="1"/>
  <c r="W51" i="1"/>
  <c r="W53" i="1"/>
  <c r="W56" i="1"/>
  <c r="W59" i="1"/>
  <c r="W71" i="1"/>
  <c r="W77" i="1"/>
  <c r="W89" i="1"/>
  <c r="W116" i="1"/>
  <c r="W124" i="1"/>
  <c r="W128" i="1"/>
  <c r="W137" i="1"/>
  <c r="W152" i="1"/>
  <c r="W164" i="1"/>
  <c r="W170" i="1"/>
  <c r="W206" i="1"/>
  <c r="W256" i="1"/>
  <c r="W290" i="1"/>
  <c r="W293" i="1"/>
  <c r="W299" i="1"/>
  <c r="W305" i="1"/>
  <c r="W320" i="1"/>
  <c r="W323" i="1"/>
  <c r="W341" i="1"/>
  <c r="W344" i="1"/>
  <c r="W368" i="1"/>
  <c r="W383" i="1"/>
  <c r="W217" i="1"/>
  <c r="W223" i="1"/>
  <c r="W3" i="1"/>
  <c r="W232" i="1"/>
  <c r="W239" i="1"/>
  <c r="W248" i="1"/>
  <c r="W249" i="1"/>
  <c r="W251" i="1"/>
  <c r="W443" i="1"/>
  <c r="W499" i="1"/>
  <c r="W607" i="1"/>
  <c r="W619" i="1"/>
  <c r="W633" i="1"/>
  <c r="W419" i="1"/>
  <c r="W422" i="1"/>
  <c r="W481" i="1"/>
  <c r="W492" i="1"/>
  <c r="W641" i="1"/>
  <c r="W655" i="1"/>
  <c r="W24" i="1"/>
  <c r="W27" i="1"/>
  <c r="W46" i="1"/>
  <c r="W88" i="1"/>
  <c r="W91" i="1"/>
  <c r="W118" i="1"/>
  <c r="W126" i="1"/>
  <c r="W147" i="1"/>
  <c r="W153" i="1"/>
  <c r="W168" i="1"/>
  <c r="W186" i="1"/>
  <c r="W189" i="1"/>
  <c r="W236" i="1"/>
  <c r="W254" i="1"/>
  <c r="W277" i="1"/>
  <c r="W281" i="1"/>
  <c r="W283" i="1"/>
  <c r="W295" i="1"/>
  <c r="W307" i="1"/>
  <c r="W334" i="1"/>
  <c r="W337" i="1"/>
  <c r="W340" i="1"/>
  <c r="W349" i="1"/>
  <c r="W375" i="1"/>
  <c r="W387" i="1"/>
  <c r="W402" i="1"/>
  <c r="W403" i="1"/>
  <c r="W404" i="1"/>
  <c r="W489" i="1"/>
  <c r="W497" i="1"/>
  <c r="W501" i="1"/>
  <c r="W504" i="1"/>
  <c r="W505" i="1"/>
  <c r="W506" i="1"/>
  <c r="W521" i="1"/>
  <c r="W538" i="1"/>
  <c r="W552" i="1"/>
  <c r="W565" i="1"/>
  <c r="W570" i="1"/>
  <c r="W571" i="1"/>
  <c r="W578" i="1"/>
  <c r="W579" i="1"/>
  <c r="W580" i="1"/>
  <c r="W589" i="1"/>
  <c r="W590" i="1"/>
  <c r="W594" i="1"/>
  <c r="W596" i="1"/>
  <c r="W598" i="1"/>
  <c r="W599" i="1"/>
  <c r="W95" i="1"/>
  <c r="W34" i="1"/>
  <c r="W38" i="1"/>
  <c r="W41" i="1"/>
  <c r="W48" i="1"/>
  <c r="W62" i="1"/>
  <c r="W78" i="1"/>
  <c r="W80" i="1"/>
  <c r="W84" i="1"/>
  <c r="W109" i="1"/>
  <c r="W113" i="1"/>
  <c r="W117" i="1"/>
  <c r="W133" i="1"/>
  <c r="W145" i="1"/>
  <c r="W161" i="1"/>
  <c r="W165" i="1"/>
  <c r="W169" i="1"/>
  <c r="W173" i="1"/>
  <c r="W177" i="1"/>
  <c r="W205" i="1"/>
  <c r="W209" i="1"/>
  <c r="W229" i="1"/>
  <c r="W233" i="1"/>
  <c r="W237" i="1"/>
  <c r="W241" i="1"/>
  <c r="W250" i="1"/>
  <c r="W259" i="1"/>
  <c r="W534" i="1"/>
  <c r="W542" i="1"/>
  <c r="W546" i="1"/>
  <c r="W99" i="1"/>
  <c r="W115" i="1"/>
  <c r="W139" i="1"/>
  <c r="W143" i="1"/>
  <c r="W163" i="1"/>
  <c r="W175" i="1"/>
  <c r="W650" i="1"/>
  <c r="W626" i="1"/>
  <c r="W484" i="1"/>
  <c r="W464" i="1"/>
  <c r="W460" i="1"/>
  <c r="W452" i="1"/>
  <c r="W444" i="1"/>
  <c r="W420" i="1"/>
  <c r="W416" i="1"/>
  <c r="W408" i="1"/>
  <c r="W638" i="1"/>
  <c r="W502" i="1"/>
  <c r="W482" i="1"/>
  <c r="W470" i="1"/>
  <c r="W438" i="1"/>
  <c r="W426" i="1"/>
  <c r="W414" i="1"/>
  <c r="W410" i="1"/>
  <c r="W7" i="1"/>
  <c r="W8" i="1"/>
  <c r="W11" i="1"/>
  <c r="W12" i="1"/>
  <c r="W13" i="1"/>
  <c r="W14" i="1"/>
  <c r="W15" i="1"/>
  <c r="W16" i="1"/>
  <c r="W17" i="1"/>
  <c r="W18" i="1"/>
  <c r="W19" i="1"/>
  <c r="W20" i="1"/>
  <c r="W28" i="1"/>
  <c r="W29" i="1"/>
  <c r="W31" i="1"/>
  <c r="W35" i="1"/>
  <c r="W37" i="1"/>
  <c r="W40" i="1"/>
  <c r="W42" i="1"/>
  <c r="W43" i="1"/>
  <c r="W44" i="1"/>
  <c r="W47" i="1"/>
  <c r="W49" i="1"/>
  <c r="W50" i="1"/>
  <c r="W52" i="1"/>
  <c r="W54" i="1"/>
  <c r="W55" i="1"/>
  <c r="W64" i="1"/>
  <c r="W65" i="1"/>
  <c r="W66" i="1"/>
  <c r="W68" i="1"/>
  <c r="W69" i="1"/>
  <c r="W70" i="1"/>
  <c r="W73" i="1"/>
  <c r="W76" i="1"/>
  <c r="W79" i="1"/>
  <c r="W2" i="1"/>
  <c r="W85" i="1"/>
  <c r="W97" i="1"/>
  <c r="C11" i="5"/>
  <c r="W4" i="1"/>
  <c r="W5" i="1"/>
  <c r="W194" i="1"/>
  <c r="W210" i="1"/>
  <c r="W214" i="1"/>
  <c r="W230" i="1"/>
  <c r="W398" i="1"/>
  <c r="W406" i="1"/>
  <c r="U17" i="1"/>
  <c r="A11" i="3" s="1"/>
  <c r="U41" i="1"/>
  <c r="W107" i="1"/>
  <c r="W127" i="1"/>
  <c r="W171" i="1"/>
  <c r="W183" i="1"/>
  <c r="W195" i="1"/>
  <c r="W211" i="1"/>
  <c r="W219" i="1"/>
  <c r="W231" i="1"/>
  <c r="W235" i="1"/>
  <c r="W247" i="1"/>
  <c r="W253" i="1"/>
  <c r="W255" i="1"/>
  <c r="W262" i="1"/>
  <c r="W263" i="1"/>
  <c r="W269" i="1"/>
  <c r="W270" i="1"/>
  <c r="W274" i="1"/>
  <c r="W275" i="1"/>
  <c r="W278" i="1"/>
  <c r="W280" i="1"/>
  <c r="W289" i="1"/>
  <c r="W292" i="1"/>
  <c r="W294" i="1"/>
  <c r="W319" i="1"/>
  <c r="W321" i="1"/>
  <c r="W322" i="1"/>
  <c r="W326" i="1"/>
  <c r="W328" i="1"/>
  <c r="W330" i="1"/>
  <c r="W331" i="1"/>
  <c r="W332" i="1"/>
  <c r="W336" i="1"/>
  <c r="W347" i="1"/>
  <c r="W352" i="1"/>
  <c r="W372" i="1"/>
  <c r="W380" i="1"/>
  <c r="W382" i="1"/>
  <c r="W384" i="1"/>
  <c r="W390" i="1"/>
  <c r="W392" i="1"/>
  <c r="W507" i="1"/>
  <c r="W508" i="1"/>
  <c r="W509" i="1"/>
  <c r="W516" i="1"/>
  <c r="W540" i="1"/>
  <c r="W549" i="1"/>
  <c r="W556" i="1"/>
  <c r="W587" i="1"/>
  <c r="W595" i="1"/>
  <c r="W627" i="1"/>
  <c r="W652" i="1"/>
  <c r="W411" i="1"/>
  <c r="W427" i="1"/>
  <c r="W487" i="1"/>
  <c r="W495" i="1"/>
  <c r="W513" i="1"/>
  <c r="W519" i="1"/>
  <c r="W536" i="1"/>
  <c r="W544" i="1"/>
  <c r="W545" i="1"/>
  <c r="W553" i="1"/>
  <c r="W569" i="1"/>
  <c r="W577" i="1"/>
  <c r="W583" i="1"/>
  <c r="W584" i="1"/>
  <c r="W591" i="1"/>
  <c r="W592" i="1"/>
  <c r="W593" i="1"/>
  <c r="W623" i="1"/>
  <c r="W624" i="1"/>
  <c r="W639" i="1"/>
  <c r="W369" i="1"/>
  <c r="W377" i="1"/>
  <c r="W381" i="1"/>
  <c r="W385" i="1"/>
  <c r="W393" i="1"/>
  <c r="W401" i="1"/>
  <c r="W405" i="1"/>
  <c r="W409" i="1"/>
  <c r="W417" i="1"/>
  <c r="W429" i="1"/>
  <c r="W437" i="1"/>
  <c r="W453" i="1"/>
  <c r="W465" i="1"/>
  <c r="W477" i="1"/>
  <c r="W485" i="1"/>
  <c r="W621" i="1"/>
  <c r="W649" i="1"/>
  <c r="W669" i="1"/>
  <c r="W673" i="1"/>
  <c r="W651" i="1"/>
  <c r="W667" i="1"/>
  <c r="B8" i="5"/>
  <c r="B6" i="5"/>
  <c r="B10" i="5"/>
  <c r="B54" i="6"/>
  <c r="C6" i="5"/>
  <c r="C8" i="5"/>
  <c r="C10" i="5"/>
  <c r="B5" i="5"/>
  <c r="B7" i="5"/>
  <c r="B9" i="5"/>
  <c r="B11" i="5"/>
  <c r="C5" i="5"/>
  <c r="C7" i="5"/>
  <c r="C9" i="5"/>
  <c r="B194" i="6" l="1"/>
  <c r="B93" i="6"/>
  <c r="B805" i="6"/>
  <c r="B795" i="6"/>
  <c r="B633" i="6"/>
  <c r="B659" i="6"/>
  <c r="B8" i="6"/>
  <c r="B80" i="6"/>
  <c r="B340" i="6"/>
  <c r="B98" i="6"/>
  <c r="B226" i="6"/>
  <c r="B362" i="6"/>
  <c r="B14" i="6"/>
  <c r="B29" i="6"/>
  <c r="B594" i="6"/>
  <c r="B523" i="6"/>
  <c r="B586" i="6"/>
  <c r="B762" i="6"/>
  <c r="B125" i="6"/>
  <c r="B253" i="6"/>
  <c r="B381" i="6"/>
  <c r="B558" i="6"/>
  <c r="B928" i="6"/>
  <c r="B642" i="6"/>
  <c r="B610" i="6"/>
  <c r="B221" i="6"/>
  <c r="B494" i="6"/>
  <c r="B1192" i="6"/>
  <c r="B24" i="6"/>
  <c r="B136" i="6"/>
  <c r="B372" i="6"/>
  <c r="B130" i="6"/>
  <c r="B270" i="6"/>
  <c r="B404" i="6"/>
  <c r="B44" i="6"/>
  <c r="B61" i="6"/>
  <c r="B182" i="6"/>
  <c r="B653" i="6"/>
  <c r="B776" i="6"/>
  <c r="B907" i="6"/>
  <c r="B157" i="6"/>
  <c r="B285" i="6"/>
  <c r="B413" i="6"/>
  <c r="B622" i="6"/>
  <c r="B799" i="6"/>
  <c r="B276" i="6"/>
  <c r="B330" i="6"/>
  <c r="B328" i="6"/>
  <c r="B458" i="6"/>
  <c r="B349" i="6"/>
  <c r="B42" i="6"/>
  <c r="B216" i="6"/>
  <c r="B569" i="6"/>
  <c r="B162" i="6"/>
  <c r="B298" i="6"/>
  <c r="B514" i="6"/>
  <c r="B160" i="6"/>
  <c r="B172" i="6"/>
  <c r="B326" i="6"/>
  <c r="B394" i="6"/>
  <c r="B524" i="6"/>
  <c r="B1247" i="6"/>
  <c r="B189" i="6"/>
  <c r="B317" i="6"/>
  <c r="B445" i="6"/>
  <c r="B471" i="6"/>
  <c r="B825" i="6"/>
  <c r="B12" i="6"/>
  <c r="B30" i="6"/>
  <c r="B46" i="6"/>
  <c r="B58" i="6"/>
  <c r="B96" i="6"/>
  <c r="B152" i="6"/>
  <c r="B224" i="6"/>
  <c r="B292" i="6"/>
  <c r="F292" i="6" s="1"/>
  <c r="B348" i="6"/>
  <c r="B408" i="6"/>
  <c r="B626" i="6"/>
  <c r="B74" i="6"/>
  <c r="E74" i="6" s="1"/>
  <c r="B106" i="6"/>
  <c r="B138" i="6"/>
  <c r="B170" i="6"/>
  <c r="B202" i="6"/>
  <c r="B234" i="6"/>
  <c r="B274" i="6"/>
  <c r="B306" i="6"/>
  <c r="B338" i="6"/>
  <c r="B370" i="6"/>
  <c r="B420" i="6"/>
  <c r="B521" i="6"/>
  <c r="B680" i="6"/>
  <c r="B20" i="6"/>
  <c r="B56" i="6"/>
  <c r="B208" i="6"/>
  <c r="B5" i="6"/>
  <c r="B37" i="6"/>
  <c r="B76" i="6"/>
  <c r="B204" i="6"/>
  <c r="B360" i="6"/>
  <c r="G360" i="6" s="1"/>
  <c r="B86" i="6"/>
  <c r="B214" i="6"/>
  <c r="B358" i="6"/>
  <c r="B244" i="6"/>
  <c r="B555" i="6"/>
  <c r="B691" i="6"/>
  <c r="B410" i="6"/>
  <c r="B490" i="6"/>
  <c r="F490" i="6" s="1"/>
  <c r="B618" i="6"/>
  <c r="B248" i="6"/>
  <c r="B556" i="6"/>
  <c r="B728" i="6"/>
  <c r="B794" i="6"/>
  <c r="B971" i="6"/>
  <c r="B69" i="6"/>
  <c r="B101" i="6"/>
  <c r="B133" i="6"/>
  <c r="B165" i="6"/>
  <c r="B197" i="6"/>
  <c r="B229" i="6"/>
  <c r="B261" i="6"/>
  <c r="B293" i="6"/>
  <c r="B325" i="6"/>
  <c r="B357" i="6"/>
  <c r="B389" i="6"/>
  <c r="B421" i="6"/>
  <c r="B453" i="6"/>
  <c r="B510" i="6"/>
  <c r="B574" i="6"/>
  <c r="B657" i="6"/>
  <c r="B535" i="6"/>
  <c r="B962" i="6"/>
  <c r="B1000" i="6"/>
  <c r="F1000" i="6" s="1"/>
  <c r="B866" i="6"/>
  <c r="B1030" i="6"/>
  <c r="A10" i="3"/>
  <c r="D10" i="3" s="1"/>
  <c r="A6" i="3"/>
  <c r="B6" i="3" s="1"/>
  <c r="A9" i="3"/>
  <c r="A5" i="3"/>
  <c r="A8" i="3"/>
  <c r="A4" i="3"/>
  <c r="A7" i="3"/>
  <c r="B1292" i="6"/>
  <c r="B16" i="6"/>
  <c r="B32" i="6"/>
  <c r="B48" i="6"/>
  <c r="B64" i="6"/>
  <c r="B112" i="6"/>
  <c r="B176" i="6"/>
  <c r="B240" i="6"/>
  <c r="B300" i="6"/>
  <c r="B356" i="6"/>
  <c r="D356" i="6" s="1"/>
  <c r="B424" i="6"/>
  <c r="B648" i="6"/>
  <c r="B82" i="6"/>
  <c r="B114" i="6"/>
  <c r="B146" i="6"/>
  <c r="B178" i="6"/>
  <c r="B210" i="6"/>
  <c r="B242" i="6"/>
  <c r="B282" i="6"/>
  <c r="B314" i="6"/>
  <c r="B346" i="6"/>
  <c r="B378" i="6"/>
  <c r="B436" i="6"/>
  <c r="B578" i="6"/>
  <c r="B801" i="6"/>
  <c r="B28" i="6"/>
  <c r="B62" i="6"/>
  <c r="B308" i="6"/>
  <c r="B13" i="6"/>
  <c r="B45" i="6"/>
  <c r="B108" i="6"/>
  <c r="B236" i="6"/>
  <c r="B400" i="6"/>
  <c r="B118" i="6"/>
  <c r="B246" i="6"/>
  <c r="B396" i="6"/>
  <c r="B459" i="6"/>
  <c r="B587" i="6"/>
  <c r="B889" i="6"/>
  <c r="B426" i="6"/>
  <c r="B522" i="6"/>
  <c r="B661" i="6"/>
  <c r="B460" i="6"/>
  <c r="C460" i="6" s="1"/>
  <c r="B588" i="6"/>
  <c r="B953" i="6"/>
  <c r="B828" i="6"/>
  <c r="D828" i="6" s="1"/>
  <c r="B1036" i="6"/>
  <c r="B77" i="6"/>
  <c r="B109" i="6"/>
  <c r="B141" i="6"/>
  <c r="B173" i="6"/>
  <c r="C173" i="6" s="1"/>
  <c r="B205" i="6"/>
  <c r="B237" i="6"/>
  <c r="B269" i="6"/>
  <c r="B301" i="6"/>
  <c r="B333" i="6"/>
  <c r="B365" i="6"/>
  <c r="B397" i="6"/>
  <c r="F397" i="6" s="1"/>
  <c r="B429" i="6"/>
  <c r="B462" i="6"/>
  <c r="B526" i="6"/>
  <c r="B590" i="6"/>
  <c r="B720" i="6"/>
  <c r="D720" i="6" s="1"/>
  <c r="B599" i="6"/>
  <c r="B677" i="6"/>
  <c r="B671" i="6"/>
  <c r="B979" i="6"/>
  <c r="B1496" i="6"/>
  <c r="B1486" i="6"/>
  <c r="B1476" i="6"/>
  <c r="B1497" i="6"/>
  <c r="B1481" i="6"/>
  <c r="B1466" i="6"/>
  <c r="B1453" i="6"/>
  <c r="G1453" i="6" s="1"/>
  <c r="B1445" i="6"/>
  <c r="B1437" i="6"/>
  <c r="B1468" i="6"/>
  <c r="B1448" i="6"/>
  <c r="B1429" i="6"/>
  <c r="B1421" i="6"/>
  <c r="B1452" i="6"/>
  <c r="B1430" i="6"/>
  <c r="B1422" i="6"/>
  <c r="B1419" i="6"/>
  <c r="B1411" i="6"/>
  <c r="B1403" i="6"/>
  <c r="B1395" i="6"/>
  <c r="B1387" i="6"/>
  <c r="B1379" i="6"/>
  <c r="B1371" i="6"/>
  <c r="B1491" i="6"/>
  <c r="B1483" i="6"/>
  <c r="B1414" i="6"/>
  <c r="B1398" i="6"/>
  <c r="B1382" i="6"/>
  <c r="B1366" i="6"/>
  <c r="B1354" i="6"/>
  <c r="B1338" i="6"/>
  <c r="B1438" i="6"/>
  <c r="B1352" i="6"/>
  <c r="B1336" i="6"/>
  <c r="B1327" i="6"/>
  <c r="B1319" i="6"/>
  <c r="B1311" i="6"/>
  <c r="B1303" i="6"/>
  <c r="B1295" i="6"/>
  <c r="B1458" i="6"/>
  <c r="B1388" i="6"/>
  <c r="B1350" i="6"/>
  <c r="B1284" i="6"/>
  <c r="B1276" i="6"/>
  <c r="E1276" i="6" s="1"/>
  <c r="B1268" i="6"/>
  <c r="B1260" i="6"/>
  <c r="B1252" i="6"/>
  <c r="B1244" i="6"/>
  <c r="B1236" i="6"/>
  <c r="B1228" i="6"/>
  <c r="B1220" i="6"/>
  <c r="B1212" i="6"/>
  <c r="B1204" i="6"/>
  <c r="B1196" i="6"/>
  <c r="B1348" i="6"/>
  <c r="B1326" i="6"/>
  <c r="B1310" i="6"/>
  <c r="B1294" i="6"/>
  <c r="B1392" i="6"/>
  <c r="B1285" i="6"/>
  <c r="B1269" i="6"/>
  <c r="B1253" i="6"/>
  <c r="B1237" i="6"/>
  <c r="B1221" i="6"/>
  <c r="B1205" i="6"/>
  <c r="B1193" i="6"/>
  <c r="B1177" i="6"/>
  <c r="B1161" i="6"/>
  <c r="B1145" i="6"/>
  <c r="B1129" i="6"/>
  <c r="B1113" i="6"/>
  <c r="B1105" i="6"/>
  <c r="B1097" i="6"/>
  <c r="B1089" i="6"/>
  <c r="B1081" i="6"/>
  <c r="B1073" i="6"/>
  <c r="F1073" i="6" s="1"/>
  <c r="B1065" i="6"/>
  <c r="B1057" i="6"/>
  <c r="B1049" i="6"/>
  <c r="B1041" i="6"/>
  <c r="B1033" i="6"/>
  <c r="B1025" i="6"/>
  <c r="B1328" i="6"/>
  <c r="B1494" i="6"/>
  <c r="B1482" i="6"/>
  <c r="B1474" i="6"/>
  <c r="B1493" i="6"/>
  <c r="E1493" i="6" s="1"/>
  <c r="B1477" i="6"/>
  <c r="D1477" i="6" s="1"/>
  <c r="B1459" i="6"/>
  <c r="B1451" i="6"/>
  <c r="B1443" i="6"/>
  <c r="F1443" i="6" s="1"/>
  <c r="B1435" i="6"/>
  <c r="E1435" i="6" s="1"/>
  <c r="B1462" i="6"/>
  <c r="B1440" i="6"/>
  <c r="B1427" i="6"/>
  <c r="F1427" i="6" s="1"/>
  <c r="B1487" i="6"/>
  <c r="D1487" i="6" s="1"/>
  <c r="B1444" i="6"/>
  <c r="B1428" i="6"/>
  <c r="B1499" i="6"/>
  <c r="E1499" i="6" s="1"/>
  <c r="B1417" i="6"/>
  <c r="E1417" i="6" s="1"/>
  <c r="B1409" i="6"/>
  <c r="B1401" i="6"/>
  <c r="B1393" i="6"/>
  <c r="F1393" i="6" s="1"/>
  <c r="B1385" i="6"/>
  <c r="E1385" i="6" s="1"/>
  <c r="B1377" i="6"/>
  <c r="B1369" i="6"/>
  <c r="B1470" i="6"/>
  <c r="G1470" i="6" s="1"/>
  <c r="B1460" i="6"/>
  <c r="C1460" i="6" s="1"/>
  <c r="B1410" i="6"/>
  <c r="B1394" i="6"/>
  <c r="B1378" i="6"/>
  <c r="D1378" i="6" s="1"/>
  <c r="B1363" i="6"/>
  <c r="G1363" i="6" s="1"/>
  <c r="B1347" i="6"/>
  <c r="B1475" i="6"/>
  <c r="B1361" i="6"/>
  <c r="E1361" i="6" s="1"/>
  <c r="B1345" i="6"/>
  <c r="C1345" i="6" s="1"/>
  <c r="B1333" i="6"/>
  <c r="B1325" i="6"/>
  <c r="B1317" i="6"/>
  <c r="G1317" i="6" s="1"/>
  <c r="B1309" i="6"/>
  <c r="C1309" i="6" s="1"/>
  <c r="B1301" i="6"/>
  <c r="B1293" i="6"/>
  <c r="B1412" i="6"/>
  <c r="D1412" i="6" s="1"/>
  <c r="B1380" i="6"/>
  <c r="G1380" i="6" s="1"/>
  <c r="B1343" i="6"/>
  <c r="B1490" i="6"/>
  <c r="B1480" i="6"/>
  <c r="B1472" i="6"/>
  <c r="G1472" i="6" s="1"/>
  <c r="B1489" i="6"/>
  <c r="B1473" i="6"/>
  <c r="B1457" i="6"/>
  <c r="D1457" i="6" s="1"/>
  <c r="B1449" i="6"/>
  <c r="B1441" i="6"/>
  <c r="B1495" i="6"/>
  <c r="B1461" i="6"/>
  <c r="D1461" i="6" s="1"/>
  <c r="B1433" i="6"/>
  <c r="B1425" i="6"/>
  <c r="B1471" i="6"/>
  <c r="B1436" i="6"/>
  <c r="G1436" i="6" s="1"/>
  <c r="B1426" i="6"/>
  <c r="F1426" i="6" s="1"/>
  <c r="B1450" i="6"/>
  <c r="B1415" i="6"/>
  <c r="B1407" i="6"/>
  <c r="B1399" i="6"/>
  <c r="B1391" i="6"/>
  <c r="B1383" i="6"/>
  <c r="B1375" i="6"/>
  <c r="D1375" i="6" s="1"/>
  <c r="B1367" i="6"/>
  <c r="B1463" i="6"/>
  <c r="B1442" i="6"/>
  <c r="B1406" i="6"/>
  <c r="B1390" i="6"/>
  <c r="B1374" i="6"/>
  <c r="B1362" i="6"/>
  <c r="B1346" i="6"/>
  <c r="F1346" i="6" s="1"/>
  <c r="B1469" i="6"/>
  <c r="B1360" i="6"/>
  <c r="B1344" i="6"/>
  <c r="B1331" i="6"/>
  <c r="F1331" i="6" s="1"/>
  <c r="B1323" i="6"/>
  <c r="B1315" i="6"/>
  <c r="B1307" i="6"/>
  <c r="B1299" i="6"/>
  <c r="B1291" i="6"/>
  <c r="B1404" i="6"/>
  <c r="B1372" i="6"/>
  <c r="B1288" i="6"/>
  <c r="F1288" i="6" s="1"/>
  <c r="B1280" i="6"/>
  <c r="G1280" i="6" s="1"/>
  <c r="B1272" i="6"/>
  <c r="B1264" i="6"/>
  <c r="B1256" i="6"/>
  <c r="B1248" i="6"/>
  <c r="B1240" i="6"/>
  <c r="B1232" i="6"/>
  <c r="B1224" i="6"/>
  <c r="G1224" i="6" s="1"/>
  <c r="B1216" i="6"/>
  <c r="B1208" i="6"/>
  <c r="B1200" i="6"/>
  <c r="B1364" i="6"/>
  <c r="F1364" i="6" s="1"/>
  <c r="B1334" i="6"/>
  <c r="B1318" i="6"/>
  <c r="B1302" i="6"/>
  <c r="B1286" i="6"/>
  <c r="G1286" i="6" s="1"/>
  <c r="B1358" i="6"/>
  <c r="B1277" i="6"/>
  <c r="B1261" i="6"/>
  <c r="B1245" i="6"/>
  <c r="B1229" i="6"/>
  <c r="B1213" i="6"/>
  <c r="B1197" i="6"/>
  <c r="B1185" i="6"/>
  <c r="F1185" i="6" s="1"/>
  <c r="B1169" i="6"/>
  <c r="G1169" i="6" s="1"/>
  <c r="B1153" i="6"/>
  <c r="B1137" i="6"/>
  <c r="B1121" i="6"/>
  <c r="B1109" i="6"/>
  <c r="B1101" i="6"/>
  <c r="B1093" i="6"/>
  <c r="B1085" i="6"/>
  <c r="G1085" i="6" s="1"/>
  <c r="B1077" i="6"/>
  <c r="B1069" i="6"/>
  <c r="B1061" i="6"/>
  <c r="B1053" i="6"/>
  <c r="G1053" i="6" s="1"/>
  <c r="B1045" i="6"/>
  <c r="B1037" i="6"/>
  <c r="B1029" i="6"/>
  <c r="B1454" i="6"/>
  <c r="B1312" i="6"/>
  <c r="E1312" i="6" s="1"/>
  <c r="B1501" i="6"/>
  <c r="B1447" i="6"/>
  <c r="B1431" i="6"/>
  <c r="B1424" i="6"/>
  <c r="B1397" i="6"/>
  <c r="B1365" i="6"/>
  <c r="B1386" i="6"/>
  <c r="B1464" i="6"/>
  <c r="B1321" i="6"/>
  <c r="B1289" i="6"/>
  <c r="B1282" i="6"/>
  <c r="C1282" i="6" s="1"/>
  <c r="B1266" i="6"/>
  <c r="E1266" i="6" s="1"/>
  <c r="B1250" i="6"/>
  <c r="B1234" i="6"/>
  <c r="B1218" i="6"/>
  <c r="C1218" i="6" s="1"/>
  <c r="B1202" i="6"/>
  <c r="E1202" i="6" s="1"/>
  <c r="B1341" i="6"/>
  <c r="B1306" i="6"/>
  <c r="B1376" i="6"/>
  <c r="F1376" i="6" s="1"/>
  <c r="B1265" i="6"/>
  <c r="G1265" i="6" s="1"/>
  <c r="B1233" i="6"/>
  <c r="B1201" i="6"/>
  <c r="B1170" i="6"/>
  <c r="D1170" i="6" s="1"/>
  <c r="B1138" i="6"/>
  <c r="G1138" i="6" s="1"/>
  <c r="B1111" i="6"/>
  <c r="B1095" i="6"/>
  <c r="B1079" i="6"/>
  <c r="C1079" i="6" s="1"/>
  <c r="B1063" i="6"/>
  <c r="E1063" i="6" s="1"/>
  <c r="B1047" i="6"/>
  <c r="B1031" i="6"/>
  <c r="B1320" i="6"/>
  <c r="F1320" i="6" s="1"/>
  <c r="B1191" i="6"/>
  <c r="B1175" i="6"/>
  <c r="B1159" i="6"/>
  <c r="B1143" i="6"/>
  <c r="C1143" i="6" s="1"/>
  <c r="B1127" i="6"/>
  <c r="B1368" i="6"/>
  <c r="B1259" i="6"/>
  <c r="B1227" i="6"/>
  <c r="B1190" i="6"/>
  <c r="B1158" i="6"/>
  <c r="B1126" i="6"/>
  <c r="B1106" i="6"/>
  <c r="F1106" i="6" s="1"/>
  <c r="B1090" i="6"/>
  <c r="B1074" i="6"/>
  <c r="B1058" i="6"/>
  <c r="B1042" i="6"/>
  <c r="B1026" i="6"/>
  <c r="B1007" i="6"/>
  <c r="B991" i="6"/>
  <c r="B975" i="6"/>
  <c r="B959" i="6"/>
  <c r="B943" i="6"/>
  <c r="B927" i="6"/>
  <c r="B911" i="6"/>
  <c r="B895" i="6"/>
  <c r="B879" i="6"/>
  <c r="B871" i="6"/>
  <c r="B863" i="6"/>
  <c r="B855" i="6"/>
  <c r="B847" i="6"/>
  <c r="B839" i="6"/>
  <c r="B831" i="6"/>
  <c r="B823" i="6"/>
  <c r="B815" i="6"/>
  <c r="B807" i="6"/>
  <c r="B1195" i="6"/>
  <c r="B1163" i="6"/>
  <c r="B1131" i="6"/>
  <c r="B1013" i="6"/>
  <c r="B997" i="6"/>
  <c r="B981" i="6"/>
  <c r="E981" i="6" s="1"/>
  <c r="B965" i="6"/>
  <c r="B949" i="6"/>
  <c r="B933" i="6"/>
  <c r="F933" i="6" s="1"/>
  <c r="B917" i="6"/>
  <c r="B901" i="6"/>
  <c r="B885" i="6"/>
  <c r="B1271" i="6"/>
  <c r="B1207" i="6"/>
  <c r="B1150" i="6"/>
  <c r="B1104" i="6"/>
  <c r="B1072" i="6"/>
  <c r="B1040" i="6"/>
  <c r="B1011" i="6"/>
  <c r="B1498" i="6"/>
  <c r="B1485" i="6"/>
  <c r="B1439" i="6"/>
  <c r="B1423" i="6"/>
  <c r="B1434" i="6"/>
  <c r="B1389" i="6"/>
  <c r="B1446" i="6"/>
  <c r="B1370" i="6"/>
  <c r="B1353" i="6"/>
  <c r="B1313" i="6"/>
  <c r="B1396" i="6"/>
  <c r="B1278" i="6"/>
  <c r="B1262" i="6"/>
  <c r="B1246" i="6"/>
  <c r="B1230" i="6"/>
  <c r="B1214" i="6"/>
  <c r="B1198" i="6"/>
  <c r="B1330" i="6"/>
  <c r="B1298" i="6"/>
  <c r="B1351" i="6"/>
  <c r="B1257" i="6"/>
  <c r="B1225" i="6"/>
  <c r="B1194" i="6"/>
  <c r="B1162" i="6"/>
  <c r="B1130" i="6"/>
  <c r="B1107" i="6"/>
  <c r="B1091" i="6"/>
  <c r="B1075" i="6"/>
  <c r="B1059" i="6"/>
  <c r="B1043" i="6"/>
  <c r="B1027" i="6"/>
  <c r="B1304" i="6"/>
  <c r="B1184" i="6"/>
  <c r="B1168" i="6"/>
  <c r="B1152" i="6"/>
  <c r="B1136" i="6"/>
  <c r="B1120" i="6"/>
  <c r="B1283" i="6"/>
  <c r="B1251" i="6"/>
  <c r="B1219" i="6"/>
  <c r="B1181" i="6"/>
  <c r="B1149" i="6"/>
  <c r="B1117" i="6"/>
  <c r="B1102" i="6"/>
  <c r="B1086" i="6"/>
  <c r="B1070" i="6"/>
  <c r="B1054" i="6"/>
  <c r="B1038" i="6"/>
  <c r="B1022" i="6"/>
  <c r="B1006" i="6"/>
  <c r="B990" i="6"/>
  <c r="B974" i="6"/>
  <c r="B958" i="6"/>
  <c r="B942" i="6"/>
  <c r="C942" i="6" s="1"/>
  <c r="B926" i="6"/>
  <c r="B910" i="6"/>
  <c r="B894" i="6"/>
  <c r="B877" i="6"/>
  <c r="E877" i="6" s="1"/>
  <c r="B869" i="6"/>
  <c r="B861" i="6"/>
  <c r="B853" i="6"/>
  <c r="B845" i="6"/>
  <c r="B837" i="6"/>
  <c r="B829" i="6"/>
  <c r="B821" i="6"/>
  <c r="B813" i="6"/>
  <c r="B1332" i="6"/>
  <c r="D1332" i="6" s="1"/>
  <c r="B1188" i="6"/>
  <c r="B1156" i="6"/>
  <c r="B1124" i="6"/>
  <c r="B1012" i="6"/>
  <c r="B996" i="6"/>
  <c r="B980" i="6"/>
  <c r="B964" i="6"/>
  <c r="B948" i="6"/>
  <c r="B932" i="6"/>
  <c r="B916" i="6"/>
  <c r="B900" i="6"/>
  <c r="B1488" i="6"/>
  <c r="B1467" i="6"/>
  <c r="B1479" i="6"/>
  <c r="B1465" i="6"/>
  <c r="B1413" i="6"/>
  <c r="B1381" i="6"/>
  <c r="B1418" i="6"/>
  <c r="B1355" i="6"/>
  <c r="B1337" i="6"/>
  <c r="B1305" i="6"/>
  <c r="B1359" i="6"/>
  <c r="B1274" i="6"/>
  <c r="F1274" i="6" s="1"/>
  <c r="B1258" i="6"/>
  <c r="D1258" i="6" s="1"/>
  <c r="B1242" i="6"/>
  <c r="B1226" i="6"/>
  <c r="B1210" i="6"/>
  <c r="F1210" i="6" s="1"/>
  <c r="B1420" i="6"/>
  <c r="E1420" i="6" s="1"/>
  <c r="B1322" i="6"/>
  <c r="B1290" i="6"/>
  <c r="B1281" i="6"/>
  <c r="D1281" i="6" s="1"/>
  <c r="B1249" i="6"/>
  <c r="C1249" i="6" s="1"/>
  <c r="B1217" i="6"/>
  <c r="B1186" i="6"/>
  <c r="B1154" i="6"/>
  <c r="E1154" i="6" s="1"/>
  <c r="B1122" i="6"/>
  <c r="F1122" i="6" s="1"/>
  <c r="B1103" i="6"/>
  <c r="B1087" i="6"/>
  <c r="B1071" i="6"/>
  <c r="F1071" i="6" s="1"/>
  <c r="B1055" i="6"/>
  <c r="D1055" i="6" s="1"/>
  <c r="B1039" i="6"/>
  <c r="B1023" i="6"/>
  <c r="B1296" i="6"/>
  <c r="B1183" i="6"/>
  <c r="F1183" i="6" s="1"/>
  <c r="B1167" i="6"/>
  <c r="B1151" i="6"/>
  <c r="B1135" i="6"/>
  <c r="B1119" i="6"/>
  <c r="B1275" i="6"/>
  <c r="B1243" i="6"/>
  <c r="B1211" i="6"/>
  <c r="B1174" i="6"/>
  <c r="B1142" i="6"/>
  <c r="B1114" i="6"/>
  <c r="B1098" i="6"/>
  <c r="B1082" i="6"/>
  <c r="B1066" i="6"/>
  <c r="B1050" i="6"/>
  <c r="B1034" i="6"/>
  <c r="B1015" i="6"/>
  <c r="B999" i="6"/>
  <c r="B983" i="6"/>
  <c r="B967" i="6"/>
  <c r="B951" i="6"/>
  <c r="B935" i="6"/>
  <c r="B919" i="6"/>
  <c r="B903" i="6"/>
  <c r="B887" i="6"/>
  <c r="B875" i="6"/>
  <c r="B867" i="6"/>
  <c r="B859" i="6"/>
  <c r="B851" i="6"/>
  <c r="B843" i="6"/>
  <c r="B835" i="6"/>
  <c r="B827" i="6"/>
  <c r="E827" i="6" s="1"/>
  <c r="B819" i="6"/>
  <c r="B811" i="6"/>
  <c r="B1316" i="6"/>
  <c r="B1179" i="6"/>
  <c r="B1147" i="6"/>
  <c r="B1021" i="6"/>
  <c r="B1005" i="6"/>
  <c r="B989" i="6"/>
  <c r="B973" i="6"/>
  <c r="B957" i="6"/>
  <c r="B941" i="6"/>
  <c r="B925" i="6"/>
  <c r="B909" i="6"/>
  <c r="B893" i="6"/>
  <c r="B1416" i="6"/>
  <c r="B1239" i="6"/>
  <c r="B1182" i="6"/>
  <c r="B1118" i="6"/>
  <c r="B1088" i="6"/>
  <c r="B1056" i="6"/>
  <c r="B1024" i="6"/>
  <c r="F1024" i="6" s="1"/>
  <c r="B1478" i="6"/>
  <c r="B1405" i="6"/>
  <c r="B1329" i="6"/>
  <c r="B1254" i="6"/>
  <c r="B1357" i="6"/>
  <c r="B1241" i="6"/>
  <c r="B1115" i="6"/>
  <c r="B1051" i="6"/>
  <c r="B1176" i="6"/>
  <c r="B1400" i="6"/>
  <c r="B1165" i="6"/>
  <c r="C1165" i="6" s="1"/>
  <c r="B1078" i="6"/>
  <c r="C1078" i="6" s="1"/>
  <c r="B1014" i="6"/>
  <c r="B950" i="6"/>
  <c r="B886" i="6"/>
  <c r="C886" i="6" s="1"/>
  <c r="B849" i="6"/>
  <c r="D849" i="6" s="1"/>
  <c r="B817" i="6"/>
  <c r="B1140" i="6"/>
  <c r="B972" i="6"/>
  <c r="C972" i="6" s="1"/>
  <c r="B908" i="6"/>
  <c r="G908" i="6" s="1"/>
  <c r="B1255" i="6"/>
  <c r="B1125" i="6"/>
  <c r="B1064" i="6"/>
  <c r="B1002" i="6"/>
  <c r="B970" i="6"/>
  <c r="B938" i="6"/>
  <c r="C938" i="6" s="1"/>
  <c r="B906" i="6"/>
  <c r="B878" i="6"/>
  <c r="B862" i="6"/>
  <c r="B846" i="6"/>
  <c r="D846" i="6" s="1"/>
  <c r="B830" i="6"/>
  <c r="B814" i="6"/>
  <c r="B798" i="6"/>
  <c r="B782" i="6"/>
  <c r="F782" i="6" s="1"/>
  <c r="B766" i="6"/>
  <c r="B750" i="6"/>
  <c r="B734" i="6"/>
  <c r="B718" i="6"/>
  <c r="G718" i="6" s="1"/>
  <c r="B702" i="6"/>
  <c r="B686" i="6"/>
  <c r="B670" i="6"/>
  <c r="B654" i="6"/>
  <c r="F654" i="6" s="1"/>
  <c r="B1308" i="6"/>
  <c r="B1132" i="6"/>
  <c r="B993" i="6"/>
  <c r="B961" i="6"/>
  <c r="E961" i="6" s="1"/>
  <c r="B929" i="6"/>
  <c r="B897" i="6"/>
  <c r="B804" i="6"/>
  <c r="B788" i="6"/>
  <c r="D788" i="6" s="1"/>
  <c r="B772" i="6"/>
  <c r="D772" i="6" s="1"/>
  <c r="B756" i="6"/>
  <c r="B740" i="6"/>
  <c r="B724" i="6"/>
  <c r="G724" i="6" s="1"/>
  <c r="B708" i="6"/>
  <c r="B692" i="6"/>
  <c r="B1384" i="6"/>
  <c r="B1141" i="6"/>
  <c r="E1141" i="6" s="1"/>
  <c r="B1076" i="6"/>
  <c r="B1019" i="6"/>
  <c r="B955" i="6"/>
  <c r="B891" i="6"/>
  <c r="E891" i="6" s="1"/>
  <c r="B848" i="6"/>
  <c r="B816" i="6"/>
  <c r="B786" i="6"/>
  <c r="B754" i="6"/>
  <c r="E754" i="6" s="1"/>
  <c r="B722" i="6"/>
  <c r="B690" i="6"/>
  <c r="B669" i="6"/>
  <c r="B640" i="6"/>
  <c r="E640" i="6" s="1"/>
  <c r="B624" i="6"/>
  <c r="B608" i="6"/>
  <c r="B592" i="6"/>
  <c r="B576" i="6"/>
  <c r="F576" i="6" s="1"/>
  <c r="B560" i="6"/>
  <c r="B544" i="6"/>
  <c r="B528" i="6"/>
  <c r="B512" i="6"/>
  <c r="E512" i="6" s="1"/>
  <c r="B496" i="6"/>
  <c r="F496" i="6" s="1"/>
  <c r="B480" i="6"/>
  <c r="B464" i="6"/>
  <c r="B1155" i="6"/>
  <c r="F1155" i="6" s="1"/>
  <c r="B976" i="6"/>
  <c r="B912" i="6"/>
  <c r="B793" i="6"/>
  <c r="B761" i="6"/>
  <c r="B729" i="6"/>
  <c r="B697" i="6"/>
  <c r="B658" i="6"/>
  <c r="B645" i="6"/>
  <c r="B629" i="6"/>
  <c r="B1455" i="6"/>
  <c r="B1373" i="6"/>
  <c r="B1297" i="6"/>
  <c r="B1238" i="6"/>
  <c r="B1314" i="6"/>
  <c r="B1209" i="6"/>
  <c r="B1099" i="6"/>
  <c r="B1035" i="6"/>
  <c r="B1160" i="6"/>
  <c r="G1160" i="6" s="1"/>
  <c r="B1267" i="6"/>
  <c r="B1133" i="6"/>
  <c r="D1133" i="6" s="1"/>
  <c r="B1062" i="6"/>
  <c r="C1062" i="6" s="1"/>
  <c r="B998" i="6"/>
  <c r="E998" i="6" s="1"/>
  <c r="B934" i="6"/>
  <c r="B873" i="6"/>
  <c r="G873" i="6" s="1"/>
  <c r="B841" i="6"/>
  <c r="G841" i="6" s="1"/>
  <c r="B809" i="6"/>
  <c r="F809" i="6" s="1"/>
  <c r="B1020" i="6"/>
  <c r="B956" i="6"/>
  <c r="B892" i="6"/>
  <c r="D892" i="6" s="1"/>
  <c r="B1223" i="6"/>
  <c r="F1223" i="6" s="1"/>
  <c r="B1112" i="6"/>
  <c r="B1048" i="6"/>
  <c r="C1048" i="6" s="1"/>
  <c r="B995" i="6"/>
  <c r="B963" i="6"/>
  <c r="B931" i="6"/>
  <c r="B899" i="6"/>
  <c r="B874" i="6"/>
  <c r="B858" i="6"/>
  <c r="B842" i="6"/>
  <c r="B826" i="6"/>
  <c r="G826" i="6" s="1"/>
  <c r="B810" i="6"/>
  <c r="B791" i="6"/>
  <c r="B775" i="6"/>
  <c r="B759" i="6"/>
  <c r="F759" i="6" s="1"/>
  <c r="B743" i="6"/>
  <c r="B727" i="6"/>
  <c r="B711" i="6"/>
  <c r="B695" i="6"/>
  <c r="B679" i="6"/>
  <c r="B663" i="6"/>
  <c r="B647" i="6"/>
  <c r="B1171" i="6"/>
  <c r="B1016" i="6"/>
  <c r="B984" i="6"/>
  <c r="B952" i="6"/>
  <c r="B920" i="6"/>
  <c r="B888" i="6"/>
  <c r="F888" i="6" s="1"/>
  <c r="B797" i="6"/>
  <c r="B781" i="6"/>
  <c r="B765" i="6"/>
  <c r="B749" i="6"/>
  <c r="B733" i="6"/>
  <c r="B717" i="6"/>
  <c r="B701" i="6"/>
  <c r="B685" i="6"/>
  <c r="E685" i="6" s="1"/>
  <c r="B1263" i="6"/>
  <c r="B1134" i="6"/>
  <c r="B1060" i="6"/>
  <c r="B994" i="6"/>
  <c r="E994" i="6" s="1"/>
  <c r="B930" i="6"/>
  <c r="G930" i="6" s="1"/>
  <c r="B872" i="6"/>
  <c r="B840" i="6"/>
  <c r="B808" i="6"/>
  <c r="B779" i="6"/>
  <c r="B747" i="6"/>
  <c r="B715" i="6"/>
  <c r="B683" i="6"/>
  <c r="B656" i="6"/>
  <c r="B639" i="6"/>
  <c r="B623" i="6"/>
  <c r="B607" i="6"/>
  <c r="B591" i="6"/>
  <c r="B575" i="6"/>
  <c r="B559" i="6"/>
  <c r="B543" i="6"/>
  <c r="B527" i="6"/>
  <c r="B511" i="6"/>
  <c r="B495" i="6"/>
  <c r="B479" i="6"/>
  <c r="B463" i="6"/>
  <c r="B1148" i="6"/>
  <c r="B969" i="6"/>
  <c r="B905" i="6"/>
  <c r="B784" i="6"/>
  <c r="B1456" i="6"/>
  <c r="B1402" i="6"/>
  <c r="B1287" i="6"/>
  <c r="B1222" i="6"/>
  <c r="B1408" i="6"/>
  <c r="B1178" i="6"/>
  <c r="B1083" i="6"/>
  <c r="B1340" i="6"/>
  <c r="B1144" i="6"/>
  <c r="B1235" i="6"/>
  <c r="F1235" i="6" s="1"/>
  <c r="B1110" i="6"/>
  <c r="F1110" i="6" s="1"/>
  <c r="B1046" i="6"/>
  <c r="D1046" i="6" s="1"/>
  <c r="B982" i="6"/>
  <c r="B918" i="6"/>
  <c r="C918" i="6" s="1"/>
  <c r="B865" i="6"/>
  <c r="D865" i="6" s="1"/>
  <c r="B833" i="6"/>
  <c r="E833" i="6" s="1"/>
  <c r="B1300" i="6"/>
  <c r="B1004" i="6"/>
  <c r="B940" i="6"/>
  <c r="F940" i="6" s="1"/>
  <c r="B884" i="6"/>
  <c r="B1189" i="6"/>
  <c r="B1096" i="6"/>
  <c r="B1032" i="6"/>
  <c r="B986" i="6"/>
  <c r="E986" i="6" s="1"/>
  <c r="B954" i="6"/>
  <c r="B922" i="6"/>
  <c r="D922" i="6" s="1"/>
  <c r="B890" i="6"/>
  <c r="C890" i="6" s="1"/>
  <c r="B870" i="6"/>
  <c r="F870" i="6" s="1"/>
  <c r="B854" i="6"/>
  <c r="B838" i="6"/>
  <c r="B822" i="6"/>
  <c r="G822" i="6" s="1"/>
  <c r="B806" i="6"/>
  <c r="D806" i="6" s="1"/>
  <c r="B790" i="6"/>
  <c r="B774" i="6"/>
  <c r="C774" i="6" s="1"/>
  <c r="B758" i="6"/>
  <c r="C758" i="6" s="1"/>
  <c r="B742" i="6"/>
  <c r="C742" i="6" s="1"/>
  <c r="B726" i="6"/>
  <c r="B710" i="6"/>
  <c r="E710" i="6" s="1"/>
  <c r="B694" i="6"/>
  <c r="C694" i="6" s="1"/>
  <c r="B678" i="6"/>
  <c r="F678" i="6" s="1"/>
  <c r="B662" i="6"/>
  <c r="B646" i="6"/>
  <c r="B1164" i="6"/>
  <c r="F1164" i="6" s="1"/>
  <c r="B1009" i="6"/>
  <c r="C1009" i="6" s="1"/>
  <c r="B977" i="6"/>
  <c r="B945" i="6"/>
  <c r="F945" i="6" s="1"/>
  <c r="B913" i="6"/>
  <c r="F913" i="6" s="1"/>
  <c r="B881" i="6"/>
  <c r="E881" i="6" s="1"/>
  <c r="B796" i="6"/>
  <c r="B780" i="6"/>
  <c r="D780" i="6" s="1"/>
  <c r="B764" i="6"/>
  <c r="C764" i="6" s="1"/>
  <c r="B748" i="6"/>
  <c r="C748" i="6" s="1"/>
  <c r="B732" i="6"/>
  <c r="B716" i="6"/>
  <c r="B700" i="6"/>
  <c r="C700" i="6" s="1"/>
  <c r="B684" i="6"/>
  <c r="D684" i="6" s="1"/>
  <c r="B1231" i="6"/>
  <c r="B1108" i="6"/>
  <c r="G1108" i="6" s="1"/>
  <c r="B1044" i="6"/>
  <c r="G1044" i="6" s="1"/>
  <c r="B987" i="6"/>
  <c r="G987" i="6" s="1"/>
  <c r="B923" i="6"/>
  <c r="B864" i="6"/>
  <c r="C864" i="6" s="1"/>
  <c r="B832" i="6"/>
  <c r="G832" i="6" s="1"/>
  <c r="B802" i="6"/>
  <c r="G802" i="6" s="1"/>
  <c r="B770" i="6"/>
  <c r="B738" i="6"/>
  <c r="D738" i="6" s="1"/>
  <c r="B706" i="6"/>
  <c r="C706" i="6" s="1"/>
  <c r="B676" i="6"/>
  <c r="G676" i="6" s="1"/>
  <c r="B650" i="6"/>
  <c r="B632" i="6"/>
  <c r="D632" i="6" s="1"/>
  <c r="B616" i="6"/>
  <c r="C616" i="6" s="1"/>
  <c r="B600" i="6"/>
  <c r="E600" i="6" s="1"/>
  <c r="B584" i="6"/>
  <c r="B568" i="6"/>
  <c r="D568" i="6" s="1"/>
  <c r="B552" i="6"/>
  <c r="B536" i="6"/>
  <c r="E536" i="6" s="1"/>
  <c r="B520" i="6"/>
  <c r="B504" i="6"/>
  <c r="D504" i="6" s="1"/>
  <c r="B488" i="6"/>
  <c r="B472" i="6"/>
  <c r="E472" i="6" s="1"/>
  <c r="B1349" i="6"/>
  <c r="B1008" i="6"/>
  <c r="E1008" i="6" s="1"/>
  <c r="B944" i="6"/>
  <c r="B880" i="6"/>
  <c r="G880" i="6" s="1"/>
  <c r="B777" i="6"/>
  <c r="B745" i="6"/>
  <c r="C745" i="6" s="1"/>
  <c r="B713" i="6"/>
  <c r="G713" i="6" s="1"/>
  <c r="B681" i="6"/>
  <c r="E681" i="6" s="1"/>
  <c r="B652" i="6"/>
  <c r="B637" i="6"/>
  <c r="F637" i="6" s="1"/>
  <c r="B1432" i="6"/>
  <c r="B1273" i="6"/>
  <c r="B1128" i="6"/>
  <c r="B966" i="6"/>
  <c r="F966" i="6" s="1"/>
  <c r="B1172" i="6"/>
  <c r="E1172" i="6" s="1"/>
  <c r="B1157" i="6"/>
  <c r="G1157" i="6" s="1"/>
  <c r="B947" i="6"/>
  <c r="B850" i="6"/>
  <c r="B783" i="6"/>
  <c r="B719" i="6"/>
  <c r="E719" i="6" s="1"/>
  <c r="B655" i="6"/>
  <c r="B968" i="6"/>
  <c r="B789" i="6"/>
  <c r="B725" i="6"/>
  <c r="B1199" i="6"/>
  <c r="B898" i="6"/>
  <c r="B763" i="6"/>
  <c r="G763" i="6" s="1"/>
  <c r="B649" i="6"/>
  <c r="C649" i="6" s="1"/>
  <c r="B583" i="6"/>
  <c r="B519" i="6"/>
  <c r="B1324" i="6"/>
  <c r="B768" i="6"/>
  <c r="B704" i="6"/>
  <c r="B651" i="6"/>
  <c r="B621" i="6"/>
  <c r="C621" i="6" s="1"/>
  <c r="B605" i="6"/>
  <c r="G605" i="6" s="1"/>
  <c r="B589" i="6"/>
  <c r="B573" i="6"/>
  <c r="F573" i="6" s="1"/>
  <c r="B557" i="6"/>
  <c r="B541" i="6"/>
  <c r="G541" i="6" s="1"/>
  <c r="B525" i="6"/>
  <c r="B509" i="6"/>
  <c r="F509" i="6" s="1"/>
  <c r="B493" i="6"/>
  <c r="G493" i="6" s="1"/>
  <c r="B477" i="6"/>
  <c r="G477" i="6" s="1"/>
  <c r="B461" i="6"/>
  <c r="B451" i="6"/>
  <c r="E451" i="6" s="1"/>
  <c r="B443" i="6"/>
  <c r="B435" i="6"/>
  <c r="G435" i="6" s="1"/>
  <c r="B427" i="6"/>
  <c r="B419" i="6"/>
  <c r="E419" i="6" s="1"/>
  <c r="B411" i="6"/>
  <c r="G411" i="6" s="1"/>
  <c r="B403" i="6"/>
  <c r="G403" i="6" s="1"/>
  <c r="B395" i="6"/>
  <c r="B387" i="6"/>
  <c r="E387" i="6" s="1"/>
  <c r="B379" i="6"/>
  <c r="B371" i="6"/>
  <c r="G371" i="6" s="1"/>
  <c r="B363" i="6"/>
  <c r="B355" i="6"/>
  <c r="E355" i="6" s="1"/>
  <c r="B347" i="6"/>
  <c r="B339" i="6"/>
  <c r="G339" i="6" s="1"/>
  <c r="B331" i="6"/>
  <c r="B323" i="6"/>
  <c r="E323" i="6" s="1"/>
  <c r="B315" i="6"/>
  <c r="D315" i="6" s="1"/>
  <c r="B307" i="6"/>
  <c r="G307" i="6" s="1"/>
  <c r="B299" i="6"/>
  <c r="B291" i="6"/>
  <c r="E291" i="6" s="1"/>
  <c r="B283" i="6"/>
  <c r="C283" i="6" s="1"/>
  <c r="B275" i="6"/>
  <c r="G275" i="6" s="1"/>
  <c r="B267" i="6"/>
  <c r="B259" i="6"/>
  <c r="G259" i="6" s="1"/>
  <c r="B251" i="6"/>
  <c r="B243" i="6"/>
  <c r="B235" i="6"/>
  <c r="B227" i="6"/>
  <c r="E227" i="6" s="1"/>
  <c r="B219" i="6"/>
  <c r="B211" i="6"/>
  <c r="E211" i="6" s="1"/>
  <c r="B203" i="6"/>
  <c r="B195" i="6"/>
  <c r="E195" i="6" s="1"/>
  <c r="B187" i="6"/>
  <c r="B179" i="6"/>
  <c r="D179" i="6" s="1"/>
  <c r="B171" i="6"/>
  <c r="B163" i="6"/>
  <c r="C163" i="6" s="1"/>
  <c r="B155" i="6"/>
  <c r="B147" i="6"/>
  <c r="D147" i="6" s="1"/>
  <c r="B139" i="6"/>
  <c r="B131" i="6"/>
  <c r="D131" i="6" s="1"/>
  <c r="B123" i="6"/>
  <c r="B115" i="6"/>
  <c r="B107" i="6"/>
  <c r="B99" i="6"/>
  <c r="E99" i="6" s="1"/>
  <c r="B91" i="6"/>
  <c r="B83" i="6"/>
  <c r="E83" i="6" s="1"/>
  <c r="B75" i="6"/>
  <c r="B67" i="6"/>
  <c r="C67" i="6" s="1"/>
  <c r="B1215" i="6"/>
  <c r="E1215" i="6" s="1"/>
  <c r="B1084" i="6"/>
  <c r="B1010" i="6"/>
  <c r="B946" i="6"/>
  <c r="C946" i="6" s="1"/>
  <c r="B882" i="6"/>
  <c r="G882" i="6" s="1"/>
  <c r="B852" i="6"/>
  <c r="B820" i="6"/>
  <c r="B787" i="6"/>
  <c r="B755" i="6"/>
  <c r="B723" i="6"/>
  <c r="B896" i="6"/>
  <c r="B721" i="6"/>
  <c r="B643" i="6"/>
  <c r="C643" i="6" s="1"/>
  <c r="B611" i="6"/>
  <c r="B579" i="6"/>
  <c r="B547" i="6"/>
  <c r="D547" i="6" s="1"/>
  <c r="B515" i="6"/>
  <c r="F515" i="6" s="1"/>
  <c r="B483" i="6"/>
  <c r="B272" i="6"/>
  <c r="B1187" i="6"/>
  <c r="E1187" i="6" s="1"/>
  <c r="B769" i="6"/>
  <c r="B689" i="6"/>
  <c r="B641" i="6"/>
  <c r="B609" i="6"/>
  <c r="F609" i="6" s="1"/>
  <c r="B577" i="6"/>
  <c r="B545" i="6"/>
  <c r="B513" i="6"/>
  <c r="B481" i="6"/>
  <c r="C481" i="6" s="1"/>
  <c r="B454" i="6"/>
  <c r="B438" i="6"/>
  <c r="D438" i="6" s="1"/>
  <c r="B422" i="6"/>
  <c r="B406" i="6"/>
  <c r="B390" i="6"/>
  <c r="F390" i="6" s="1"/>
  <c r="B1123" i="6"/>
  <c r="B760" i="6"/>
  <c r="B672" i="6"/>
  <c r="E672" i="6" s="1"/>
  <c r="B644" i="6"/>
  <c r="D644" i="6" s="1"/>
  <c r="B612" i="6"/>
  <c r="B580" i="6"/>
  <c r="B548" i="6"/>
  <c r="C548" i="6" s="1"/>
  <c r="B516" i="6"/>
  <c r="B484" i="6"/>
  <c r="B268" i="6"/>
  <c r="B1116" i="6"/>
  <c r="B553" i="6"/>
  <c r="C553" i="6" s="1"/>
  <c r="B444" i="6"/>
  <c r="F444" i="6" s="1"/>
  <c r="B380" i="6"/>
  <c r="B350" i="6"/>
  <c r="C350" i="6" s="1"/>
  <c r="B318" i="6"/>
  <c r="D318" i="6" s="1"/>
  <c r="B286" i="6"/>
  <c r="B238" i="6"/>
  <c r="B206" i="6"/>
  <c r="E206" i="6" s="1"/>
  <c r="B174" i="6"/>
  <c r="B142" i="6"/>
  <c r="B110" i="6"/>
  <c r="B78" i="6"/>
  <c r="D78" i="6" s="1"/>
  <c r="B537" i="6"/>
  <c r="B448" i="6"/>
  <c r="G448" i="6" s="1"/>
  <c r="B384" i="6"/>
  <c r="B352" i="6"/>
  <c r="D352" i="6" s="1"/>
  <c r="B320" i="6"/>
  <c r="C320" i="6" s="1"/>
  <c r="B288" i="6"/>
  <c r="B228" i="6"/>
  <c r="B196" i="6"/>
  <c r="D196" i="6" s="1"/>
  <c r="B164" i="6"/>
  <c r="B132" i="6"/>
  <c r="B100" i="6"/>
  <c r="B68" i="6"/>
  <c r="E68" i="6" s="1"/>
  <c r="B59" i="6"/>
  <c r="B51" i="6"/>
  <c r="B43" i="6"/>
  <c r="B35" i="6"/>
  <c r="C35" i="6" s="1"/>
  <c r="B27" i="6"/>
  <c r="B19" i="6"/>
  <c r="B11" i="6"/>
  <c r="B3" i="6"/>
  <c r="C3" i="6" s="1"/>
  <c r="B562" i="6"/>
  <c r="B392" i="6"/>
  <c r="B284" i="6"/>
  <c r="B192" i="6"/>
  <c r="D192" i="6" s="1"/>
  <c r="B144" i="6"/>
  <c r="E144" i="6" s="1"/>
  <c r="B66" i="6"/>
  <c r="B50" i="6"/>
  <c r="B34" i="6"/>
  <c r="C34" i="6" s="1"/>
  <c r="B18" i="6"/>
  <c r="B2" i="6"/>
  <c r="B1339" i="6"/>
  <c r="B1146" i="6"/>
  <c r="B1203" i="6"/>
  <c r="D1203" i="6" s="1"/>
  <c r="B902" i="6"/>
  <c r="C902" i="6" s="1"/>
  <c r="B988" i="6"/>
  <c r="B1080" i="6"/>
  <c r="G1080" i="6" s="1"/>
  <c r="B915" i="6"/>
  <c r="B834" i="6"/>
  <c r="F834" i="6" s="1"/>
  <c r="B767" i="6"/>
  <c r="B703" i="6"/>
  <c r="B1356" i="6"/>
  <c r="B936" i="6"/>
  <c r="B773" i="6"/>
  <c r="B709" i="6"/>
  <c r="B1092" i="6"/>
  <c r="B856" i="6"/>
  <c r="B731" i="6"/>
  <c r="B631" i="6"/>
  <c r="B567" i="6"/>
  <c r="B503" i="6"/>
  <c r="G503" i="6" s="1"/>
  <c r="B1001" i="6"/>
  <c r="B752" i="6"/>
  <c r="B688" i="6"/>
  <c r="B638" i="6"/>
  <c r="B614" i="6"/>
  <c r="B598" i="6"/>
  <c r="B582" i="6"/>
  <c r="D582" i="6" s="1"/>
  <c r="B566" i="6"/>
  <c r="B550" i="6"/>
  <c r="B534" i="6"/>
  <c r="B518" i="6"/>
  <c r="B502" i="6"/>
  <c r="B486" i="6"/>
  <c r="B470" i="6"/>
  <c r="B457" i="6"/>
  <c r="B449" i="6"/>
  <c r="C449" i="6" s="1"/>
  <c r="B441" i="6"/>
  <c r="B433" i="6"/>
  <c r="B425" i="6"/>
  <c r="G425" i="6" s="1"/>
  <c r="B417" i="6"/>
  <c r="B409" i="6"/>
  <c r="B401" i="6"/>
  <c r="B393" i="6"/>
  <c r="B385" i="6"/>
  <c r="B377" i="6"/>
  <c r="B369" i="6"/>
  <c r="B361" i="6"/>
  <c r="B353" i="6"/>
  <c r="B345" i="6"/>
  <c r="B337" i="6"/>
  <c r="B329" i="6"/>
  <c r="B321" i="6"/>
  <c r="E321" i="6" s="1"/>
  <c r="B313" i="6"/>
  <c r="B305" i="6"/>
  <c r="B297" i="6"/>
  <c r="G297" i="6" s="1"/>
  <c r="B289" i="6"/>
  <c r="B281" i="6"/>
  <c r="B273" i="6"/>
  <c r="B265" i="6"/>
  <c r="B257" i="6"/>
  <c r="B249" i="6"/>
  <c r="B241" i="6"/>
  <c r="D241" i="6" s="1"/>
  <c r="B233" i="6"/>
  <c r="B225" i="6"/>
  <c r="B217" i="6"/>
  <c r="B209" i="6"/>
  <c r="B201" i="6"/>
  <c r="B193" i="6"/>
  <c r="B185" i="6"/>
  <c r="B177" i="6"/>
  <c r="B169" i="6"/>
  <c r="B161" i="6"/>
  <c r="B153" i="6"/>
  <c r="B145" i="6"/>
  <c r="B137" i="6"/>
  <c r="B129" i="6"/>
  <c r="B121" i="6"/>
  <c r="B113" i="6"/>
  <c r="B105" i="6"/>
  <c r="B97" i="6"/>
  <c r="B89" i="6"/>
  <c r="B81" i="6"/>
  <c r="B73" i="6"/>
  <c r="B1335" i="6"/>
  <c r="B1173" i="6"/>
  <c r="B1068" i="6"/>
  <c r="B1003" i="6"/>
  <c r="D1003" i="6" s="1"/>
  <c r="B939" i="6"/>
  <c r="B876" i="6"/>
  <c r="B844" i="6"/>
  <c r="B812" i="6"/>
  <c r="B778" i="6"/>
  <c r="B746" i="6"/>
  <c r="B714" i="6"/>
  <c r="B792" i="6"/>
  <c r="B682" i="6"/>
  <c r="B636" i="6"/>
  <c r="B604" i="6"/>
  <c r="B572" i="6"/>
  <c r="D572" i="6" s="1"/>
  <c r="B540" i="6"/>
  <c r="B508" i="6"/>
  <c r="B476" i="6"/>
  <c r="B264" i="6"/>
  <c r="B992" i="6"/>
  <c r="B712" i="6"/>
  <c r="B673" i="6"/>
  <c r="B634" i="6"/>
  <c r="B602" i="6"/>
  <c r="B570" i="6"/>
  <c r="B538" i="6"/>
  <c r="B506" i="6"/>
  <c r="B474" i="6"/>
  <c r="B450" i="6"/>
  <c r="B434" i="6"/>
  <c r="B418" i="6"/>
  <c r="D418" i="6" s="1"/>
  <c r="B402" i="6"/>
  <c r="B386" i="6"/>
  <c r="B1017" i="6"/>
  <c r="B753" i="6"/>
  <c r="F753" i="6" s="1"/>
  <c r="B665" i="6"/>
  <c r="E665" i="6" s="1"/>
  <c r="B635" i="6"/>
  <c r="B603" i="6"/>
  <c r="B571" i="6"/>
  <c r="B539" i="6"/>
  <c r="B507" i="6"/>
  <c r="B475" i="6"/>
  <c r="B260" i="6"/>
  <c r="B674" i="6"/>
  <c r="B546" i="6"/>
  <c r="B428" i="6"/>
  <c r="B374" i="6"/>
  <c r="B342" i="6"/>
  <c r="B310" i="6"/>
  <c r="B278" i="6"/>
  <c r="B230" i="6"/>
  <c r="D230" i="6" s="1"/>
  <c r="B198" i="6"/>
  <c r="B166" i="6"/>
  <c r="B134" i="6"/>
  <c r="B102" i="6"/>
  <c r="B70" i="6"/>
  <c r="B530" i="6"/>
  <c r="B432" i="6"/>
  <c r="B376" i="6"/>
  <c r="B344" i="6"/>
  <c r="B312" i="6"/>
  <c r="B280" i="6"/>
  <c r="B220" i="6"/>
  <c r="B188" i="6"/>
  <c r="B156" i="6"/>
  <c r="B124" i="6"/>
  <c r="B92" i="6"/>
  <c r="B65" i="6"/>
  <c r="B57" i="6"/>
  <c r="B49" i="6"/>
  <c r="B41" i="6"/>
  <c r="B33" i="6"/>
  <c r="B25" i="6"/>
  <c r="B17" i="6"/>
  <c r="E17" i="6" s="1"/>
  <c r="B9" i="6"/>
  <c r="B985" i="6"/>
  <c r="B505" i="6"/>
  <c r="B332" i="6"/>
  <c r="B266" i="6"/>
  <c r="B184" i="6"/>
  <c r="B128" i="6"/>
  <c r="B1270" i="6"/>
  <c r="B1067" i="6"/>
  <c r="D1067" i="6" s="1"/>
  <c r="B1094" i="6"/>
  <c r="G1094" i="6" s="1"/>
  <c r="B857" i="6"/>
  <c r="B924" i="6"/>
  <c r="D924" i="6" s="1"/>
  <c r="B1018" i="6"/>
  <c r="C1018" i="6" s="1"/>
  <c r="B883" i="6"/>
  <c r="B818" i="6"/>
  <c r="B751" i="6"/>
  <c r="B687" i="6"/>
  <c r="B1139" i="6"/>
  <c r="E1139" i="6" s="1"/>
  <c r="B904" i="6"/>
  <c r="B757" i="6"/>
  <c r="B693" i="6"/>
  <c r="B1028" i="6"/>
  <c r="B824" i="6"/>
  <c r="B699" i="6"/>
  <c r="B615" i="6"/>
  <c r="C615" i="6" s="1"/>
  <c r="B551" i="6"/>
  <c r="B487" i="6"/>
  <c r="B937" i="6"/>
  <c r="B736" i="6"/>
  <c r="B664" i="6"/>
  <c r="B630" i="6"/>
  <c r="B613" i="6"/>
  <c r="B597" i="6"/>
  <c r="E597" i="6" s="1"/>
  <c r="B581" i="6"/>
  <c r="B565" i="6"/>
  <c r="B549" i="6"/>
  <c r="B533" i="6"/>
  <c r="B517" i="6"/>
  <c r="B501" i="6"/>
  <c r="B485" i="6"/>
  <c r="B469" i="6"/>
  <c r="B455" i="6"/>
  <c r="B447" i="6"/>
  <c r="B439" i="6"/>
  <c r="B431" i="6"/>
  <c r="B423" i="6"/>
  <c r="B415" i="6"/>
  <c r="B407" i="6"/>
  <c r="B399" i="6"/>
  <c r="B391" i="6"/>
  <c r="B383" i="6"/>
  <c r="B375" i="6"/>
  <c r="B367" i="6"/>
  <c r="B359" i="6"/>
  <c r="B351" i="6"/>
  <c r="B343" i="6"/>
  <c r="B335" i="6"/>
  <c r="B327" i="6"/>
  <c r="B319" i="6"/>
  <c r="B311" i="6"/>
  <c r="B303" i="6"/>
  <c r="B295" i="6"/>
  <c r="B287" i="6"/>
  <c r="B279" i="6"/>
  <c r="B271" i="6"/>
  <c r="B263" i="6"/>
  <c r="B255" i="6"/>
  <c r="B247" i="6"/>
  <c r="B239" i="6"/>
  <c r="B231" i="6"/>
  <c r="B223" i="6"/>
  <c r="B215" i="6"/>
  <c r="B207" i="6"/>
  <c r="B199" i="6"/>
  <c r="B191" i="6"/>
  <c r="B183" i="6"/>
  <c r="C183" i="6" s="1"/>
  <c r="B175" i="6"/>
  <c r="B167" i="6"/>
  <c r="B159" i="6"/>
  <c r="B151" i="6"/>
  <c r="D151" i="6" s="1"/>
  <c r="B143" i="6"/>
  <c r="B135" i="6"/>
  <c r="B127" i="6"/>
  <c r="B119" i="6"/>
  <c r="B111" i="6"/>
  <c r="B103" i="6"/>
  <c r="B95" i="6"/>
  <c r="B87" i="6"/>
  <c r="B79" i="6"/>
  <c r="B71" i="6"/>
  <c r="B1279" i="6"/>
  <c r="G1279" i="6" s="1"/>
  <c r="B1166" i="6"/>
  <c r="E1166" i="6" s="1"/>
  <c r="B1052" i="6"/>
  <c r="B978" i="6"/>
  <c r="B914" i="6"/>
  <c r="C914" i="6" s="1"/>
  <c r="B868" i="6"/>
  <c r="E868" i="6" s="1"/>
  <c r="B836" i="6"/>
  <c r="B803" i="6"/>
  <c r="B771" i="6"/>
  <c r="D771" i="6" s="1"/>
  <c r="B739" i="6"/>
  <c r="E739" i="6" s="1"/>
  <c r="B707" i="6"/>
  <c r="B785" i="6"/>
  <c r="B666" i="6"/>
  <c r="C666" i="6" s="1"/>
  <c r="B627" i="6"/>
  <c r="F627" i="6" s="1"/>
  <c r="B595" i="6"/>
  <c r="B563" i="6"/>
  <c r="B531" i="6"/>
  <c r="C531" i="6" s="1"/>
  <c r="B499" i="6"/>
  <c r="B467" i="6"/>
  <c r="B256" i="6"/>
  <c r="B921" i="6"/>
  <c r="F921" i="6" s="1"/>
  <c r="B705" i="6"/>
  <c r="C705" i="6" s="1"/>
  <c r="B668" i="6"/>
  <c r="B625" i="6"/>
  <c r="B593" i="6"/>
  <c r="C593" i="6" s="1"/>
  <c r="B561" i="6"/>
  <c r="C561" i="6" s="1"/>
  <c r="B529" i="6"/>
  <c r="B497" i="6"/>
  <c r="B465" i="6"/>
  <c r="C465" i="6" s="1"/>
  <c r="B446" i="6"/>
  <c r="F446" i="6" s="1"/>
  <c r="B430" i="6"/>
  <c r="B414" i="6"/>
  <c r="B398" i="6"/>
  <c r="D398" i="6" s="1"/>
  <c r="B382" i="6"/>
  <c r="B960" i="6"/>
  <c r="B698" i="6"/>
  <c r="B660" i="6"/>
  <c r="C660" i="6" s="1"/>
  <c r="B628" i="6"/>
  <c r="F628" i="6" s="1"/>
  <c r="B596" i="6"/>
  <c r="B564" i="6"/>
  <c r="B532" i="6"/>
  <c r="D532" i="6" s="1"/>
  <c r="B500" i="6"/>
  <c r="B468" i="6"/>
  <c r="B252" i="6"/>
  <c r="B617" i="6"/>
  <c r="C617" i="6" s="1"/>
  <c r="B489" i="6"/>
  <c r="D489" i="6" s="1"/>
  <c r="B412" i="6"/>
  <c r="G412" i="6" s="1"/>
  <c r="B366" i="6"/>
  <c r="B334" i="6"/>
  <c r="D334" i="6" s="1"/>
  <c r="B302" i="6"/>
  <c r="D302" i="6" s="1"/>
  <c r="B262" i="6"/>
  <c r="B222" i="6"/>
  <c r="B190" i="6"/>
  <c r="E190" i="6" s="1"/>
  <c r="B158" i="6"/>
  <c r="C158" i="6" s="1"/>
  <c r="B126" i="6"/>
  <c r="B94" i="6"/>
  <c r="B601" i="6"/>
  <c r="E601" i="6" s="1"/>
  <c r="B473" i="6"/>
  <c r="F473" i="6" s="1"/>
  <c r="B416" i="6"/>
  <c r="B368" i="6"/>
  <c r="B336" i="6"/>
  <c r="C336" i="6" s="1"/>
  <c r="B304" i="6"/>
  <c r="C304" i="6" s="1"/>
  <c r="B258" i="6"/>
  <c r="B212" i="6"/>
  <c r="B180" i="6"/>
  <c r="B148" i="6"/>
  <c r="E148" i="6" s="1"/>
  <c r="B116" i="6"/>
  <c r="B84" i="6"/>
  <c r="B63" i="6"/>
  <c r="B55" i="6"/>
  <c r="D55" i="6" s="1"/>
  <c r="B47" i="6"/>
  <c r="B39" i="6"/>
  <c r="B31" i="6"/>
  <c r="B23" i="6"/>
  <c r="E23" i="6" s="1"/>
  <c r="B15" i="6"/>
  <c r="B7" i="6"/>
  <c r="B667" i="6"/>
  <c r="D667" i="6" s="1"/>
  <c r="B456" i="6"/>
  <c r="C456" i="6" s="1"/>
  <c r="B316" i="6"/>
  <c r="B232" i="6"/>
  <c r="B168" i="6"/>
  <c r="B104" i="6"/>
  <c r="C104" i="6" s="1"/>
  <c r="B60" i="6"/>
  <c r="B40" i="6"/>
  <c r="B26" i="6"/>
  <c r="D26" i="6" s="1"/>
  <c r="B10" i="6"/>
  <c r="D10" i="6" s="1"/>
  <c r="B744" i="6"/>
  <c r="C744" i="6" s="1"/>
  <c r="B4" i="6"/>
  <c r="B22" i="6"/>
  <c r="B36" i="6"/>
  <c r="E36" i="6" s="1"/>
  <c r="B52" i="6"/>
  <c r="B72" i="6"/>
  <c r="B120" i="6"/>
  <c r="B200" i="6"/>
  <c r="D200" i="6" s="1"/>
  <c r="B250" i="6"/>
  <c r="B324" i="6"/>
  <c r="B364" i="6"/>
  <c r="B498" i="6"/>
  <c r="G498" i="6" s="1"/>
  <c r="B737" i="6"/>
  <c r="B90" i="6"/>
  <c r="B122" i="6"/>
  <c r="B154" i="6"/>
  <c r="B186" i="6"/>
  <c r="B218" i="6"/>
  <c r="B254" i="6"/>
  <c r="B290" i="6"/>
  <c r="D290" i="6" s="1"/>
  <c r="B322" i="6"/>
  <c r="E322" i="6" s="1"/>
  <c r="B354" i="6"/>
  <c r="B388" i="6"/>
  <c r="B452" i="6"/>
  <c r="B585" i="6"/>
  <c r="B6" i="6"/>
  <c r="B38" i="6"/>
  <c r="E38" i="6" s="1"/>
  <c r="B88" i="6"/>
  <c r="B440" i="6"/>
  <c r="B21" i="6"/>
  <c r="B53" i="6"/>
  <c r="B140" i="6"/>
  <c r="C140" i="6" s="1"/>
  <c r="B296" i="6"/>
  <c r="B466" i="6"/>
  <c r="B150" i="6"/>
  <c r="E150" i="6" s="1"/>
  <c r="B294" i="6"/>
  <c r="B482" i="6"/>
  <c r="B491" i="6"/>
  <c r="B619" i="6"/>
  <c r="B1180" i="6"/>
  <c r="G1180" i="6" s="1"/>
  <c r="B442" i="6"/>
  <c r="B554" i="6"/>
  <c r="B696" i="6"/>
  <c r="C696" i="6" s="1"/>
  <c r="B492" i="6"/>
  <c r="D492" i="6" s="1"/>
  <c r="B620" i="6"/>
  <c r="B730" i="6"/>
  <c r="B860" i="6"/>
  <c r="B1100" i="6"/>
  <c r="B85" i="6"/>
  <c r="B117" i="6"/>
  <c r="B149" i="6"/>
  <c r="E149" i="6" s="1"/>
  <c r="B181" i="6"/>
  <c r="B213" i="6"/>
  <c r="B245" i="6"/>
  <c r="B277" i="6"/>
  <c r="C277" i="6" s="1"/>
  <c r="B309" i="6"/>
  <c r="F309" i="6" s="1"/>
  <c r="B341" i="6"/>
  <c r="B373" i="6"/>
  <c r="B405" i="6"/>
  <c r="E405" i="6" s="1"/>
  <c r="B437" i="6"/>
  <c r="B478" i="6"/>
  <c r="B542" i="6"/>
  <c r="B606" i="6"/>
  <c r="B800" i="6"/>
  <c r="B675" i="6"/>
  <c r="E675" i="6" s="1"/>
  <c r="B741" i="6"/>
  <c r="B735" i="6"/>
  <c r="B1342" i="6"/>
  <c r="C1342" i="6" s="1"/>
  <c r="B1206" i="6"/>
  <c r="B1484" i="6"/>
  <c r="B1500" i="6"/>
  <c r="D1500" i="6" s="1"/>
  <c r="B1492" i="6"/>
  <c r="C1492" i="6" s="1"/>
  <c r="E30" i="6"/>
  <c r="D30" i="6"/>
  <c r="C30" i="6"/>
  <c r="D138" i="6"/>
  <c r="E138" i="6"/>
  <c r="C138" i="6"/>
  <c r="E420" i="6"/>
  <c r="D420" i="6"/>
  <c r="G420" i="6"/>
  <c r="F420" i="6"/>
  <c r="C420" i="6"/>
  <c r="E56" i="6"/>
  <c r="D56" i="6"/>
  <c r="C56" i="6"/>
  <c r="D208" i="6"/>
  <c r="E208" i="6"/>
  <c r="C208" i="6"/>
  <c r="G633" i="6"/>
  <c r="C633" i="6"/>
  <c r="F633" i="6"/>
  <c r="E633" i="6"/>
  <c r="D633" i="6"/>
  <c r="D76" i="6"/>
  <c r="C76" i="6"/>
  <c r="E76" i="6"/>
  <c r="D204" i="6"/>
  <c r="C204" i="6"/>
  <c r="E204" i="6"/>
  <c r="E400" i="6"/>
  <c r="D400" i="6"/>
  <c r="G400" i="6"/>
  <c r="F400" i="6"/>
  <c r="C400" i="6"/>
  <c r="D182" i="6"/>
  <c r="E182" i="6"/>
  <c r="C182" i="6"/>
  <c r="E396" i="6"/>
  <c r="D396" i="6"/>
  <c r="G396" i="6"/>
  <c r="F396" i="6"/>
  <c r="C396" i="6"/>
  <c r="C523" i="6"/>
  <c r="E691" i="6"/>
  <c r="D691" i="6"/>
  <c r="C691" i="6"/>
  <c r="G691" i="6"/>
  <c r="F691" i="6"/>
  <c r="E522" i="6"/>
  <c r="F522" i="6"/>
  <c r="D522" i="6"/>
  <c r="C522" i="6"/>
  <c r="G522" i="6"/>
  <c r="E586" i="6"/>
  <c r="F586" i="6"/>
  <c r="D586" i="6"/>
  <c r="C586" i="6"/>
  <c r="G586" i="6"/>
  <c r="G696" i="6"/>
  <c r="F696" i="6"/>
  <c r="E696" i="6"/>
  <c r="D696" i="6"/>
  <c r="D248" i="6"/>
  <c r="G248" i="6"/>
  <c r="E248" i="6"/>
  <c r="C248" i="6"/>
  <c r="F248" i="6"/>
  <c r="E556" i="6"/>
  <c r="D556" i="6"/>
  <c r="C556" i="6"/>
  <c r="G556" i="6"/>
  <c r="F556" i="6"/>
  <c r="C69" i="6"/>
  <c r="D69" i="6"/>
  <c r="E69" i="6"/>
  <c r="C77" i="6"/>
  <c r="E77" i="6"/>
  <c r="D77" i="6"/>
  <c r="C93" i="6"/>
  <c r="D93" i="6"/>
  <c r="E93" i="6"/>
  <c r="C149" i="6"/>
  <c r="D149" i="6"/>
  <c r="C165" i="6"/>
  <c r="E165" i="6"/>
  <c r="D165" i="6"/>
  <c r="C197" i="6"/>
  <c r="D197" i="6"/>
  <c r="E197" i="6"/>
  <c r="G277" i="6"/>
  <c r="F277" i="6"/>
  <c r="E277" i="6"/>
  <c r="D277" i="6"/>
  <c r="G325" i="6"/>
  <c r="C325" i="6"/>
  <c r="F325" i="6"/>
  <c r="E325" i="6"/>
  <c r="D325" i="6"/>
  <c r="G421" i="6"/>
  <c r="C421" i="6"/>
  <c r="F421" i="6"/>
  <c r="E421" i="6"/>
  <c r="D421" i="6"/>
  <c r="G445" i="6"/>
  <c r="C445" i="6"/>
  <c r="F445" i="6"/>
  <c r="E445" i="6"/>
  <c r="D445" i="6"/>
  <c r="D590" i="6"/>
  <c r="E657" i="6"/>
  <c r="F657" i="6"/>
  <c r="C657" i="6"/>
  <c r="G657" i="6"/>
  <c r="D657" i="6"/>
  <c r="C752" i="6"/>
  <c r="G969" i="6"/>
  <c r="E495" i="6"/>
  <c r="G639" i="6"/>
  <c r="C639" i="6"/>
  <c r="F639" i="6"/>
  <c r="E639" i="6"/>
  <c r="D639" i="6"/>
  <c r="E747" i="6"/>
  <c r="D747" i="6"/>
  <c r="C747" i="6"/>
  <c r="G747" i="6"/>
  <c r="F747" i="6"/>
  <c r="D872" i="6"/>
  <c r="G872" i="6"/>
  <c r="C872" i="6"/>
  <c r="F872" i="6"/>
  <c r="E872" i="6"/>
  <c r="E1134" i="6"/>
  <c r="D1134" i="6"/>
  <c r="C1134" i="6"/>
  <c r="G1134" i="6"/>
  <c r="F1134" i="6"/>
  <c r="E920" i="6"/>
  <c r="E711" i="6"/>
  <c r="G711" i="6"/>
  <c r="F711" i="6"/>
  <c r="D711" i="6"/>
  <c r="C711" i="6"/>
  <c r="E775" i="6"/>
  <c r="G775" i="6"/>
  <c r="F775" i="6"/>
  <c r="D775" i="6"/>
  <c r="C775" i="6"/>
  <c r="E1118" i="6"/>
  <c r="D1118" i="6"/>
  <c r="C1118" i="6"/>
  <c r="G1118" i="6"/>
  <c r="F1118" i="6"/>
  <c r="D1416" i="6"/>
  <c r="G1416" i="6"/>
  <c r="C1416" i="6"/>
  <c r="F1416" i="6"/>
  <c r="E1416" i="6"/>
  <c r="E957" i="6"/>
  <c r="C957" i="6"/>
  <c r="G957" i="6"/>
  <c r="F957" i="6"/>
  <c r="D957" i="6"/>
  <c r="E1021" i="6"/>
  <c r="C1021" i="6"/>
  <c r="G1021" i="6"/>
  <c r="F1021" i="6"/>
  <c r="D1021" i="6"/>
  <c r="E1316" i="6"/>
  <c r="D1316" i="6"/>
  <c r="G1316" i="6"/>
  <c r="F1316" i="6"/>
  <c r="C1316" i="6"/>
  <c r="F843" i="6"/>
  <c r="E843" i="6"/>
  <c r="D843" i="6"/>
  <c r="C843" i="6"/>
  <c r="G843" i="6"/>
  <c r="F875" i="6"/>
  <c r="E875" i="6"/>
  <c r="D875" i="6"/>
  <c r="C875" i="6"/>
  <c r="G875" i="6"/>
  <c r="D1066" i="6"/>
  <c r="G1066" i="6"/>
  <c r="C1066" i="6"/>
  <c r="F1066" i="6"/>
  <c r="E1066" i="6"/>
  <c r="D1275" i="6"/>
  <c r="G1275" i="6"/>
  <c r="C1275" i="6"/>
  <c r="F1275" i="6"/>
  <c r="E1275" i="6"/>
  <c r="G1151" i="6"/>
  <c r="C1151" i="6"/>
  <c r="D1151" i="6"/>
  <c r="F1151" i="6"/>
  <c r="E1151" i="6"/>
  <c r="F1025" i="6"/>
  <c r="E1025" i="6"/>
  <c r="G1025" i="6"/>
  <c r="D1025" i="6"/>
  <c r="C1025" i="6"/>
  <c r="G1145" i="6"/>
  <c r="C1145" i="6"/>
  <c r="F1145" i="6"/>
  <c r="E1145" i="6"/>
  <c r="D1145" i="6"/>
  <c r="G1193" i="6"/>
  <c r="C1193" i="6"/>
  <c r="F1193" i="6"/>
  <c r="E1193" i="6"/>
  <c r="D1193" i="6"/>
  <c r="E1310" i="6"/>
  <c r="D1310" i="6"/>
  <c r="C1310" i="6"/>
  <c r="G1310" i="6"/>
  <c r="F1310" i="6"/>
  <c r="F1236" i="6"/>
  <c r="E1236" i="6"/>
  <c r="G1236" i="6"/>
  <c r="D1236" i="6"/>
  <c r="C1236" i="6"/>
  <c r="F1260" i="6"/>
  <c r="E1260" i="6"/>
  <c r="G1260" i="6"/>
  <c r="D1260" i="6"/>
  <c r="C1260" i="6"/>
  <c r="D1388" i="6"/>
  <c r="G1388" i="6"/>
  <c r="C1388" i="6"/>
  <c r="F1388" i="6"/>
  <c r="E1388" i="6"/>
  <c r="G1311" i="6"/>
  <c r="C1311" i="6"/>
  <c r="F1311" i="6"/>
  <c r="E1311" i="6"/>
  <c r="D1311" i="6"/>
  <c r="D1414" i="6"/>
  <c r="G1414" i="6"/>
  <c r="C1414" i="6"/>
  <c r="F1414" i="6"/>
  <c r="E1414" i="6"/>
  <c r="F1419" i="6"/>
  <c r="G1419" i="6"/>
  <c r="E1419" i="6"/>
  <c r="D1419" i="6"/>
  <c r="C1419" i="6"/>
  <c r="F1421" i="6"/>
  <c r="D1421" i="6"/>
  <c r="G1421" i="6"/>
  <c r="E1421" i="6"/>
  <c r="C1421" i="6"/>
  <c r="G1448" i="6"/>
  <c r="G1468" i="6"/>
  <c r="C1468" i="6"/>
  <c r="F1468" i="6"/>
  <c r="E1468" i="6"/>
  <c r="D1468" i="6"/>
  <c r="E1481" i="6"/>
  <c r="D1481" i="6"/>
  <c r="F1481" i="6"/>
  <c r="C1481" i="6"/>
  <c r="G1481" i="6"/>
  <c r="B7" i="3"/>
  <c r="C7" i="3"/>
  <c r="E1292" i="6"/>
  <c r="D1292" i="6"/>
  <c r="G1292" i="6"/>
  <c r="F1292" i="6"/>
  <c r="C1292" i="6"/>
  <c r="E48" i="6"/>
  <c r="D48" i="6"/>
  <c r="C48" i="6"/>
  <c r="D82" i="6"/>
  <c r="E82" i="6"/>
  <c r="C82" i="6"/>
  <c r="D178" i="6"/>
  <c r="E178" i="6"/>
  <c r="C178" i="6"/>
  <c r="E346" i="6"/>
  <c r="D346" i="6"/>
  <c r="C346" i="6"/>
  <c r="G346" i="6"/>
  <c r="F346" i="6"/>
  <c r="E578" i="6"/>
  <c r="F578" i="6"/>
  <c r="D578" i="6"/>
  <c r="G578" i="6"/>
  <c r="C578" i="6"/>
  <c r="E26" i="6"/>
  <c r="C26" i="6"/>
  <c r="D168" i="6"/>
  <c r="E168" i="6"/>
  <c r="C168" i="6"/>
  <c r="E667" i="6"/>
  <c r="G667" i="6"/>
  <c r="F667" i="6"/>
  <c r="C667" i="6"/>
  <c r="C31" i="6"/>
  <c r="D31" i="6"/>
  <c r="E31" i="6"/>
  <c r="C63" i="6"/>
  <c r="D63" i="6"/>
  <c r="E63" i="6"/>
  <c r="D180" i="6"/>
  <c r="C180" i="6"/>
  <c r="E180" i="6"/>
  <c r="E336" i="6"/>
  <c r="D336" i="6"/>
  <c r="G336" i="6"/>
  <c r="F336" i="6"/>
  <c r="G601" i="6"/>
  <c r="C601" i="6"/>
  <c r="F601" i="6"/>
  <c r="D601" i="6"/>
  <c r="D190" i="6"/>
  <c r="C190" i="6"/>
  <c r="E334" i="6"/>
  <c r="C334" i="6"/>
  <c r="G334" i="6"/>
  <c r="F334" i="6"/>
  <c r="G617" i="6"/>
  <c r="F617" i="6"/>
  <c r="E617" i="6"/>
  <c r="D617" i="6"/>
  <c r="E532" i="6"/>
  <c r="C532" i="6"/>
  <c r="G532" i="6"/>
  <c r="F532" i="6"/>
  <c r="G660" i="6"/>
  <c r="D660" i="6"/>
  <c r="F660" i="6"/>
  <c r="E660" i="6"/>
  <c r="E398" i="6"/>
  <c r="C398" i="6"/>
  <c r="G398" i="6"/>
  <c r="F398" i="6"/>
  <c r="G465" i="6"/>
  <c r="F465" i="6"/>
  <c r="E465" i="6"/>
  <c r="D465" i="6"/>
  <c r="G593" i="6"/>
  <c r="F593" i="6"/>
  <c r="E593" i="6"/>
  <c r="D593" i="6"/>
  <c r="E921" i="6"/>
  <c r="D921" i="6"/>
  <c r="G921" i="6"/>
  <c r="C921" i="6"/>
  <c r="G531" i="6"/>
  <c r="E531" i="6"/>
  <c r="D531" i="6"/>
  <c r="F531" i="6"/>
  <c r="G666" i="6"/>
  <c r="E666" i="6"/>
  <c r="F666" i="6"/>
  <c r="D666" i="6"/>
  <c r="E771" i="6"/>
  <c r="C771" i="6"/>
  <c r="G771" i="6"/>
  <c r="F771" i="6"/>
  <c r="G914" i="6"/>
  <c r="E914" i="6"/>
  <c r="D914" i="6"/>
  <c r="F914" i="6"/>
  <c r="D1279" i="6"/>
  <c r="C1279" i="6"/>
  <c r="F1279" i="6"/>
  <c r="E1279" i="6"/>
  <c r="E95" i="6"/>
  <c r="C95" i="6"/>
  <c r="D95" i="6"/>
  <c r="E127" i="6"/>
  <c r="D127" i="6"/>
  <c r="C127" i="6"/>
  <c r="E159" i="6"/>
  <c r="D159" i="6"/>
  <c r="C159" i="6"/>
  <c r="E191" i="6"/>
  <c r="D191" i="6"/>
  <c r="C191" i="6"/>
  <c r="E223" i="6"/>
  <c r="C223" i="6"/>
  <c r="D223" i="6"/>
  <c r="F255" i="6"/>
  <c r="C255" i="6"/>
  <c r="E255" i="6"/>
  <c r="D255" i="6"/>
  <c r="G255" i="6"/>
  <c r="G287" i="6"/>
  <c r="C287" i="6"/>
  <c r="F287" i="6"/>
  <c r="E287" i="6"/>
  <c r="D287" i="6"/>
  <c r="G319" i="6"/>
  <c r="C319" i="6"/>
  <c r="F319" i="6"/>
  <c r="E319" i="6"/>
  <c r="D319" i="6"/>
  <c r="G351" i="6"/>
  <c r="C351" i="6"/>
  <c r="F351" i="6"/>
  <c r="E351" i="6"/>
  <c r="D351" i="6"/>
  <c r="G383" i="6"/>
  <c r="C383" i="6"/>
  <c r="F383" i="6"/>
  <c r="E383" i="6"/>
  <c r="D383" i="6"/>
  <c r="G415" i="6"/>
  <c r="C415" i="6"/>
  <c r="F415" i="6"/>
  <c r="E415" i="6"/>
  <c r="D415" i="6"/>
  <c r="G447" i="6"/>
  <c r="C447" i="6"/>
  <c r="F447" i="6"/>
  <c r="E447" i="6"/>
  <c r="D447" i="6"/>
  <c r="G501" i="6"/>
  <c r="C501" i="6"/>
  <c r="D501" i="6"/>
  <c r="F501" i="6"/>
  <c r="E501" i="6"/>
  <c r="G565" i="6"/>
  <c r="C565" i="6"/>
  <c r="D565" i="6"/>
  <c r="F565" i="6"/>
  <c r="E565" i="6"/>
  <c r="E645" i="6"/>
  <c r="G658" i="6"/>
  <c r="C658" i="6"/>
  <c r="E658" i="6"/>
  <c r="D658" i="6"/>
  <c r="F658" i="6"/>
  <c r="E793" i="6"/>
  <c r="F793" i="6"/>
  <c r="D793" i="6"/>
  <c r="C793" i="6"/>
  <c r="G793" i="6"/>
  <c r="G1155" i="6"/>
  <c r="C1155" i="6"/>
  <c r="E1155" i="6"/>
  <c r="D1155" i="6"/>
  <c r="E464" i="6"/>
  <c r="G464" i="6"/>
  <c r="F464" i="6"/>
  <c r="D464" i="6"/>
  <c r="C464" i="6"/>
  <c r="G512" i="6"/>
  <c r="F512" i="6"/>
  <c r="D512" i="6"/>
  <c r="E528" i="6"/>
  <c r="G528" i="6"/>
  <c r="F528" i="6"/>
  <c r="D528" i="6"/>
  <c r="C528" i="6"/>
  <c r="E576" i="6"/>
  <c r="G576" i="6"/>
  <c r="D576" i="6"/>
  <c r="C576" i="6"/>
  <c r="E592" i="6"/>
  <c r="G592" i="6"/>
  <c r="F592" i="6"/>
  <c r="D592" i="6"/>
  <c r="C592" i="6"/>
  <c r="G640" i="6"/>
  <c r="F640" i="6"/>
  <c r="D640" i="6"/>
  <c r="E669" i="6"/>
  <c r="C669" i="6"/>
  <c r="G669" i="6"/>
  <c r="F669" i="6"/>
  <c r="D669" i="6"/>
  <c r="G754" i="6"/>
  <c r="C754" i="6"/>
  <c r="D754" i="6"/>
  <c r="F754" i="6"/>
  <c r="G786" i="6"/>
  <c r="C786" i="6"/>
  <c r="E786" i="6"/>
  <c r="D786" i="6"/>
  <c r="F786" i="6"/>
  <c r="D891" i="6"/>
  <c r="C891" i="6"/>
  <c r="G891" i="6"/>
  <c r="E955" i="6"/>
  <c r="D955" i="6"/>
  <c r="C955" i="6"/>
  <c r="G955" i="6"/>
  <c r="F955" i="6"/>
  <c r="G1141" i="6"/>
  <c r="C1141" i="6"/>
  <c r="D1141" i="6"/>
  <c r="F1141" i="6"/>
  <c r="D1384" i="6"/>
  <c r="G1384" i="6"/>
  <c r="C1384" i="6"/>
  <c r="F1384" i="6"/>
  <c r="E1384" i="6"/>
  <c r="C724" i="6"/>
  <c r="D724" i="6"/>
  <c r="F724" i="6"/>
  <c r="G740" i="6"/>
  <c r="C740" i="6"/>
  <c r="D740" i="6"/>
  <c r="F740" i="6"/>
  <c r="E740" i="6"/>
  <c r="G788" i="6"/>
  <c r="C788" i="6"/>
  <c r="F788" i="6"/>
  <c r="E788" i="6"/>
  <c r="G804" i="6"/>
  <c r="C804" i="6"/>
  <c r="D804" i="6"/>
  <c r="F804" i="6"/>
  <c r="E804" i="6"/>
  <c r="F961" i="6"/>
  <c r="D961" i="6"/>
  <c r="C961" i="6"/>
  <c r="E993" i="6"/>
  <c r="F993" i="6"/>
  <c r="D993" i="6"/>
  <c r="C993" i="6"/>
  <c r="G993" i="6"/>
  <c r="G654" i="6"/>
  <c r="C654" i="6"/>
  <c r="E654" i="6"/>
  <c r="D654" i="6"/>
  <c r="G670" i="6"/>
  <c r="C670" i="6"/>
  <c r="D670" i="6"/>
  <c r="F670" i="6"/>
  <c r="E670" i="6"/>
  <c r="C718" i="6"/>
  <c r="F718" i="6"/>
  <c r="E718" i="6"/>
  <c r="G734" i="6"/>
  <c r="C734" i="6"/>
  <c r="F734" i="6"/>
  <c r="E734" i="6"/>
  <c r="D734" i="6"/>
  <c r="G782" i="6"/>
  <c r="C782" i="6"/>
  <c r="E782" i="6"/>
  <c r="D782" i="6"/>
  <c r="G798" i="6"/>
  <c r="C798" i="6"/>
  <c r="F798" i="6"/>
  <c r="E798" i="6"/>
  <c r="D798" i="6"/>
  <c r="G846" i="6"/>
  <c r="C846" i="6"/>
  <c r="F846" i="6"/>
  <c r="D862" i="6"/>
  <c r="G862" i="6"/>
  <c r="C862" i="6"/>
  <c r="F862" i="6"/>
  <c r="E862" i="6"/>
  <c r="F878" i="6"/>
  <c r="G938" i="6"/>
  <c r="E938" i="6"/>
  <c r="D938" i="6"/>
  <c r="F938" i="6"/>
  <c r="G970" i="6"/>
  <c r="C970" i="6"/>
  <c r="E970" i="6"/>
  <c r="D970" i="6"/>
  <c r="F970" i="6"/>
  <c r="G1064" i="6"/>
  <c r="E1096" i="6"/>
  <c r="G1125" i="6"/>
  <c r="C1125" i="6"/>
  <c r="E1125" i="6"/>
  <c r="D1125" i="6"/>
  <c r="F1125" i="6"/>
  <c r="G1189" i="6"/>
  <c r="C1189" i="6"/>
  <c r="E1189" i="6"/>
  <c r="D1189" i="6"/>
  <c r="F1189" i="6"/>
  <c r="D1255" i="6"/>
  <c r="G1255" i="6"/>
  <c r="C1255" i="6"/>
  <c r="F1255" i="6"/>
  <c r="E1255" i="6"/>
  <c r="G916" i="6"/>
  <c r="C916" i="6"/>
  <c r="D916" i="6"/>
  <c r="F916" i="6"/>
  <c r="E916" i="6"/>
  <c r="G932" i="6"/>
  <c r="C932" i="6"/>
  <c r="D932" i="6"/>
  <c r="F932" i="6"/>
  <c r="E932" i="6"/>
  <c r="G980" i="6"/>
  <c r="C980" i="6"/>
  <c r="D980" i="6"/>
  <c r="F980" i="6"/>
  <c r="E980" i="6"/>
  <c r="G996" i="6"/>
  <c r="C996" i="6"/>
  <c r="D996" i="6"/>
  <c r="F996" i="6"/>
  <c r="E996" i="6"/>
  <c r="E1156" i="6"/>
  <c r="F1156" i="6"/>
  <c r="D1156" i="6"/>
  <c r="C1156" i="6"/>
  <c r="G1156" i="6"/>
  <c r="E1188" i="6"/>
  <c r="F1188" i="6"/>
  <c r="D1188" i="6"/>
  <c r="C1188" i="6"/>
  <c r="G1188" i="6"/>
  <c r="F821" i="6"/>
  <c r="E821" i="6"/>
  <c r="G821" i="6"/>
  <c r="D821" i="6"/>
  <c r="C821" i="6"/>
  <c r="F829" i="6"/>
  <c r="E829" i="6"/>
  <c r="G829" i="6"/>
  <c r="D829" i="6"/>
  <c r="C829" i="6"/>
  <c r="F853" i="6"/>
  <c r="E853" i="6"/>
  <c r="G853" i="6"/>
  <c r="D853" i="6"/>
  <c r="C853" i="6"/>
  <c r="F861" i="6"/>
  <c r="E861" i="6"/>
  <c r="G861" i="6"/>
  <c r="D861" i="6"/>
  <c r="C861" i="6"/>
  <c r="G894" i="6"/>
  <c r="C894" i="6"/>
  <c r="F894" i="6"/>
  <c r="E894" i="6"/>
  <c r="D894" i="6"/>
  <c r="G910" i="6"/>
  <c r="C910" i="6"/>
  <c r="F910" i="6"/>
  <c r="E910" i="6"/>
  <c r="D910" i="6"/>
  <c r="G958" i="6"/>
  <c r="C958" i="6"/>
  <c r="F958" i="6"/>
  <c r="E958" i="6"/>
  <c r="D958" i="6"/>
  <c r="G974" i="6"/>
  <c r="C974" i="6"/>
  <c r="F974" i="6"/>
  <c r="E974" i="6"/>
  <c r="D974" i="6"/>
  <c r="D1022" i="6"/>
  <c r="G1022" i="6"/>
  <c r="C1022" i="6"/>
  <c r="F1022" i="6"/>
  <c r="E1022" i="6"/>
  <c r="D1038" i="6"/>
  <c r="G1038" i="6"/>
  <c r="C1038" i="6"/>
  <c r="F1038" i="6"/>
  <c r="E1038" i="6"/>
  <c r="D1086" i="6"/>
  <c r="G1086" i="6"/>
  <c r="C1086" i="6"/>
  <c r="F1086" i="6"/>
  <c r="E1086" i="6"/>
  <c r="D1102" i="6"/>
  <c r="G1102" i="6"/>
  <c r="C1102" i="6"/>
  <c r="F1102" i="6"/>
  <c r="E1102" i="6"/>
  <c r="G1181" i="6"/>
  <c r="C1181" i="6"/>
  <c r="E1181" i="6"/>
  <c r="D1181" i="6"/>
  <c r="F1181" i="6"/>
  <c r="D1219" i="6"/>
  <c r="G1219" i="6"/>
  <c r="C1219" i="6"/>
  <c r="F1219" i="6"/>
  <c r="E1219" i="6"/>
  <c r="E1120" i="6"/>
  <c r="C1120" i="6"/>
  <c r="G1120" i="6"/>
  <c r="F1120" i="6"/>
  <c r="D1120" i="6"/>
  <c r="E1136" i="6"/>
  <c r="C1136" i="6"/>
  <c r="G1136" i="6"/>
  <c r="F1136" i="6"/>
  <c r="D1136" i="6"/>
  <c r="E1184" i="6"/>
  <c r="C1184" i="6"/>
  <c r="G1184" i="6"/>
  <c r="F1184" i="6"/>
  <c r="D1184" i="6"/>
  <c r="E1304" i="6"/>
  <c r="D1304" i="6"/>
  <c r="G1304" i="6"/>
  <c r="F1304" i="6"/>
  <c r="C1304" i="6"/>
  <c r="F1059" i="6"/>
  <c r="E1059" i="6"/>
  <c r="D1059" i="6"/>
  <c r="C1059" i="6"/>
  <c r="G1059" i="6"/>
  <c r="F1075" i="6"/>
  <c r="E1075" i="6"/>
  <c r="D1075" i="6"/>
  <c r="C1075" i="6"/>
  <c r="G1075" i="6"/>
  <c r="G1099" i="6"/>
  <c r="E1130" i="6"/>
  <c r="G1130" i="6"/>
  <c r="F1130" i="6"/>
  <c r="D1130" i="6"/>
  <c r="C1130" i="6"/>
  <c r="E1146" i="6"/>
  <c r="E1162" i="6"/>
  <c r="G1162" i="6"/>
  <c r="F1162" i="6"/>
  <c r="D1162" i="6"/>
  <c r="C1162" i="6"/>
  <c r="C1178" i="6"/>
  <c r="D1209" i="6"/>
  <c r="G1209" i="6"/>
  <c r="C1209" i="6"/>
  <c r="F1209" i="6"/>
  <c r="E1209" i="6"/>
  <c r="C1225" i="6"/>
  <c r="D1241" i="6"/>
  <c r="G1241" i="6"/>
  <c r="C1241" i="6"/>
  <c r="F1241" i="6"/>
  <c r="E1241" i="6"/>
  <c r="D1257" i="6"/>
  <c r="G1257" i="6"/>
  <c r="C1257" i="6"/>
  <c r="F1257" i="6"/>
  <c r="E1257" i="6"/>
  <c r="E1351" i="6"/>
  <c r="D1351" i="6"/>
  <c r="C1351" i="6"/>
  <c r="G1351" i="6"/>
  <c r="F1351" i="6"/>
  <c r="D1408" i="6"/>
  <c r="G1408" i="6"/>
  <c r="C1408" i="6"/>
  <c r="F1408" i="6"/>
  <c r="E1408" i="6"/>
  <c r="E1357" i="6"/>
  <c r="F1357" i="6"/>
  <c r="D1357" i="6"/>
  <c r="C1357" i="6"/>
  <c r="G1357" i="6"/>
  <c r="F1198" i="6"/>
  <c r="E1198" i="6"/>
  <c r="D1198" i="6"/>
  <c r="C1198" i="6"/>
  <c r="G1198" i="6"/>
  <c r="F1214" i="6"/>
  <c r="E1214" i="6"/>
  <c r="D1214" i="6"/>
  <c r="C1214" i="6"/>
  <c r="G1214" i="6"/>
  <c r="F1262" i="6"/>
  <c r="E1262" i="6"/>
  <c r="D1262" i="6"/>
  <c r="C1262" i="6"/>
  <c r="G1262" i="6"/>
  <c r="F1278" i="6"/>
  <c r="E1278" i="6"/>
  <c r="D1278" i="6"/>
  <c r="C1278" i="6"/>
  <c r="G1278" i="6"/>
  <c r="E1359" i="6"/>
  <c r="D1359" i="6"/>
  <c r="C1359" i="6"/>
  <c r="G1359" i="6"/>
  <c r="F1359" i="6"/>
  <c r="G1289" i="6"/>
  <c r="C1289" i="6"/>
  <c r="F1289" i="6"/>
  <c r="E1289" i="6"/>
  <c r="D1289" i="6"/>
  <c r="D1297" i="6"/>
  <c r="G1305" i="6"/>
  <c r="C1305" i="6"/>
  <c r="F1305" i="6"/>
  <c r="E1305" i="6"/>
  <c r="D1305" i="6"/>
  <c r="G1321" i="6"/>
  <c r="C1321" i="6"/>
  <c r="F1321" i="6"/>
  <c r="E1321" i="6"/>
  <c r="D1321" i="6"/>
  <c r="E1353" i="6"/>
  <c r="C1353" i="6"/>
  <c r="G1353" i="6"/>
  <c r="F1353" i="6"/>
  <c r="D1353" i="6"/>
  <c r="E1339" i="6"/>
  <c r="G1339" i="6"/>
  <c r="F1339" i="6"/>
  <c r="D1339" i="6"/>
  <c r="C1339" i="6"/>
  <c r="C1355" i="6"/>
  <c r="D1370" i="6"/>
  <c r="G1370" i="6"/>
  <c r="C1370" i="6"/>
  <c r="F1370" i="6"/>
  <c r="E1370" i="6"/>
  <c r="E1402" i="6"/>
  <c r="D1418" i="6"/>
  <c r="G1418" i="6"/>
  <c r="C1418" i="6"/>
  <c r="F1418" i="6"/>
  <c r="E1418" i="6"/>
  <c r="F1365" i="6"/>
  <c r="E1365" i="6"/>
  <c r="G1365" i="6"/>
  <c r="D1365" i="6"/>
  <c r="C1365" i="6"/>
  <c r="F1373" i="6"/>
  <c r="E1373" i="6"/>
  <c r="G1373" i="6"/>
  <c r="D1373" i="6"/>
  <c r="C1373" i="6"/>
  <c r="F1381" i="6"/>
  <c r="E1381" i="6"/>
  <c r="G1381" i="6"/>
  <c r="D1381" i="6"/>
  <c r="C1381" i="6"/>
  <c r="F1397" i="6"/>
  <c r="E1397" i="6"/>
  <c r="G1397" i="6"/>
  <c r="D1397" i="6"/>
  <c r="C1397" i="6"/>
  <c r="F1405" i="6"/>
  <c r="E1405" i="6"/>
  <c r="G1405" i="6"/>
  <c r="D1405" i="6"/>
  <c r="C1405" i="6"/>
  <c r="D1434" i="6"/>
  <c r="F1434" i="6"/>
  <c r="C1434" i="6"/>
  <c r="G1434" i="6"/>
  <c r="E1434" i="6"/>
  <c r="F1423" i="6"/>
  <c r="D1423" i="6"/>
  <c r="C1423" i="6"/>
  <c r="G1423" i="6"/>
  <c r="E1423" i="6"/>
  <c r="D1456" i="6"/>
  <c r="G1456" i="6"/>
  <c r="E1456" i="6"/>
  <c r="F1456" i="6"/>
  <c r="C1456" i="6"/>
  <c r="E1479" i="6"/>
  <c r="D1479" i="6"/>
  <c r="F1479" i="6"/>
  <c r="G1479" i="6"/>
  <c r="C1479" i="6"/>
  <c r="F1447" i="6"/>
  <c r="C1447" i="6"/>
  <c r="E1447" i="6"/>
  <c r="G1447" i="6"/>
  <c r="D1447" i="6"/>
  <c r="E1467" i="6"/>
  <c r="G1467" i="6"/>
  <c r="D1467" i="6"/>
  <c r="F1467" i="6"/>
  <c r="C1467" i="6"/>
  <c r="E1501" i="6"/>
  <c r="D1501" i="6"/>
  <c r="G1501" i="6"/>
  <c r="C1501" i="6"/>
  <c r="F1501" i="6"/>
  <c r="G1478" i="6"/>
  <c r="C1478" i="6"/>
  <c r="F1478" i="6"/>
  <c r="D1478" i="6"/>
  <c r="E1478" i="6"/>
  <c r="G1486" i="6"/>
  <c r="C1486" i="6"/>
  <c r="F1486" i="6"/>
  <c r="D1486" i="6"/>
  <c r="E1486" i="6"/>
  <c r="B8" i="3"/>
  <c r="C58" i="6"/>
  <c r="D224" i="6"/>
  <c r="E224" i="6"/>
  <c r="C224" i="6"/>
  <c r="E408" i="6"/>
  <c r="D408" i="6"/>
  <c r="G408" i="6"/>
  <c r="F408" i="6"/>
  <c r="C408" i="6"/>
  <c r="D202" i="6"/>
  <c r="E306" i="6"/>
  <c r="D306" i="6"/>
  <c r="C306" i="6"/>
  <c r="G306" i="6"/>
  <c r="F306" i="6"/>
  <c r="D38" i="6"/>
  <c r="C38" i="6"/>
  <c r="D160" i="6"/>
  <c r="E160" i="6"/>
  <c r="C160" i="6"/>
  <c r="C13" i="6"/>
  <c r="E13" i="6"/>
  <c r="D13" i="6"/>
  <c r="D236" i="6"/>
  <c r="C236" i="6"/>
  <c r="E236" i="6"/>
  <c r="E594" i="6"/>
  <c r="F594" i="6"/>
  <c r="D594" i="6"/>
  <c r="G594" i="6"/>
  <c r="C594" i="6"/>
  <c r="D150" i="6"/>
  <c r="C150" i="6"/>
  <c r="E358" i="6"/>
  <c r="D358" i="6"/>
  <c r="C358" i="6"/>
  <c r="G358" i="6"/>
  <c r="F358" i="6"/>
  <c r="G459" i="6"/>
  <c r="C459" i="6"/>
  <c r="E459" i="6"/>
  <c r="D459" i="6"/>
  <c r="F459" i="6"/>
  <c r="E653" i="6"/>
  <c r="C653" i="6"/>
  <c r="F653" i="6"/>
  <c r="D653" i="6"/>
  <c r="G653" i="6"/>
  <c r="E426" i="6"/>
  <c r="D426" i="6"/>
  <c r="C426" i="6"/>
  <c r="G426" i="6"/>
  <c r="F426" i="6"/>
  <c r="C237" i="6"/>
  <c r="D237" i="6"/>
  <c r="E237" i="6"/>
  <c r="G285" i="6"/>
  <c r="C285" i="6"/>
  <c r="F285" i="6"/>
  <c r="E285" i="6"/>
  <c r="D285" i="6"/>
  <c r="G333" i="6"/>
  <c r="C333" i="6"/>
  <c r="F333" i="6"/>
  <c r="E333" i="6"/>
  <c r="D333" i="6"/>
  <c r="G381" i="6"/>
  <c r="C381" i="6"/>
  <c r="F381" i="6"/>
  <c r="E381" i="6"/>
  <c r="D381" i="6"/>
  <c r="G405" i="6"/>
  <c r="C405" i="6"/>
  <c r="F405" i="6"/>
  <c r="D405" i="6"/>
  <c r="E429" i="6"/>
  <c r="G453" i="6"/>
  <c r="C453" i="6"/>
  <c r="F453" i="6"/>
  <c r="E453" i="6"/>
  <c r="D453" i="6"/>
  <c r="E494" i="6"/>
  <c r="C494" i="6"/>
  <c r="G494" i="6"/>
  <c r="F494" i="6"/>
  <c r="D494" i="6"/>
  <c r="E1148" i="6"/>
  <c r="F1148" i="6"/>
  <c r="D1148" i="6"/>
  <c r="G1148" i="6"/>
  <c r="C1148" i="6"/>
  <c r="G575" i="6"/>
  <c r="C575" i="6"/>
  <c r="F575" i="6"/>
  <c r="E575" i="6"/>
  <c r="D575" i="6"/>
  <c r="C623" i="6"/>
  <c r="D683" i="6"/>
  <c r="E717" i="6"/>
  <c r="C717" i="6"/>
  <c r="G717" i="6"/>
  <c r="F717" i="6"/>
  <c r="D717" i="6"/>
  <c r="C765" i="6"/>
  <c r="E647" i="6"/>
  <c r="G647" i="6"/>
  <c r="F647" i="6"/>
  <c r="D647" i="6"/>
  <c r="C647" i="6"/>
  <c r="D695" i="6"/>
  <c r="D842" i="6"/>
  <c r="G842" i="6"/>
  <c r="C842" i="6"/>
  <c r="F842" i="6"/>
  <c r="E842" i="6"/>
  <c r="D899" i="6"/>
  <c r="E893" i="6"/>
  <c r="C893" i="6"/>
  <c r="G893" i="6"/>
  <c r="F893" i="6"/>
  <c r="D893" i="6"/>
  <c r="E941" i="6"/>
  <c r="C941" i="6"/>
  <c r="G941" i="6"/>
  <c r="F941" i="6"/>
  <c r="D941" i="6"/>
  <c r="G989" i="6"/>
  <c r="F811" i="6"/>
  <c r="E811" i="6"/>
  <c r="D811" i="6"/>
  <c r="C811" i="6"/>
  <c r="G811" i="6"/>
  <c r="F835" i="6"/>
  <c r="E835" i="6"/>
  <c r="D835" i="6"/>
  <c r="C835" i="6"/>
  <c r="G835" i="6"/>
  <c r="D859" i="6"/>
  <c r="E935" i="6"/>
  <c r="G935" i="6"/>
  <c r="F935" i="6"/>
  <c r="D935" i="6"/>
  <c r="C935" i="6"/>
  <c r="E983" i="6"/>
  <c r="G983" i="6"/>
  <c r="F983" i="6"/>
  <c r="D983" i="6"/>
  <c r="C983" i="6"/>
  <c r="D1114" i="6"/>
  <c r="G1114" i="6"/>
  <c r="C1114" i="6"/>
  <c r="F1114" i="6"/>
  <c r="E1114" i="6"/>
  <c r="G1167" i="6"/>
  <c r="C1167" i="6"/>
  <c r="D1167" i="6"/>
  <c r="F1167" i="6"/>
  <c r="E1167" i="6"/>
  <c r="D1328" i="6"/>
  <c r="F1065" i="6"/>
  <c r="E1065" i="6"/>
  <c r="G1065" i="6"/>
  <c r="D1065" i="6"/>
  <c r="C1065" i="6"/>
  <c r="F1089" i="6"/>
  <c r="E1089" i="6"/>
  <c r="G1089" i="6"/>
  <c r="D1089" i="6"/>
  <c r="C1089" i="6"/>
  <c r="G1113" i="6"/>
  <c r="D1205" i="6"/>
  <c r="G1205" i="6"/>
  <c r="C1205" i="6"/>
  <c r="F1205" i="6"/>
  <c r="E1205" i="6"/>
  <c r="D1253" i="6"/>
  <c r="G1253" i="6"/>
  <c r="C1253" i="6"/>
  <c r="F1253" i="6"/>
  <c r="E1253" i="6"/>
  <c r="F1268" i="6"/>
  <c r="E1268" i="6"/>
  <c r="G1268" i="6"/>
  <c r="D1268" i="6"/>
  <c r="C1268" i="6"/>
  <c r="G1350" i="6"/>
  <c r="C1350" i="6"/>
  <c r="E1350" i="6"/>
  <c r="D1350" i="6"/>
  <c r="F1350" i="6"/>
  <c r="G1352" i="6"/>
  <c r="C1352" i="6"/>
  <c r="D1352" i="6"/>
  <c r="F1352" i="6"/>
  <c r="E1352" i="6"/>
  <c r="G1354" i="6"/>
  <c r="C1354" i="6"/>
  <c r="F1354" i="6"/>
  <c r="E1354" i="6"/>
  <c r="D1354" i="6"/>
  <c r="F1387" i="6"/>
  <c r="E1387" i="6"/>
  <c r="D1387" i="6"/>
  <c r="C1387" i="6"/>
  <c r="G1387" i="6"/>
  <c r="G1500" i="6"/>
  <c r="C1500" i="6"/>
  <c r="F1500" i="6"/>
  <c r="E1500" i="6"/>
  <c r="G8" i="2"/>
  <c r="E300" i="6"/>
  <c r="D300" i="6"/>
  <c r="G300" i="6"/>
  <c r="C300" i="6"/>
  <c r="F300" i="6"/>
  <c r="G648" i="6"/>
  <c r="C648" i="6"/>
  <c r="F648" i="6"/>
  <c r="E648" i="6"/>
  <c r="D648" i="6"/>
  <c r="E146" i="6"/>
  <c r="E22" i="6"/>
  <c r="D22" i="6"/>
  <c r="C22" i="6"/>
  <c r="D120" i="6"/>
  <c r="E120" i="6"/>
  <c r="C120" i="6"/>
  <c r="D122" i="6"/>
  <c r="E122" i="6"/>
  <c r="C122" i="6"/>
  <c r="D254" i="6"/>
  <c r="C254" i="6"/>
  <c r="F254" i="6"/>
  <c r="G254" i="6"/>
  <c r="E254" i="6"/>
  <c r="E388" i="6"/>
  <c r="D388" i="6"/>
  <c r="G388" i="6"/>
  <c r="F388" i="6"/>
  <c r="C388" i="6"/>
  <c r="E801" i="6"/>
  <c r="F801" i="6"/>
  <c r="D801" i="6"/>
  <c r="G801" i="6"/>
  <c r="C801" i="6"/>
  <c r="E14" i="6"/>
  <c r="D14" i="6"/>
  <c r="C14" i="6"/>
  <c r="E44" i="6"/>
  <c r="D44" i="6"/>
  <c r="C44" i="6"/>
  <c r="D128" i="6"/>
  <c r="E128" i="6"/>
  <c r="C128" i="6"/>
  <c r="F332" i="6"/>
  <c r="G505" i="6"/>
  <c r="C505" i="6"/>
  <c r="F505" i="6"/>
  <c r="E505" i="6"/>
  <c r="D505" i="6"/>
  <c r="C17" i="6"/>
  <c r="C25" i="6"/>
  <c r="E25" i="6"/>
  <c r="D25" i="6"/>
  <c r="C57" i="6"/>
  <c r="D57" i="6"/>
  <c r="E57" i="6"/>
  <c r="D156" i="6"/>
  <c r="C156" i="6"/>
  <c r="E156" i="6"/>
  <c r="E312" i="6"/>
  <c r="D312" i="6"/>
  <c r="G312" i="6"/>
  <c r="C312" i="6"/>
  <c r="F312" i="6"/>
  <c r="E530" i="6"/>
  <c r="F530" i="6"/>
  <c r="D530" i="6"/>
  <c r="G530" i="6"/>
  <c r="C530" i="6"/>
  <c r="D166" i="6"/>
  <c r="E166" i="6"/>
  <c r="C166" i="6"/>
  <c r="E310" i="6"/>
  <c r="D310" i="6"/>
  <c r="C310" i="6"/>
  <c r="G310" i="6"/>
  <c r="F310" i="6"/>
  <c r="E546" i="6"/>
  <c r="F546" i="6"/>
  <c r="D546" i="6"/>
  <c r="G546" i="6"/>
  <c r="C546" i="6"/>
  <c r="F475" i="6"/>
  <c r="G507" i="6"/>
  <c r="C507" i="6"/>
  <c r="E507" i="6"/>
  <c r="D507" i="6"/>
  <c r="F507" i="6"/>
  <c r="C603" i="6"/>
  <c r="G635" i="6"/>
  <c r="C635" i="6"/>
  <c r="E635" i="6"/>
  <c r="D635" i="6"/>
  <c r="F635" i="6"/>
  <c r="G1017" i="6"/>
  <c r="E386" i="6"/>
  <c r="D386" i="6"/>
  <c r="C386" i="6"/>
  <c r="G386" i="6"/>
  <c r="F386" i="6"/>
  <c r="F434" i="6"/>
  <c r="E450" i="6"/>
  <c r="D450" i="6"/>
  <c r="C450" i="6"/>
  <c r="G450" i="6"/>
  <c r="F450" i="6"/>
  <c r="E538" i="6"/>
  <c r="E570" i="6"/>
  <c r="F570" i="6"/>
  <c r="D570" i="6"/>
  <c r="C570" i="6"/>
  <c r="G570" i="6"/>
  <c r="C673" i="6"/>
  <c r="G712" i="6"/>
  <c r="C712" i="6"/>
  <c r="F712" i="6"/>
  <c r="E712" i="6"/>
  <c r="D712" i="6"/>
  <c r="E476" i="6"/>
  <c r="E508" i="6"/>
  <c r="D508" i="6"/>
  <c r="C508" i="6"/>
  <c r="G508" i="6"/>
  <c r="F508" i="6"/>
  <c r="F604" i="6"/>
  <c r="E636" i="6"/>
  <c r="D636" i="6"/>
  <c r="C636" i="6"/>
  <c r="G636" i="6"/>
  <c r="F636" i="6"/>
  <c r="F682" i="6"/>
  <c r="F714" i="6"/>
  <c r="G746" i="6"/>
  <c r="C746" i="6"/>
  <c r="E746" i="6"/>
  <c r="D746" i="6"/>
  <c r="F746" i="6"/>
  <c r="G844" i="6"/>
  <c r="D876" i="6"/>
  <c r="G876" i="6"/>
  <c r="C876" i="6"/>
  <c r="F876" i="6"/>
  <c r="E876" i="6"/>
  <c r="C1068" i="6"/>
  <c r="G1173" i="6"/>
  <c r="C1173" i="6"/>
  <c r="E1173" i="6"/>
  <c r="D1173" i="6"/>
  <c r="F1173" i="6"/>
  <c r="D73" i="6"/>
  <c r="D81" i="6"/>
  <c r="E89" i="6"/>
  <c r="D89" i="6"/>
  <c r="C89" i="6"/>
  <c r="D113" i="6"/>
  <c r="E121" i="6"/>
  <c r="D121" i="6"/>
  <c r="C121" i="6"/>
  <c r="D145" i="6"/>
  <c r="E153" i="6"/>
  <c r="D153" i="6"/>
  <c r="C153" i="6"/>
  <c r="D177" i="6"/>
  <c r="E185" i="6"/>
  <c r="D185" i="6"/>
  <c r="C185" i="6"/>
  <c r="D209" i="6"/>
  <c r="E217" i="6"/>
  <c r="D217" i="6"/>
  <c r="C217" i="6"/>
  <c r="E241" i="6"/>
  <c r="F249" i="6"/>
  <c r="G249" i="6"/>
  <c r="D249" i="6"/>
  <c r="E249" i="6"/>
  <c r="C249" i="6"/>
  <c r="F273" i="6"/>
  <c r="G281" i="6"/>
  <c r="C281" i="6"/>
  <c r="F281" i="6"/>
  <c r="E281" i="6"/>
  <c r="D281" i="6"/>
  <c r="F305" i="6"/>
  <c r="G313" i="6"/>
  <c r="C313" i="6"/>
  <c r="F313" i="6"/>
  <c r="E313" i="6"/>
  <c r="D313" i="6"/>
  <c r="C337" i="6"/>
  <c r="G345" i="6"/>
  <c r="C345" i="6"/>
  <c r="F345" i="6"/>
  <c r="E345" i="6"/>
  <c r="D345" i="6"/>
  <c r="E369" i="6"/>
  <c r="G377" i="6"/>
  <c r="C377" i="6"/>
  <c r="F377" i="6"/>
  <c r="E377" i="6"/>
  <c r="D377" i="6"/>
  <c r="D393" i="6"/>
  <c r="F401" i="6"/>
  <c r="G409" i="6"/>
  <c r="C409" i="6"/>
  <c r="F409" i="6"/>
  <c r="E409" i="6"/>
  <c r="D409" i="6"/>
  <c r="C433" i="6"/>
  <c r="G441" i="6"/>
  <c r="C441" i="6"/>
  <c r="F441" i="6"/>
  <c r="E441" i="6"/>
  <c r="D441" i="6"/>
  <c r="G470" i="6"/>
  <c r="E486" i="6"/>
  <c r="C486" i="6"/>
  <c r="G486" i="6"/>
  <c r="F486" i="6"/>
  <c r="D486" i="6"/>
  <c r="G534" i="6"/>
  <c r="E550" i="6"/>
  <c r="C550" i="6"/>
  <c r="G550" i="6"/>
  <c r="F550" i="6"/>
  <c r="D550" i="6"/>
  <c r="G598" i="6"/>
  <c r="E614" i="6"/>
  <c r="C614" i="6"/>
  <c r="G614" i="6"/>
  <c r="F614" i="6"/>
  <c r="D614" i="6"/>
  <c r="E630" i="6"/>
  <c r="C630" i="6"/>
  <c r="G630" i="6"/>
  <c r="F630" i="6"/>
  <c r="D630" i="6"/>
  <c r="D651" i="6"/>
  <c r="G704" i="6"/>
  <c r="C704" i="6"/>
  <c r="F704" i="6"/>
  <c r="E704" i="6"/>
  <c r="D704" i="6"/>
  <c r="F937" i="6"/>
  <c r="E1001" i="6"/>
  <c r="F1001" i="6"/>
  <c r="D1001" i="6"/>
  <c r="G1001" i="6"/>
  <c r="C1001" i="6"/>
  <c r="G471" i="6"/>
  <c r="C471" i="6"/>
  <c r="F471" i="6"/>
  <c r="E471" i="6"/>
  <c r="D471" i="6"/>
  <c r="G487" i="6"/>
  <c r="C487" i="6"/>
  <c r="F487" i="6"/>
  <c r="E487" i="6"/>
  <c r="D487" i="6"/>
  <c r="F519" i="6"/>
  <c r="G535" i="6"/>
  <c r="C535" i="6"/>
  <c r="F535" i="6"/>
  <c r="E535" i="6"/>
  <c r="D535" i="6"/>
  <c r="G583" i="6"/>
  <c r="C583" i="6"/>
  <c r="F583" i="6"/>
  <c r="E583" i="6"/>
  <c r="D583" i="6"/>
  <c r="G599" i="6"/>
  <c r="C599" i="6"/>
  <c r="F599" i="6"/>
  <c r="E599" i="6"/>
  <c r="D599" i="6"/>
  <c r="C631" i="6"/>
  <c r="D699" i="6"/>
  <c r="E731" i="6"/>
  <c r="D731" i="6"/>
  <c r="C731" i="6"/>
  <c r="G731" i="6"/>
  <c r="F731" i="6"/>
  <c r="E795" i="6"/>
  <c r="D795" i="6"/>
  <c r="C795" i="6"/>
  <c r="G795" i="6"/>
  <c r="F795" i="6"/>
  <c r="D824" i="6"/>
  <c r="G824" i="6"/>
  <c r="C824" i="6"/>
  <c r="F824" i="6"/>
  <c r="E824" i="6"/>
  <c r="C898" i="6"/>
  <c r="D1199" i="6"/>
  <c r="G1199" i="6"/>
  <c r="C1199" i="6"/>
  <c r="F1199" i="6"/>
  <c r="E1199" i="6"/>
  <c r="E677" i="6"/>
  <c r="C677" i="6"/>
  <c r="G677" i="6"/>
  <c r="F677" i="6"/>
  <c r="D677" i="6"/>
  <c r="E709" i="6"/>
  <c r="D709" i="6"/>
  <c r="E773" i="6"/>
  <c r="C773" i="6"/>
  <c r="G773" i="6"/>
  <c r="F773" i="6"/>
  <c r="D773" i="6"/>
  <c r="E805" i="6"/>
  <c r="C805" i="6"/>
  <c r="G805" i="6"/>
  <c r="F805" i="6"/>
  <c r="D805" i="6"/>
  <c r="G904" i="6"/>
  <c r="C904" i="6"/>
  <c r="F904" i="6"/>
  <c r="E904" i="6"/>
  <c r="D904" i="6"/>
  <c r="E968" i="6"/>
  <c r="E655" i="6"/>
  <c r="G655" i="6"/>
  <c r="F655" i="6"/>
  <c r="D655" i="6"/>
  <c r="C655" i="6"/>
  <c r="F703" i="6"/>
  <c r="E735" i="6"/>
  <c r="G735" i="6"/>
  <c r="F735" i="6"/>
  <c r="D735" i="6"/>
  <c r="C735" i="6"/>
  <c r="F751" i="6"/>
  <c r="E767" i="6"/>
  <c r="G767" i="6"/>
  <c r="F767" i="6"/>
  <c r="D767" i="6"/>
  <c r="C767" i="6"/>
  <c r="D783" i="6"/>
  <c r="E799" i="6"/>
  <c r="G799" i="6"/>
  <c r="F799" i="6"/>
  <c r="D799" i="6"/>
  <c r="C799" i="6"/>
  <c r="D818" i="6"/>
  <c r="G818" i="6"/>
  <c r="C818" i="6"/>
  <c r="F818" i="6"/>
  <c r="E818" i="6"/>
  <c r="G850" i="6"/>
  <c r="D866" i="6"/>
  <c r="G866" i="6"/>
  <c r="C866" i="6"/>
  <c r="F866" i="6"/>
  <c r="E866" i="6"/>
  <c r="E947" i="6"/>
  <c r="D947" i="6"/>
  <c r="C947" i="6"/>
  <c r="G947" i="6"/>
  <c r="F947" i="6"/>
  <c r="E1011" i="6"/>
  <c r="D1011" i="6"/>
  <c r="C1011" i="6"/>
  <c r="G1011" i="6"/>
  <c r="F1011" i="6"/>
  <c r="G1072" i="6"/>
  <c r="D1104" i="6"/>
  <c r="G1104" i="6"/>
  <c r="C1104" i="6"/>
  <c r="F1104" i="6"/>
  <c r="E1104" i="6"/>
  <c r="E1150" i="6"/>
  <c r="D1150" i="6"/>
  <c r="C1150" i="6"/>
  <c r="G1150" i="6"/>
  <c r="F1150" i="6"/>
  <c r="E885" i="6"/>
  <c r="C885" i="6"/>
  <c r="G885" i="6"/>
  <c r="F885" i="6"/>
  <c r="D885" i="6"/>
  <c r="E901" i="6"/>
  <c r="C901" i="6"/>
  <c r="G901" i="6"/>
  <c r="F901" i="6"/>
  <c r="D901" i="6"/>
  <c r="F917" i="6"/>
  <c r="E949" i="6"/>
  <c r="C949" i="6"/>
  <c r="G949" i="6"/>
  <c r="F949" i="6"/>
  <c r="D949" i="6"/>
  <c r="E965" i="6"/>
  <c r="C965" i="6"/>
  <c r="G965" i="6"/>
  <c r="F965" i="6"/>
  <c r="D965" i="6"/>
  <c r="D981" i="6"/>
  <c r="E1013" i="6"/>
  <c r="C1013" i="6"/>
  <c r="G1013" i="6"/>
  <c r="F1013" i="6"/>
  <c r="D1013" i="6"/>
  <c r="G1131" i="6"/>
  <c r="C1131" i="6"/>
  <c r="F1131" i="6"/>
  <c r="E1131" i="6"/>
  <c r="D1131" i="6"/>
  <c r="F807" i="6"/>
  <c r="E807" i="6"/>
  <c r="D807" i="6"/>
  <c r="C807" i="6"/>
  <c r="G807" i="6"/>
  <c r="F815" i="6"/>
  <c r="E815" i="6"/>
  <c r="D815" i="6"/>
  <c r="C815" i="6"/>
  <c r="G815" i="6"/>
  <c r="F839" i="6"/>
  <c r="E839" i="6"/>
  <c r="D839" i="6"/>
  <c r="C839" i="6"/>
  <c r="G839" i="6"/>
  <c r="F847" i="6"/>
  <c r="E847" i="6"/>
  <c r="D847" i="6"/>
  <c r="C847" i="6"/>
  <c r="G847" i="6"/>
  <c r="F871" i="6"/>
  <c r="E871" i="6"/>
  <c r="D871" i="6"/>
  <c r="C871" i="6"/>
  <c r="G871" i="6"/>
  <c r="E879" i="6"/>
  <c r="G879" i="6"/>
  <c r="F879" i="6"/>
  <c r="D879" i="6"/>
  <c r="C879" i="6"/>
  <c r="E895" i="6"/>
  <c r="E927" i="6"/>
  <c r="G927" i="6"/>
  <c r="F927" i="6"/>
  <c r="D927" i="6"/>
  <c r="C927" i="6"/>
  <c r="E943" i="6"/>
  <c r="G943" i="6"/>
  <c r="F943" i="6"/>
  <c r="D943" i="6"/>
  <c r="C943" i="6"/>
  <c r="G959" i="6"/>
  <c r="G975" i="6"/>
  <c r="E991" i="6"/>
  <c r="G991" i="6"/>
  <c r="F991" i="6"/>
  <c r="D991" i="6"/>
  <c r="C991" i="6"/>
  <c r="E1007" i="6"/>
  <c r="G1007" i="6"/>
  <c r="F1007" i="6"/>
  <c r="D1007" i="6"/>
  <c r="C1007" i="6"/>
  <c r="G1026" i="6"/>
  <c r="D1058" i="6"/>
  <c r="G1058" i="6"/>
  <c r="C1058" i="6"/>
  <c r="F1058" i="6"/>
  <c r="E1058" i="6"/>
  <c r="D1074" i="6"/>
  <c r="G1074" i="6"/>
  <c r="C1074" i="6"/>
  <c r="F1074" i="6"/>
  <c r="E1074" i="6"/>
  <c r="E1126" i="6"/>
  <c r="D1126" i="6"/>
  <c r="C1126" i="6"/>
  <c r="G1126" i="6"/>
  <c r="F1126" i="6"/>
  <c r="E1158" i="6"/>
  <c r="D1158" i="6"/>
  <c r="C1158" i="6"/>
  <c r="G1158" i="6"/>
  <c r="F1158" i="6"/>
  <c r="D1259" i="6"/>
  <c r="G1259" i="6"/>
  <c r="C1259" i="6"/>
  <c r="F1259" i="6"/>
  <c r="E1259" i="6"/>
  <c r="D1368" i="6"/>
  <c r="G1368" i="6"/>
  <c r="C1368" i="6"/>
  <c r="F1368" i="6"/>
  <c r="E1368" i="6"/>
  <c r="G1159" i="6"/>
  <c r="C1159" i="6"/>
  <c r="D1159" i="6"/>
  <c r="F1159" i="6"/>
  <c r="E1159" i="6"/>
  <c r="G1175" i="6"/>
  <c r="C1175" i="6"/>
  <c r="D1175" i="6"/>
  <c r="F1175" i="6"/>
  <c r="E1175" i="6"/>
  <c r="F1029" i="6"/>
  <c r="E1029" i="6"/>
  <c r="G1029" i="6"/>
  <c r="D1029" i="6"/>
  <c r="C1029" i="6"/>
  <c r="F1037" i="6"/>
  <c r="E1037" i="6"/>
  <c r="G1037" i="6"/>
  <c r="D1037" i="6"/>
  <c r="C1037" i="6"/>
  <c r="F1061" i="6"/>
  <c r="E1061" i="6"/>
  <c r="G1061" i="6"/>
  <c r="D1061" i="6"/>
  <c r="C1061" i="6"/>
  <c r="F1069" i="6"/>
  <c r="E1069" i="6"/>
  <c r="G1069" i="6"/>
  <c r="D1069" i="6"/>
  <c r="C1069" i="6"/>
  <c r="F1093" i="6"/>
  <c r="E1093" i="6"/>
  <c r="G1093" i="6"/>
  <c r="D1093" i="6"/>
  <c r="C1093" i="6"/>
  <c r="F1101" i="6"/>
  <c r="E1101" i="6"/>
  <c r="G1101" i="6"/>
  <c r="D1101" i="6"/>
  <c r="C1101" i="6"/>
  <c r="D1109" i="6"/>
  <c r="G1137" i="6"/>
  <c r="C1137" i="6"/>
  <c r="F1137" i="6"/>
  <c r="E1137" i="6"/>
  <c r="D1137" i="6"/>
  <c r="G1153" i="6"/>
  <c r="C1153" i="6"/>
  <c r="F1153" i="6"/>
  <c r="E1153" i="6"/>
  <c r="D1153" i="6"/>
  <c r="D1169" i="6"/>
  <c r="D1197" i="6"/>
  <c r="G1197" i="6"/>
  <c r="C1197" i="6"/>
  <c r="F1197" i="6"/>
  <c r="E1197" i="6"/>
  <c r="D1213" i="6"/>
  <c r="G1213" i="6"/>
  <c r="C1213" i="6"/>
  <c r="F1213" i="6"/>
  <c r="E1213" i="6"/>
  <c r="D1261" i="6"/>
  <c r="G1261" i="6"/>
  <c r="C1261" i="6"/>
  <c r="F1261" i="6"/>
  <c r="E1261" i="6"/>
  <c r="D1277" i="6"/>
  <c r="G1277" i="6"/>
  <c r="C1277" i="6"/>
  <c r="F1277" i="6"/>
  <c r="E1277" i="6"/>
  <c r="E1302" i="6"/>
  <c r="D1302" i="6"/>
  <c r="C1302" i="6"/>
  <c r="G1302" i="6"/>
  <c r="F1302" i="6"/>
  <c r="E1318" i="6"/>
  <c r="D1318" i="6"/>
  <c r="C1318" i="6"/>
  <c r="G1318" i="6"/>
  <c r="F1318" i="6"/>
  <c r="F1200" i="6"/>
  <c r="E1200" i="6"/>
  <c r="G1200" i="6"/>
  <c r="D1200" i="6"/>
  <c r="C1200" i="6"/>
  <c r="F1208" i="6"/>
  <c r="E1208" i="6"/>
  <c r="G1208" i="6"/>
  <c r="D1208" i="6"/>
  <c r="C1208" i="6"/>
  <c r="F1216" i="6"/>
  <c r="F1232" i="6"/>
  <c r="E1232" i="6"/>
  <c r="G1232" i="6"/>
  <c r="D1232" i="6"/>
  <c r="C1232" i="6"/>
  <c r="F1240" i="6"/>
  <c r="E1240" i="6"/>
  <c r="G1240" i="6"/>
  <c r="D1240" i="6"/>
  <c r="C1240" i="6"/>
  <c r="E1248" i="6"/>
  <c r="F1264" i="6"/>
  <c r="E1264" i="6"/>
  <c r="G1264" i="6"/>
  <c r="D1264" i="6"/>
  <c r="C1264" i="6"/>
  <c r="F1272" i="6"/>
  <c r="E1272" i="6"/>
  <c r="G1272" i="6"/>
  <c r="D1272" i="6"/>
  <c r="C1272" i="6"/>
  <c r="D1372" i="6"/>
  <c r="G1372" i="6"/>
  <c r="C1372" i="6"/>
  <c r="F1372" i="6"/>
  <c r="E1372" i="6"/>
  <c r="D1404" i="6"/>
  <c r="G1404" i="6"/>
  <c r="C1404" i="6"/>
  <c r="F1404" i="6"/>
  <c r="E1404" i="6"/>
  <c r="G1307" i="6"/>
  <c r="C1307" i="6"/>
  <c r="F1307" i="6"/>
  <c r="E1307" i="6"/>
  <c r="D1307" i="6"/>
  <c r="G1315" i="6"/>
  <c r="C1315" i="6"/>
  <c r="F1315" i="6"/>
  <c r="E1315" i="6"/>
  <c r="D1315" i="6"/>
  <c r="G1344" i="6"/>
  <c r="C1344" i="6"/>
  <c r="D1344" i="6"/>
  <c r="F1344" i="6"/>
  <c r="E1344" i="6"/>
  <c r="G1360" i="6"/>
  <c r="C1360" i="6"/>
  <c r="D1360" i="6"/>
  <c r="F1360" i="6"/>
  <c r="E1360" i="6"/>
  <c r="G1362" i="6"/>
  <c r="C1362" i="6"/>
  <c r="F1362" i="6"/>
  <c r="E1362" i="6"/>
  <c r="D1362" i="6"/>
  <c r="D1374" i="6"/>
  <c r="G1374" i="6"/>
  <c r="C1374" i="6"/>
  <c r="F1374" i="6"/>
  <c r="E1374" i="6"/>
  <c r="C1390" i="6"/>
  <c r="D1442" i="6"/>
  <c r="F1442" i="6"/>
  <c r="C1442" i="6"/>
  <c r="G1442" i="6"/>
  <c r="E1442" i="6"/>
  <c r="E1463" i="6"/>
  <c r="D1463" i="6"/>
  <c r="C1463" i="6"/>
  <c r="G1463" i="6"/>
  <c r="F1463" i="6"/>
  <c r="F1383" i="6"/>
  <c r="E1383" i="6"/>
  <c r="D1383" i="6"/>
  <c r="C1383" i="6"/>
  <c r="G1383" i="6"/>
  <c r="F1391" i="6"/>
  <c r="E1391" i="6"/>
  <c r="D1391" i="6"/>
  <c r="C1391" i="6"/>
  <c r="G1391" i="6"/>
  <c r="F1415" i="6"/>
  <c r="E1415" i="6"/>
  <c r="D1415" i="6"/>
  <c r="C1415" i="6"/>
  <c r="G1415" i="6"/>
  <c r="D1450" i="6"/>
  <c r="F1450" i="6"/>
  <c r="C1450" i="6"/>
  <c r="G1450" i="6"/>
  <c r="E1450" i="6"/>
  <c r="E1471" i="6"/>
  <c r="D1471" i="6"/>
  <c r="F1471" i="6"/>
  <c r="G1471" i="6"/>
  <c r="C1471" i="6"/>
  <c r="F1425" i="6"/>
  <c r="D1425" i="6"/>
  <c r="G1425" i="6"/>
  <c r="E1425" i="6"/>
  <c r="C1425" i="6"/>
  <c r="E1495" i="6"/>
  <c r="D1495" i="6"/>
  <c r="F1495" i="6"/>
  <c r="G1495" i="6"/>
  <c r="C1495" i="6"/>
  <c r="F1441" i="6"/>
  <c r="G1441" i="6"/>
  <c r="D1441" i="6"/>
  <c r="C1441" i="6"/>
  <c r="E1441" i="6"/>
  <c r="E1449" i="6"/>
  <c r="E1473" i="6"/>
  <c r="D1473" i="6"/>
  <c r="F1473" i="6"/>
  <c r="G1473" i="6"/>
  <c r="C1473" i="6"/>
  <c r="E1489" i="6"/>
  <c r="D1489" i="6"/>
  <c r="F1489" i="6"/>
  <c r="G1489" i="6"/>
  <c r="C1489" i="6"/>
  <c r="D1472" i="6"/>
  <c r="G1496" i="6"/>
  <c r="C1496" i="6"/>
  <c r="F1496" i="6"/>
  <c r="E1496" i="6"/>
  <c r="D1496" i="6"/>
  <c r="B5" i="3"/>
  <c r="C5" i="3"/>
  <c r="B9" i="3"/>
  <c r="C9" i="3"/>
  <c r="D9" i="3"/>
  <c r="E46" i="6"/>
  <c r="D46" i="6"/>
  <c r="C46" i="6"/>
  <c r="D152" i="6"/>
  <c r="E152" i="6"/>
  <c r="C152" i="6"/>
  <c r="E626" i="6"/>
  <c r="F626" i="6"/>
  <c r="D626" i="6"/>
  <c r="G626" i="6"/>
  <c r="C626" i="6"/>
  <c r="D170" i="6"/>
  <c r="E170" i="6"/>
  <c r="C170" i="6"/>
  <c r="E274" i="6"/>
  <c r="D274" i="6"/>
  <c r="C274" i="6"/>
  <c r="G274" i="6"/>
  <c r="F274" i="6"/>
  <c r="G521" i="6"/>
  <c r="C521" i="6"/>
  <c r="F521" i="6"/>
  <c r="E521" i="6"/>
  <c r="D521" i="6"/>
  <c r="E308" i="6"/>
  <c r="D308" i="6"/>
  <c r="G308" i="6"/>
  <c r="C308" i="6"/>
  <c r="F308" i="6"/>
  <c r="C29" i="6"/>
  <c r="D29" i="6"/>
  <c r="E29" i="6"/>
  <c r="C53" i="6"/>
  <c r="D53" i="6"/>
  <c r="E53" i="6"/>
  <c r="D172" i="6"/>
  <c r="C172" i="6"/>
  <c r="E172" i="6"/>
  <c r="D118" i="6"/>
  <c r="D214" i="6"/>
  <c r="C214" i="6"/>
  <c r="E214" i="6"/>
  <c r="E326" i="6"/>
  <c r="D326" i="6"/>
  <c r="C326" i="6"/>
  <c r="G326" i="6"/>
  <c r="F326" i="6"/>
  <c r="E610" i="6"/>
  <c r="F610" i="6"/>
  <c r="D610" i="6"/>
  <c r="G610" i="6"/>
  <c r="C610" i="6"/>
  <c r="G619" i="6"/>
  <c r="C619" i="6"/>
  <c r="E619" i="6"/>
  <c r="D619" i="6"/>
  <c r="F619" i="6"/>
  <c r="E410" i="6"/>
  <c r="D410" i="6"/>
  <c r="C410" i="6"/>
  <c r="G410" i="6"/>
  <c r="F410" i="6"/>
  <c r="E458" i="6"/>
  <c r="F458" i="6"/>
  <c r="D458" i="6"/>
  <c r="C458" i="6"/>
  <c r="G458" i="6"/>
  <c r="G776" i="6"/>
  <c r="C776" i="6"/>
  <c r="F776" i="6"/>
  <c r="E776" i="6"/>
  <c r="D776" i="6"/>
  <c r="E524" i="6"/>
  <c r="D524" i="6"/>
  <c r="C524" i="6"/>
  <c r="G524" i="6"/>
  <c r="F524" i="6"/>
  <c r="E588" i="6"/>
  <c r="D588" i="6"/>
  <c r="C588" i="6"/>
  <c r="G588" i="6"/>
  <c r="F588" i="6"/>
  <c r="E659" i="6"/>
  <c r="D659" i="6"/>
  <c r="F659" i="6"/>
  <c r="C659" i="6"/>
  <c r="G659" i="6"/>
  <c r="E953" i="6"/>
  <c r="F953" i="6"/>
  <c r="D953" i="6"/>
  <c r="G953" i="6"/>
  <c r="C953" i="6"/>
  <c r="G762" i="6"/>
  <c r="C762" i="6"/>
  <c r="E762" i="6"/>
  <c r="D762" i="6"/>
  <c r="F762" i="6"/>
  <c r="D860" i="6"/>
  <c r="G860" i="6"/>
  <c r="C860" i="6"/>
  <c r="F860" i="6"/>
  <c r="E860" i="6"/>
  <c r="E971" i="6"/>
  <c r="D971" i="6"/>
  <c r="C971" i="6"/>
  <c r="G971" i="6"/>
  <c r="F971" i="6"/>
  <c r="D1247" i="6"/>
  <c r="G1247" i="6"/>
  <c r="C1247" i="6"/>
  <c r="F1247" i="6"/>
  <c r="E1247" i="6"/>
  <c r="C109" i="6"/>
  <c r="E109" i="6"/>
  <c r="D109" i="6"/>
  <c r="C125" i="6"/>
  <c r="E125" i="6"/>
  <c r="D125" i="6"/>
  <c r="D141" i="6"/>
  <c r="C157" i="6"/>
  <c r="E157" i="6"/>
  <c r="D157" i="6"/>
  <c r="C189" i="6"/>
  <c r="D189" i="6"/>
  <c r="E189" i="6"/>
  <c r="C205" i="6"/>
  <c r="E205" i="6"/>
  <c r="D205" i="6"/>
  <c r="C221" i="6"/>
  <c r="D221" i="6"/>
  <c r="E221" i="6"/>
  <c r="F253" i="6"/>
  <c r="G293" i="6"/>
  <c r="C293" i="6"/>
  <c r="F293" i="6"/>
  <c r="E293" i="6"/>
  <c r="D293" i="6"/>
  <c r="G349" i="6"/>
  <c r="C349" i="6"/>
  <c r="F349" i="6"/>
  <c r="E349" i="6"/>
  <c r="D349" i="6"/>
  <c r="G365" i="6"/>
  <c r="C365" i="6"/>
  <c r="F365" i="6"/>
  <c r="E365" i="6"/>
  <c r="D365" i="6"/>
  <c r="G413" i="6"/>
  <c r="C413" i="6"/>
  <c r="F413" i="6"/>
  <c r="E413" i="6"/>
  <c r="D413" i="6"/>
  <c r="C437" i="6"/>
  <c r="E462" i="6"/>
  <c r="C462" i="6"/>
  <c r="G462" i="6"/>
  <c r="F462" i="6"/>
  <c r="D462" i="6"/>
  <c r="E526" i="6"/>
  <c r="C526" i="6"/>
  <c r="G526" i="6"/>
  <c r="F526" i="6"/>
  <c r="D526" i="6"/>
  <c r="E558" i="6"/>
  <c r="C558" i="6"/>
  <c r="G558" i="6"/>
  <c r="F558" i="6"/>
  <c r="D558" i="6"/>
  <c r="E606" i="6"/>
  <c r="C606" i="6"/>
  <c r="G606" i="6"/>
  <c r="F606" i="6"/>
  <c r="D606" i="6"/>
  <c r="C638" i="6"/>
  <c r="G511" i="6"/>
  <c r="C511" i="6"/>
  <c r="F511" i="6"/>
  <c r="E511" i="6"/>
  <c r="D511" i="6"/>
  <c r="G559" i="6"/>
  <c r="D559" i="6"/>
  <c r="E656" i="6"/>
  <c r="E715" i="6"/>
  <c r="F715" i="6"/>
  <c r="F840" i="6"/>
  <c r="F930" i="6"/>
  <c r="G1060" i="6"/>
  <c r="E701" i="6"/>
  <c r="D701" i="6"/>
  <c r="E781" i="6"/>
  <c r="C781" i="6"/>
  <c r="G781" i="6"/>
  <c r="F781" i="6"/>
  <c r="D781" i="6"/>
  <c r="G952" i="6"/>
  <c r="C952" i="6"/>
  <c r="F952" i="6"/>
  <c r="E952" i="6"/>
  <c r="D952" i="6"/>
  <c r="E1171" i="6"/>
  <c r="E727" i="6"/>
  <c r="E759" i="6"/>
  <c r="D759" i="6"/>
  <c r="D826" i="6"/>
  <c r="F826" i="6"/>
  <c r="G858" i="6"/>
  <c r="E931" i="6"/>
  <c r="D931" i="6"/>
  <c r="C931" i="6"/>
  <c r="G931" i="6"/>
  <c r="F931" i="6"/>
  <c r="D1088" i="6"/>
  <c r="G1088" i="6"/>
  <c r="C1088" i="6"/>
  <c r="F1088" i="6"/>
  <c r="E1088" i="6"/>
  <c r="C973" i="6"/>
  <c r="E1005" i="6"/>
  <c r="C1005" i="6"/>
  <c r="G1005" i="6"/>
  <c r="F1005" i="6"/>
  <c r="D1005" i="6"/>
  <c r="F867" i="6"/>
  <c r="E867" i="6"/>
  <c r="D867" i="6"/>
  <c r="C867" i="6"/>
  <c r="G867" i="6"/>
  <c r="E919" i="6"/>
  <c r="G919" i="6"/>
  <c r="F919" i="6"/>
  <c r="D919" i="6"/>
  <c r="C919" i="6"/>
  <c r="E999" i="6"/>
  <c r="G999" i="6"/>
  <c r="F999" i="6"/>
  <c r="D999" i="6"/>
  <c r="C999" i="6"/>
  <c r="D1050" i="6"/>
  <c r="G1050" i="6"/>
  <c r="C1050" i="6"/>
  <c r="F1050" i="6"/>
  <c r="E1050" i="6"/>
  <c r="E1142" i="6"/>
  <c r="D1142" i="6"/>
  <c r="C1142" i="6"/>
  <c r="G1142" i="6"/>
  <c r="F1142" i="6"/>
  <c r="D1243" i="6"/>
  <c r="G1243" i="6"/>
  <c r="C1243" i="6"/>
  <c r="F1243" i="6"/>
  <c r="E1243" i="6"/>
  <c r="F1033" i="6"/>
  <c r="E1033" i="6"/>
  <c r="G1033" i="6"/>
  <c r="D1033" i="6"/>
  <c r="C1033" i="6"/>
  <c r="F1057" i="6"/>
  <c r="E1057" i="6"/>
  <c r="G1057" i="6"/>
  <c r="D1057" i="6"/>
  <c r="C1057" i="6"/>
  <c r="F1097" i="6"/>
  <c r="E1097" i="6"/>
  <c r="G1097" i="6"/>
  <c r="D1097" i="6"/>
  <c r="C1097" i="6"/>
  <c r="G1129" i="6"/>
  <c r="C1129" i="6"/>
  <c r="F1129" i="6"/>
  <c r="E1129" i="6"/>
  <c r="D1129" i="6"/>
  <c r="G1177" i="6"/>
  <c r="E1221" i="6"/>
  <c r="D1269" i="6"/>
  <c r="G1269" i="6"/>
  <c r="C1269" i="6"/>
  <c r="F1269" i="6"/>
  <c r="E1269" i="6"/>
  <c r="E1294" i="6"/>
  <c r="D1294" i="6"/>
  <c r="C1294" i="6"/>
  <c r="G1294" i="6"/>
  <c r="F1294" i="6"/>
  <c r="F1196" i="6"/>
  <c r="E1196" i="6"/>
  <c r="G1196" i="6"/>
  <c r="D1196" i="6"/>
  <c r="C1196" i="6"/>
  <c r="F1204" i="6"/>
  <c r="E1204" i="6"/>
  <c r="G1204" i="6"/>
  <c r="D1204" i="6"/>
  <c r="C1204" i="6"/>
  <c r="F1228" i="6"/>
  <c r="E1228" i="6"/>
  <c r="G1228" i="6"/>
  <c r="D1228" i="6"/>
  <c r="C1228" i="6"/>
  <c r="E1252" i="6"/>
  <c r="D1458" i="6"/>
  <c r="G1303" i="6"/>
  <c r="C1303" i="6"/>
  <c r="F1303" i="6"/>
  <c r="E1303" i="6"/>
  <c r="D1303" i="6"/>
  <c r="G1336" i="6"/>
  <c r="C1336" i="6"/>
  <c r="D1336" i="6"/>
  <c r="F1336" i="6"/>
  <c r="E1336" i="6"/>
  <c r="C1438" i="6"/>
  <c r="D1366" i="6"/>
  <c r="G1366" i="6"/>
  <c r="C1366" i="6"/>
  <c r="F1366" i="6"/>
  <c r="E1366" i="6"/>
  <c r="E1483" i="6"/>
  <c r="D1483" i="6"/>
  <c r="F1483" i="6"/>
  <c r="C1483" i="6"/>
  <c r="G1483" i="6"/>
  <c r="F1379" i="6"/>
  <c r="E1379" i="6"/>
  <c r="D1379" i="6"/>
  <c r="C1379" i="6"/>
  <c r="G1379" i="6"/>
  <c r="E1395" i="6"/>
  <c r="F1411" i="6"/>
  <c r="E1411" i="6"/>
  <c r="D1411" i="6"/>
  <c r="C1411" i="6"/>
  <c r="G1411" i="6"/>
  <c r="D1452" i="6"/>
  <c r="E1452" i="6"/>
  <c r="G1452" i="6"/>
  <c r="F1452" i="6"/>
  <c r="C1452" i="6"/>
  <c r="D1429" i="6"/>
  <c r="F1437" i="6"/>
  <c r="D1437" i="6"/>
  <c r="G1437" i="6"/>
  <c r="E1437" i="6"/>
  <c r="C1437" i="6"/>
  <c r="G1466" i="6"/>
  <c r="C1466" i="6"/>
  <c r="F1466" i="6"/>
  <c r="D1466" i="6"/>
  <c r="E1466" i="6"/>
  <c r="B11" i="3"/>
  <c r="C11" i="3"/>
  <c r="D11" i="3"/>
  <c r="E64" i="6"/>
  <c r="D64" i="6"/>
  <c r="C64" i="6"/>
  <c r="D240" i="6"/>
  <c r="E240" i="6"/>
  <c r="C240" i="6"/>
  <c r="D210" i="6"/>
  <c r="E210" i="6"/>
  <c r="C210" i="6"/>
  <c r="E314" i="6"/>
  <c r="D314" i="6"/>
  <c r="C314" i="6"/>
  <c r="G314" i="6"/>
  <c r="F314" i="6"/>
  <c r="C436" i="6"/>
  <c r="E104" i="6"/>
  <c r="E364" i="6"/>
  <c r="D364" i="6"/>
  <c r="G364" i="6"/>
  <c r="C364" i="6"/>
  <c r="F364" i="6"/>
  <c r="E8" i="6"/>
  <c r="D8" i="6"/>
  <c r="C8" i="6"/>
  <c r="E24" i="6"/>
  <c r="D24" i="6"/>
  <c r="C24" i="6"/>
  <c r="E42" i="6"/>
  <c r="D42" i="6"/>
  <c r="C42" i="6"/>
  <c r="E54" i="6"/>
  <c r="D54" i="6"/>
  <c r="C54" i="6"/>
  <c r="D136" i="6"/>
  <c r="E136" i="6"/>
  <c r="C136" i="6"/>
  <c r="E276" i="6"/>
  <c r="D276" i="6"/>
  <c r="G276" i="6"/>
  <c r="C276" i="6"/>
  <c r="F276" i="6"/>
  <c r="E340" i="6"/>
  <c r="D340" i="6"/>
  <c r="G340" i="6"/>
  <c r="C340" i="6"/>
  <c r="F340" i="6"/>
  <c r="E372" i="6"/>
  <c r="D372" i="6"/>
  <c r="G372" i="6"/>
  <c r="C372" i="6"/>
  <c r="F372" i="6"/>
  <c r="G569" i="6"/>
  <c r="C569" i="6"/>
  <c r="F569" i="6"/>
  <c r="E569" i="6"/>
  <c r="D569" i="6"/>
  <c r="G928" i="6"/>
  <c r="C928" i="6"/>
  <c r="F928" i="6"/>
  <c r="E928" i="6"/>
  <c r="D928" i="6"/>
  <c r="D98" i="6"/>
  <c r="E98" i="6"/>
  <c r="C98" i="6"/>
  <c r="D162" i="6"/>
  <c r="E162" i="6"/>
  <c r="C162" i="6"/>
  <c r="D194" i="6"/>
  <c r="E194" i="6"/>
  <c r="C194" i="6"/>
  <c r="D226" i="6"/>
  <c r="E226" i="6"/>
  <c r="C226" i="6"/>
  <c r="D270" i="6"/>
  <c r="C270" i="6"/>
  <c r="F270" i="6"/>
  <c r="G270" i="6"/>
  <c r="E270" i="6"/>
  <c r="E298" i="6"/>
  <c r="D298" i="6"/>
  <c r="C298" i="6"/>
  <c r="G298" i="6"/>
  <c r="F298" i="6"/>
  <c r="E330" i="6"/>
  <c r="D330" i="6"/>
  <c r="C330" i="6"/>
  <c r="G330" i="6"/>
  <c r="F330" i="6"/>
  <c r="E362" i="6"/>
  <c r="E404" i="6"/>
  <c r="D404" i="6"/>
  <c r="G404" i="6"/>
  <c r="F404" i="6"/>
  <c r="C404" i="6"/>
  <c r="F642" i="6"/>
  <c r="E34" i="6"/>
  <c r="D34" i="6"/>
  <c r="E50" i="6"/>
  <c r="D50" i="6"/>
  <c r="C50" i="6"/>
  <c r="E192" i="6"/>
  <c r="C192" i="6"/>
  <c r="E284" i="6"/>
  <c r="D284" i="6"/>
  <c r="G284" i="6"/>
  <c r="C284" i="6"/>
  <c r="F284" i="6"/>
  <c r="D3" i="6"/>
  <c r="E3" i="6"/>
  <c r="C11" i="6"/>
  <c r="D11" i="6"/>
  <c r="E11" i="6"/>
  <c r="C19" i="6"/>
  <c r="D35" i="6"/>
  <c r="C43" i="6"/>
  <c r="E43" i="6"/>
  <c r="D43" i="6"/>
  <c r="C68" i="6"/>
  <c r="D100" i="6"/>
  <c r="C100" i="6"/>
  <c r="E100" i="6"/>
  <c r="C196" i="6"/>
  <c r="E196" i="6"/>
  <c r="D228" i="6"/>
  <c r="C228" i="6"/>
  <c r="E228" i="6"/>
  <c r="D288" i="6"/>
  <c r="E352" i="6"/>
  <c r="C352" i="6"/>
  <c r="F352" i="6"/>
  <c r="E384" i="6"/>
  <c r="D384" i="6"/>
  <c r="G384" i="6"/>
  <c r="F384" i="6"/>
  <c r="C384" i="6"/>
  <c r="C78" i="6"/>
  <c r="E78" i="6"/>
  <c r="D110" i="6"/>
  <c r="C110" i="6"/>
  <c r="E110" i="6"/>
  <c r="D206" i="6"/>
  <c r="C206" i="6"/>
  <c r="D238" i="6"/>
  <c r="C238" i="6"/>
  <c r="E238" i="6"/>
  <c r="C286" i="6"/>
  <c r="D350" i="6"/>
  <c r="G350" i="6"/>
  <c r="F350" i="6"/>
  <c r="E380" i="6"/>
  <c r="D380" i="6"/>
  <c r="G380" i="6"/>
  <c r="F380" i="6"/>
  <c r="C380" i="6"/>
  <c r="F1116" i="6"/>
  <c r="D1116" i="6"/>
  <c r="G1116" i="6"/>
  <c r="D268" i="6"/>
  <c r="E268" i="6"/>
  <c r="G268" i="6"/>
  <c r="F268" i="6"/>
  <c r="C268" i="6"/>
  <c r="E548" i="6"/>
  <c r="D548" i="6"/>
  <c r="G548" i="6"/>
  <c r="E580" i="6"/>
  <c r="D580" i="6"/>
  <c r="C580" i="6"/>
  <c r="G580" i="6"/>
  <c r="F580" i="6"/>
  <c r="F644" i="6"/>
  <c r="G672" i="6"/>
  <c r="F672" i="6"/>
  <c r="D672" i="6"/>
  <c r="G760" i="6"/>
  <c r="C760" i="6"/>
  <c r="F760" i="6"/>
  <c r="E760" i="6"/>
  <c r="D760" i="6"/>
  <c r="E390" i="6"/>
  <c r="D406" i="6"/>
  <c r="C406" i="6"/>
  <c r="G406" i="6"/>
  <c r="E422" i="6"/>
  <c r="D422" i="6"/>
  <c r="C422" i="6"/>
  <c r="G422" i="6"/>
  <c r="F422" i="6"/>
  <c r="F454" i="6"/>
  <c r="G481" i="6"/>
  <c r="F481" i="6"/>
  <c r="D481" i="6"/>
  <c r="G513" i="6"/>
  <c r="C513" i="6"/>
  <c r="F513" i="6"/>
  <c r="E513" i="6"/>
  <c r="D513" i="6"/>
  <c r="G577" i="6"/>
  <c r="C609" i="6"/>
  <c r="E609" i="6"/>
  <c r="D609" i="6"/>
  <c r="G641" i="6"/>
  <c r="C641" i="6"/>
  <c r="F641" i="6"/>
  <c r="E641" i="6"/>
  <c r="D641" i="6"/>
  <c r="C769" i="6"/>
  <c r="G1187" i="6"/>
  <c r="C1187" i="6"/>
  <c r="D1187" i="6"/>
  <c r="D272" i="6"/>
  <c r="G272" i="6"/>
  <c r="E272" i="6"/>
  <c r="F272" i="6"/>
  <c r="C272" i="6"/>
  <c r="C483" i="6"/>
  <c r="G515" i="6"/>
  <c r="G547" i="6"/>
  <c r="C547" i="6"/>
  <c r="E547" i="6"/>
  <c r="G579" i="6"/>
  <c r="C579" i="6"/>
  <c r="E579" i="6"/>
  <c r="D579" i="6"/>
  <c r="F579" i="6"/>
  <c r="F643" i="6"/>
  <c r="F721" i="6"/>
  <c r="G721" i="6"/>
  <c r="G896" i="6"/>
  <c r="C896" i="6"/>
  <c r="F896" i="6"/>
  <c r="E896" i="6"/>
  <c r="D896" i="6"/>
  <c r="D723" i="6"/>
  <c r="E755" i="6"/>
  <c r="D787" i="6"/>
  <c r="C787" i="6"/>
  <c r="G787" i="6"/>
  <c r="D820" i="6"/>
  <c r="G820" i="6"/>
  <c r="C820" i="6"/>
  <c r="F820" i="6"/>
  <c r="E820" i="6"/>
  <c r="F882" i="6"/>
  <c r="G946" i="6"/>
  <c r="E946" i="6"/>
  <c r="F946" i="6"/>
  <c r="G1010" i="6"/>
  <c r="C1010" i="6"/>
  <c r="E1010" i="6"/>
  <c r="D1010" i="6"/>
  <c r="F1010" i="6"/>
  <c r="G1084" i="6"/>
  <c r="D1215" i="6"/>
  <c r="D67" i="6"/>
  <c r="E67" i="6"/>
  <c r="D75" i="6"/>
  <c r="C75" i="6"/>
  <c r="E75" i="6"/>
  <c r="E91" i="6"/>
  <c r="D99" i="6"/>
  <c r="D107" i="6"/>
  <c r="C107" i="6"/>
  <c r="E107" i="6"/>
  <c r="E131" i="6"/>
  <c r="D139" i="6"/>
  <c r="C139" i="6"/>
  <c r="E139" i="6"/>
  <c r="E155" i="6"/>
  <c r="D163" i="6"/>
  <c r="E163" i="6"/>
  <c r="D171" i="6"/>
  <c r="C171" i="6"/>
  <c r="E171" i="6"/>
  <c r="E179" i="6"/>
  <c r="C195" i="6"/>
  <c r="D203" i="6"/>
  <c r="C203" i="6"/>
  <c r="E203" i="6"/>
  <c r="C211" i="6"/>
  <c r="E219" i="6"/>
  <c r="D227" i="6"/>
  <c r="D235" i="6"/>
  <c r="C235" i="6"/>
  <c r="E235" i="6"/>
  <c r="F251" i="6"/>
  <c r="F259" i="6"/>
  <c r="E259" i="6"/>
  <c r="C259" i="6"/>
  <c r="F267" i="6"/>
  <c r="E267" i="6"/>
  <c r="C267" i="6"/>
  <c r="D267" i="6"/>
  <c r="G267" i="6"/>
  <c r="E275" i="6"/>
  <c r="D283" i="6"/>
  <c r="C291" i="6"/>
  <c r="F291" i="6"/>
  <c r="D291" i="6"/>
  <c r="G299" i="6"/>
  <c r="C299" i="6"/>
  <c r="F299" i="6"/>
  <c r="E299" i="6"/>
  <c r="D299" i="6"/>
  <c r="E307" i="6"/>
  <c r="G315" i="6"/>
  <c r="G323" i="6"/>
  <c r="F323" i="6"/>
  <c r="D323" i="6"/>
  <c r="G331" i="6"/>
  <c r="C331" i="6"/>
  <c r="F331" i="6"/>
  <c r="E331" i="6"/>
  <c r="D331" i="6"/>
  <c r="E339" i="6"/>
  <c r="D347" i="6"/>
  <c r="G355" i="6"/>
  <c r="C355" i="6"/>
  <c r="D355" i="6"/>
  <c r="G363" i="6"/>
  <c r="C363" i="6"/>
  <c r="F363" i="6"/>
  <c r="E363" i="6"/>
  <c r="D363" i="6"/>
  <c r="E371" i="6"/>
  <c r="G379" i="6"/>
  <c r="G387" i="6"/>
  <c r="C387" i="6"/>
  <c r="F387" i="6"/>
  <c r="G395" i="6"/>
  <c r="C395" i="6"/>
  <c r="F395" i="6"/>
  <c r="E395" i="6"/>
  <c r="D395" i="6"/>
  <c r="E403" i="6"/>
  <c r="D411" i="6"/>
  <c r="C419" i="6"/>
  <c r="F419" i="6"/>
  <c r="D419" i="6"/>
  <c r="G427" i="6"/>
  <c r="C427" i="6"/>
  <c r="F427" i="6"/>
  <c r="E427" i="6"/>
  <c r="D427" i="6"/>
  <c r="E435" i="6"/>
  <c r="G443" i="6"/>
  <c r="G451" i="6"/>
  <c r="F451" i="6"/>
  <c r="D451" i="6"/>
  <c r="G461" i="6"/>
  <c r="C461" i="6"/>
  <c r="D461" i="6"/>
  <c r="F461" i="6"/>
  <c r="E461" i="6"/>
  <c r="F477" i="6"/>
  <c r="E493" i="6"/>
  <c r="G509" i="6"/>
  <c r="C509" i="6"/>
  <c r="E509" i="6"/>
  <c r="G525" i="6"/>
  <c r="C525" i="6"/>
  <c r="D525" i="6"/>
  <c r="F525" i="6"/>
  <c r="E525" i="6"/>
  <c r="F541" i="6"/>
  <c r="G557" i="6"/>
  <c r="G573" i="6"/>
  <c r="C573" i="6"/>
  <c r="D573" i="6"/>
  <c r="G589" i="6"/>
  <c r="C589" i="6"/>
  <c r="D589" i="6"/>
  <c r="F589" i="6"/>
  <c r="E589" i="6"/>
  <c r="F605" i="6"/>
  <c r="E621" i="6"/>
  <c r="C637" i="6"/>
  <c r="D637" i="6"/>
  <c r="E637" i="6"/>
  <c r="G652" i="6"/>
  <c r="C652" i="6"/>
  <c r="D652" i="6"/>
  <c r="E652" i="6"/>
  <c r="F652" i="6"/>
  <c r="C681" i="6"/>
  <c r="E713" i="6"/>
  <c r="E745" i="6"/>
  <c r="D745" i="6"/>
  <c r="G745" i="6"/>
  <c r="E777" i="6"/>
  <c r="F777" i="6"/>
  <c r="D777" i="6"/>
  <c r="C777" i="6"/>
  <c r="G777" i="6"/>
  <c r="E880" i="6"/>
  <c r="D944" i="6"/>
  <c r="G1008" i="6"/>
  <c r="C1008" i="6"/>
  <c r="D1008" i="6"/>
  <c r="E1349" i="6"/>
  <c r="F1349" i="6"/>
  <c r="D1349" i="6"/>
  <c r="G1349" i="6"/>
  <c r="C1349" i="6"/>
  <c r="D472" i="6"/>
  <c r="E488" i="6"/>
  <c r="E504" i="6"/>
  <c r="G504" i="6"/>
  <c r="F504" i="6"/>
  <c r="E520" i="6"/>
  <c r="G520" i="6"/>
  <c r="F520" i="6"/>
  <c r="D520" i="6"/>
  <c r="C520" i="6"/>
  <c r="D536" i="6"/>
  <c r="C552" i="6"/>
  <c r="G568" i="6"/>
  <c r="F568" i="6"/>
  <c r="C568" i="6"/>
  <c r="E584" i="6"/>
  <c r="G584" i="6"/>
  <c r="F584" i="6"/>
  <c r="D584" i="6"/>
  <c r="C584" i="6"/>
  <c r="D600" i="6"/>
  <c r="E616" i="6"/>
  <c r="E632" i="6"/>
  <c r="F632" i="6"/>
  <c r="C632" i="6"/>
  <c r="G650" i="6"/>
  <c r="C650" i="6"/>
  <c r="E650" i="6"/>
  <c r="F650" i="6"/>
  <c r="D650" i="6"/>
  <c r="F676" i="6"/>
  <c r="F706" i="6"/>
  <c r="G738" i="6"/>
  <c r="C738" i="6"/>
  <c r="F738" i="6"/>
  <c r="G770" i="6"/>
  <c r="C770" i="6"/>
  <c r="E770" i="6"/>
  <c r="D770" i="6"/>
  <c r="F770" i="6"/>
  <c r="D802" i="6"/>
  <c r="D832" i="6"/>
  <c r="E832" i="6"/>
  <c r="D864" i="6"/>
  <c r="G864" i="6"/>
  <c r="E864" i="6"/>
  <c r="E923" i="6"/>
  <c r="D923" i="6"/>
  <c r="C923" i="6"/>
  <c r="G923" i="6"/>
  <c r="F923" i="6"/>
  <c r="C987" i="6"/>
  <c r="D1044" i="6"/>
  <c r="E1044" i="6"/>
  <c r="D1108" i="6"/>
  <c r="C1108" i="6"/>
  <c r="E1108" i="6"/>
  <c r="D1231" i="6"/>
  <c r="G1231" i="6"/>
  <c r="C1231" i="6"/>
  <c r="F1231" i="6"/>
  <c r="E1231" i="6"/>
  <c r="C684" i="6"/>
  <c r="G700" i="6"/>
  <c r="E700" i="6"/>
  <c r="C716" i="6"/>
  <c r="D716" i="6"/>
  <c r="G732" i="6"/>
  <c r="C732" i="6"/>
  <c r="D732" i="6"/>
  <c r="F732" i="6"/>
  <c r="E732" i="6"/>
  <c r="G748" i="6"/>
  <c r="E748" i="6"/>
  <c r="G764" i="6"/>
  <c r="E764" i="6"/>
  <c r="G780" i="6"/>
  <c r="C780" i="6"/>
  <c r="E780" i="6"/>
  <c r="G796" i="6"/>
  <c r="C796" i="6"/>
  <c r="D796" i="6"/>
  <c r="F796" i="6"/>
  <c r="E796" i="6"/>
  <c r="C881" i="6"/>
  <c r="E913" i="6"/>
  <c r="G913" i="6"/>
  <c r="E945" i="6"/>
  <c r="D945" i="6"/>
  <c r="G945" i="6"/>
  <c r="E977" i="6"/>
  <c r="F977" i="6"/>
  <c r="D977" i="6"/>
  <c r="C977" i="6"/>
  <c r="G977" i="6"/>
  <c r="D1009" i="6"/>
  <c r="E1164" i="6"/>
  <c r="C1164" i="6"/>
  <c r="C646" i="6"/>
  <c r="E646" i="6"/>
  <c r="G662" i="6"/>
  <c r="C662" i="6"/>
  <c r="F662" i="6"/>
  <c r="E662" i="6"/>
  <c r="D662" i="6"/>
  <c r="C678" i="6"/>
  <c r="G694" i="6"/>
  <c r="D694" i="6"/>
  <c r="G710" i="6"/>
  <c r="C710" i="6"/>
  <c r="F710" i="6"/>
  <c r="G726" i="6"/>
  <c r="C726" i="6"/>
  <c r="F726" i="6"/>
  <c r="E726" i="6"/>
  <c r="D726" i="6"/>
  <c r="G742" i="6"/>
  <c r="D742" i="6"/>
  <c r="G758" i="6"/>
  <c r="D758" i="6"/>
  <c r="G774" i="6"/>
  <c r="F774" i="6"/>
  <c r="D774" i="6"/>
  <c r="G790" i="6"/>
  <c r="C790" i="6"/>
  <c r="F790" i="6"/>
  <c r="E790" i="6"/>
  <c r="D790" i="6"/>
  <c r="F806" i="6"/>
  <c r="D822" i="6"/>
  <c r="E822" i="6"/>
  <c r="G838" i="6"/>
  <c r="C838" i="6"/>
  <c r="D854" i="6"/>
  <c r="G854" i="6"/>
  <c r="C854" i="6"/>
  <c r="F854" i="6"/>
  <c r="E854" i="6"/>
  <c r="C870" i="6"/>
  <c r="G890" i="6"/>
  <c r="F890" i="6"/>
  <c r="G922" i="6"/>
  <c r="C922" i="6"/>
  <c r="E922" i="6"/>
  <c r="G954" i="6"/>
  <c r="C954" i="6"/>
  <c r="E954" i="6"/>
  <c r="D954" i="6"/>
  <c r="F954" i="6"/>
  <c r="C986" i="6"/>
  <c r="G1018" i="6"/>
  <c r="D1048" i="6"/>
  <c r="G1048" i="6"/>
  <c r="F1048" i="6"/>
  <c r="D1080" i="6"/>
  <c r="C1080" i="6"/>
  <c r="F1080" i="6"/>
  <c r="D1112" i="6"/>
  <c r="G1112" i="6"/>
  <c r="C1112" i="6"/>
  <c r="F1112" i="6"/>
  <c r="E1112" i="6"/>
  <c r="D1157" i="6"/>
  <c r="C1223" i="6"/>
  <c r="E1342" i="6"/>
  <c r="D1342" i="6"/>
  <c r="C892" i="6"/>
  <c r="F908" i="6"/>
  <c r="G924" i="6"/>
  <c r="C924" i="6"/>
  <c r="E924" i="6"/>
  <c r="D940" i="6"/>
  <c r="C956" i="6"/>
  <c r="F956" i="6"/>
  <c r="G972" i="6"/>
  <c r="E972" i="6"/>
  <c r="G988" i="6"/>
  <c r="C988" i="6"/>
  <c r="D988" i="6"/>
  <c r="F988" i="6"/>
  <c r="E988" i="6"/>
  <c r="C1004" i="6"/>
  <c r="D1004" i="6"/>
  <c r="F1004" i="6"/>
  <c r="G1020" i="6"/>
  <c r="C1020" i="6"/>
  <c r="D1020" i="6"/>
  <c r="F1020" i="6"/>
  <c r="E1020" i="6"/>
  <c r="E1140" i="6"/>
  <c r="F1140" i="6"/>
  <c r="D1140" i="6"/>
  <c r="C1140" i="6"/>
  <c r="G1140" i="6"/>
  <c r="C1172" i="6"/>
  <c r="E1300" i="6"/>
  <c r="D1300" i="6"/>
  <c r="G1300" i="6"/>
  <c r="F1300" i="6"/>
  <c r="C1300" i="6"/>
  <c r="D809" i="6"/>
  <c r="F817" i="6"/>
  <c r="E817" i="6"/>
  <c r="G817" i="6"/>
  <c r="D817" i="6"/>
  <c r="C817" i="6"/>
  <c r="F825" i="6"/>
  <c r="E825" i="6"/>
  <c r="G825" i="6"/>
  <c r="D825" i="6"/>
  <c r="C825" i="6"/>
  <c r="F833" i="6"/>
  <c r="C833" i="6"/>
  <c r="E841" i="6"/>
  <c r="G849" i="6"/>
  <c r="F857" i="6"/>
  <c r="E857" i="6"/>
  <c r="G857" i="6"/>
  <c r="D857" i="6"/>
  <c r="C857" i="6"/>
  <c r="G865" i="6"/>
  <c r="F873" i="6"/>
  <c r="E873" i="6"/>
  <c r="D873" i="6"/>
  <c r="G886" i="6"/>
  <c r="D886" i="6"/>
  <c r="G902" i="6"/>
  <c r="D902" i="6"/>
  <c r="G918" i="6"/>
  <c r="F918" i="6"/>
  <c r="E918" i="6"/>
  <c r="G934" i="6"/>
  <c r="C934" i="6"/>
  <c r="F934" i="6"/>
  <c r="E934" i="6"/>
  <c r="D934" i="6"/>
  <c r="G950" i="6"/>
  <c r="C950" i="6"/>
  <c r="F950" i="6"/>
  <c r="E950" i="6"/>
  <c r="D950" i="6"/>
  <c r="G966" i="6"/>
  <c r="E966" i="6"/>
  <c r="D966" i="6"/>
  <c r="G982" i="6"/>
  <c r="C982" i="6"/>
  <c r="F982" i="6"/>
  <c r="E982" i="6"/>
  <c r="D982" i="6"/>
  <c r="F998" i="6"/>
  <c r="G1014" i="6"/>
  <c r="C1014" i="6"/>
  <c r="F1014" i="6"/>
  <c r="E1014" i="6"/>
  <c r="D1014" i="6"/>
  <c r="D1030" i="6"/>
  <c r="G1030" i="6"/>
  <c r="C1030" i="6"/>
  <c r="F1030" i="6"/>
  <c r="E1030" i="6"/>
  <c r="F1046" i="6"/>
  <c r="G1062" i="6"/>
  <c r="G1078" i="6"/>
  <c r="D1094" i="6"/>
  <c r="E1094" i="6"/>
  <c r="C1110" i="6"/>
  <c r="G1133" i="6"/>
  <c r="C1133" i="6"/>
  <c r="E1133" i="6"/>
  <c r="G1165" i="6"/>
  <c r="F1165" i="6"/>
  <c r="F1203" i="6"/>
  <c r="G1235" i="6"/>
  <c r="C1235" i="6"/>
  <c r="E1235" i="6"/>
  <c r="D1267" i="6"/>
  <c r="G1267" i="6"/>
  <c r="C1267" i="6"/>
  <c r="F1267" i="6"/>
  <c r="E1267" i="6"/>
  <c r="D1400" i="6"/>
  <c r="G1400" i="6"/>
  <c r="C1400" i="6"/>
  <c r="F1400" i="6"/>
  <c r="E1400" i="6"/>
  <c r="E1128" i="6"/>
  <c r="C1128" i="6"/>
  <c r="G1128" i="6"/>
  <c r="F1128" i="6"/>
  <c r="D1128" i="6"/>
  <c r="E1144" i="6"/>
  <c r="C1144" i="6"/>
  <c r="G1144" i="6"/>
  <c r="F1144" i="6"/>
  <c r="D1144" i="6"/>
  <c r="C1160" i="6"/>
  <c r="E1176" i="6"/>
  <c r="C1176" i="6"/>
  <c r="G1176" i="6"/>
  <c r="F1176" i="6"/>
  <c r="D1176" i="6"/>
  <c r="E1192" i="6"/>
  <c r="C1192" i="6"/>
  <c r="G1192" i="6"/>
  <c r="F1192" i="6"/>
  <c r="D1192" i="6"/>
  <c r="G1320" i="6"/>
  <c r="F1023" i="6"/>
  <c r="E1023" i="6"/>
  <c r="D1023" i="6"/>
  <c r="C1023" i="6"/>
  <c r="G1023" i="6"/>
  <c r="F1031" i="6"/>
  <c r="E1031" i="6"/>
  <c r="D1031" i="6"/>
  <c r="C1031" i="6"/>
  <c r="G1031" i="6"/>
  <c r="F1039" i="6"/>
  <c r="E1039" i="6"/>
  <c r="D1039" i="6"/>
  <c r="C1039" i="6"/>
  <c r="G1039" i="6"/>
  <c r="F1047" i="6"/>
  <c r="E1047" i="6"/>
  <c r="D1047" i="6"/>
  <c r="C1047" i="6"/>
  <c r="G1047" i="6"/>
  <c r="E1055" i="6"/>
  <c r="F1063" i="6"/>
  <c r="G1063" i="6"/>
  <c r="C1071" i="6"/>
  <c r="D1079" i="6"/>
  <c r="F1087" i="6"/>
  <c r="E1087" i="6"/>
  <c r="D1087" i="6"/>
  <c r="C1087" i="6"/>
  <c r="G1087" i="6"/>
  <c r="F1095" i="6"/>
  <c r="E1095" i="6"/>
  <c r="D1095" i="6"/>
  <c r="C1095" i="6"/>
  <c r="G1095" i="6"/>
  <c r="F1103" i="6"/>
  <c r="E1103" i="6"/>
  <c r="D1103" i="6"/>
  <c r="C1103" i="6"/>
  <c r="G1103" i="6"/>
  <c r="F1111" i="6"/>
  <c r="E1111" i="6"/>
  <c r="D1111" i="6"/>
  <c r="C1111" i="6"/>
  <c r="G1111" i="6"/>
  <c r="G1122" i="6"/>
  <c r="E1138" i="6"/>
  <c r="C1138" i="6"/>
  <c r="D1154" i="6"/>
  <c r="F1170" i="6"/>
  <c r="E1186" i="6"/>
  <c r="G1186" i="6"/>
  <c r="F1186" i="6"/>
  <c r="D1186" i="6"/>
  <c r="C1186" i="6"/>
  <c r="D1201" i="6"/>
  <c r="G1201" i="6"/>
  <c r="C1201" i="6"/>
  <c r="F1201" i="6"/>
  <c r="E1201" i="6"/>
  <c r="D1217" i="6"/>
  <c r="G1217" i="6"/>
  <c r="C1217" i="6"/>
  <c r="F1217" i="6"/>
  <c r="E1217" i="6"/>
  <c r="D1233" i="6"/>
  <c r="G1233" i="6"/>
  <c r="C1233" i="6"/>
  <c r="F1233" i="6"/>
  <c r="E1233" i="6"/>
  <c r="G1249" i="6"/>
  <c r="D1265" i="6"/>
  <c r="E1265" i="6"/>
  <c r="F1281" i="6"/>
  <c r="C1376" i="6"/>
  <c r="E1290" i="6"/>
  <c r="D1290" i="6"/>
  <c r="C1290" i="6"/>
  <c r="G1290" i="6"/>
  <c r="F1290" i="6"/>
  <c r="E1306" i="6"/>
  <c r="D1306" i="6"/>
  <c r="C1306" i="6"/>
  <c r="G1306" i="6"/>
  <c r="F1306" i="6"/>
  <c r="E1322" i="6"/>
  <c r="D1322" i="6"/>
  <c r="C1322" i="6"/>
  <c r="G1322" i="6"/>
  <c r="F1322" i="6"/>
  <c r="E1341" i="6"/>
  <c r="F1341" i="6"/>
  <c r="D1341" i="6"/>
  <c r="C1341" i="6"/>
  <c r="G1341" i="6"/>
  <c r="F1420" i="6"/>
  <c r="F1202" i="6"/>
  <c r="G1202" i="6"/>
  <c r="C1210" i="6"/>
  <c r="D1218" i="6"/>
  <c r="F1226" i="6"/>
  <c r="E1226" i="6"/>
  <c r="D1226" i="6"/>
  <c r="C1226" i="6"/>
  <c r="G1226" i="6"/>
  <c r="F1234" i="6"/>
  <c r="E1234" i="6"/>
  <c r="D1234" i="6"/>
  <c r="C1234" i="6"/>
  <c r="G1234" i="6"/>
  <c r="F1242" i="6"/>
  <c r="E1242" i="6"/>
  <c r="D1242" i="6"/>
  <c r="C1242" i="6"/>
  <c r="G1242" i="6"/>
  <c r="F1250" i="6"/>
  <c r="E1250" i="6"/>
  <c r="D1250" i="6"/>
  <c r="C1250" i="6"/>
  <c r="G1250" i="6"/>
  <c r="E1258" i="6"/>
  <c r="F1266" i="6"/>
  <c r="G1266" i="6"/>
  <c r="C1274" i="6"/>
  <c r="D1282" i="6"/>
  <c r="E1343" i="6"/>
  <c r="D1343" i="6"/>
  <c r="C1343" i="6"/>
  <c r="G1343" i="6"/>
  <c r="F1343" i="6"/>
  <c r="D1380" i="6"/>
  <c r="E1380" i="6"/>
  <c r="F1412" i="6"/>
  <c r="G1293" i="6"/>
  <c r="C1293" i="6"/>
  <c r="F1293" i="6"/>
  <c r="E1293" i="6"/>
  <c r="D1293" i="6"/>
  <c r="G1301" i="6"/>
  <c r="C1301" i="6"/>
  <c r="F1301" i="6"/>
  <c r="E1301" i="6"/>
  <c r="D1301" i="6"/>
  <c r="G1309" i="6"/>
  <c r="D1309" i="6"/>
  <c r="E1317" i="6"/>
  <c r="G1325" i="6"/>
  <c r="C1325" i="6"/>
  <c r="F1325" i="6"/>
  <c r="E1325" i="6"/>
  <c r="D1325" i="6"/>
  <c r="G1333" i="6"/>
  <c r="C1333" i="6"/>
  <c r="F1333" i="6"/>
  <c r="E1333" i="6"/>
  <c r="D1333" i="6"/>
  <c r="E1345" i="6"/>
  <c r="D1345" i="6"/>
  <c r="F1361" i="6"/>
  <c r="E1475" i="6"/>
  <c r="D1475" i="6"/>
  <c r="F1475" i="6"/>
  <c r="C1475" i="6"/>
  <c r="G1475" i="6"/>
  <c r="E1347" i="6"/>
  <c r="G1347" i="6"/>
  <c r="F1347" i="6"/>
  <c r="D1347" i="6"/>
  <c r="C1347" i="6"/>
  <c r="E1363" i="6"/>
  <c r="C1363" i="6"/>
  <c r="F1378" i="6"/>
  <c r="D1394" i="6"/>
  <c r="G1394" i="6"/>
  <c r="C1394" i="6"/>
  <c r="F1394" i="6"/>
  <c r="E1394" i="6"/>
  <c r="D1410" i="6"/>
  <c r="G1410" i="6"/>
  <c r="C1410" i="6"/>
  <c r="F1410" i="6"/>
  <c r="E1410" i="6"/>
  <c r="G1460" i="6"/>
  <c r="E1460" i="6"/>
  <c r="D1470" i="6"/>
  <c r="F1369" i="6"/>
  <c r="E1369" i="6"/>
  <c r="G1369" i="6"/>
  <c r="D1369" i="6"/>
  <c r="C1369" i="6"/>
  <c r="F1377" i="6"/>
  <c r="E1377" i="6"/>
  <c r="G1377" i="6"/>
  <c r="D1377" i="6"/>
  <c r="C1377" i="6"/>
  <c r="F1385" i="6"/>
  <c r="C1385" i="6"/>
  <c r="D1393" i="6"/>
  <c r="F1401" i="6"/>
  <c r="E1401" i="6"/>
  <c r="G1401" i="6"/>
  <c r="D1401" i="6"/>
  <c r="C1401" i="6"/>
  <c r="F1409" i="6"/>
  <c r="E1409" i="6"/>
  <c r="G1409" i="6"/>
  <c r="D1409" i="6"/>
  <c r="C1409" i="6"/>
  <c r="F1417" i="6"/>
  <c r="C1417" i="6"/>
  <c r="C1499" i="6"/>
  <c r="D1428" i="6"/>
  <c r="F1428" i="6"/>
  <c r="E1428" i="6"/>
  <c r="C1428" i="6"/>
  <c r="G1428" i="6"/>
  <c r="D1444" i="6"/>
  <c r="E1444" i="6"/>
  <c r="G1444" i="6"/>
  <c r="F1444" i="6"/>
  <c r="C1444" i="6"/>
  <c r="E1487" i="6"/>
  <c r="C1487" i="6"/>
  <c r="G1427" i="6"/>
  <c r="D1440" i="6"/>
  <c r="G1440" i="6"/>
  <c r="E1440" i="6"/>
  <c r="F1440" i="6"/>
  <c r="C1440" i="6"/>
  <c r="G1462" i="6"/>
  <c r="C1462" i="6"/>
  <c r="E1462" i="6"/>
  <c r="F1462" i="6"/>
  <c r="D1462" i="6"/>
  <c r="F1435" i="6"/>
  <c r="D1435" i="6"/>
  <c r="G1443" i="6"/>
  <c r="F1451" i="6"/>
  <c r="E1451" i="6"/>
  <c r="C1451" i="6"/>
  <c r="G1451" i="6"/>
  <c r="D1451" i="6"/>
  <c r="E1459" i="6"/>
  <c r="G1459" i="6"/>
  <c r="F1459" i="6"/>
  <c r="C1459" i="6"/>
  <c r="D1459" i="6"/>
  <c r="E1477" i="6"/>
  <c r="F1477" i="6"/>
  <c r="G1493" i="6"/>
  <c r="G1474" i="6"/>
  <c r="C1474" i="6"/>
  <c r="F1474" i="6"/>
  <c r="D1474" i="6"/>
  <c r="E1474" i="6"/>
  <c r="G1482" i="6"/>
  <c r="C1482" i="6"/>
  <c r="F1482" i="6"/>
  <c r="D1482" i="6"/>
  <c r="E1482" i="6"/>
  <c r="G1490" i="6"/>
  <c r="C1490" i="6"/>
  <c r="F1490" i="6"/>
  <c r="D1490" i="6"/>
  <c r="E1490" i="6"/>
  <c r="G1498" i="6"/>
  <c r="C1498" i="6"/>
  <c r="F1498" i="6"/>
  <c r="D1498" i="6"/>
  <c r="E1498" i="6"/>
  <c r="B10" i="3"/>
  <c r="E200" i="6" l="1"/>
  <c r="E302" i="6"/>
  <c r="F1018" i="6"/>
  <c r="D739" i="6"/>
  <c r="G1492" i="6"/>
  <c r="E1492" i="6"/>
  <c r="D800" i="6"/>
  <c r="G800" i="6"/>
  <c r="E154" i="6"/>
  <c r="D154" i="6"/>
  <c r="E500" i="6"/>
  <c r="D500" i="6"/>
  <c r="C499" i="6"/>
  <c r="G499" i="6"/>
  <c r="D119" i="6"/>
  <c r="E119" i="6"/>
  <c r="D215" i="6"/>
  <c r="C215" i="6"/>
  <c r="G279" i="6"/>
  <c r="C279" i="6"/>
  <c r="G375" i="6"/>
  <c r="D375" i="6"/>
  <c r="F439" i="6"/>
  <c r="G439" i="6"/>
  <c r="D439" i="6"/>
  <c r="D549" i="6"/>
  <c r="E549" i="6"/>
  <c r="G549" i="6"/>
  <c r="F549" i="6"/>
  <c r="D613" i="6"/>
  <c r="F613" i="6"/>
  <c r="G613" i="6"/>
  <c r="E613" i="6"/>
  <c r="E757" i="6"/>
  <c r="C757" i="6"/>
  <c r="F757" i="6"/>
  <c r="G751" i="6"/>
  <c r="D751" i="6"/>
  <c r="E1270" i="6"/>
  <c r="F1270" i="6"/>
  <c r="D1270" i="6"/>
  <c r="G1270" i="6"/>
  <c r="C280" i="6"/>
  <c r="D280" i="6"/>
  <c r="E280" i="6"/>
  <c r="F280" i="6"/>
  <c r="D134" i="6"/>
  <c r="E134" i="6"/>
  <c r="E428" i="6"/>
  <c r="C428" i="6"/>
  <c r="F428" i="6"/>
  <c r="D428" i="6"/>
  <c r="G603" i="6"/>
  <c r="F603" i="6"/>
  <c r="E603" i="6"/>
  <c r="E1017" i="6"/>
  <c r="C1017" i="6"/>
  <c r="D1017" i="6"/>
  <c r="F673" i="6"/>
  <c r="E673" i="6"/>
  <c r="D673" i="6"/>
  <c r="D604" i="6"/>
  <c r="G604" i="6"/>
  <c r="E604" i="6"/>
  <c r="D844" i="6"/>
  <c r="E844" i="6"/>
  <c r="C844" i="6"/>
  <c r="C81" i="6"/>
  <c r="E81" i="6"/>
  <c r="C145" i="6"/>
  <c r="E145" i="6"/>
  <c r="E177" i="6"/>
  <c r="C177" i="6"/>
  <c r="F337" i="6"/>
  <c r="G337" i="6"/>
  <c r="D337" i="6"/>
  <c r="C401" i="6"/>
  <c r="E401" i="6"/>
  <c r="F470" i="6"/>
  <c r="C470" i="6"/>
  <c r="C534" i="6"/>
  <c r="F534" i="6"/>
  <c r="G752" i="6"/>
  <c r="F752" i="6"/>
  <c r="E752" i="6"/>
  <c r="C709" i="6"/>
  <c r="F709" i="6"/>
  <c r="E1116" i="6"/>
  <c r="C1116" i="6"/>
  <c r="E721" i="6"/>
  <c r="C721" i="6"/>
  <c r="C519" i="6"/>
  <c r="E519" i="6"/>
  <c r="G898" i="6"/>
  <c r="F898" i="6"/>
  <c r="E898" i="6"/>
  <c r="D850" i="6"/>
  <c r="E850" i="6"/>
  <c r="C850" i="6"/>
  <c r="G716" i="6"/>
  <c r="E716" i="6"/>
  <c r="F437" i="6"/>
  <c r="G437" i="6"/>
  <c r="D437" i="6"/>
  <c r="D1100" i="6"/>
  <c r="E1100" i="6"/>
  <c r="C1100" i="6"/>
  <c r="C88" i="6"/>
  <c r="D88" i="6"/>
  <c r="G452" i="6"/>
  <c r="C452" i="6"/>
  <c r="D382" i="6"/>
  <c r="E382" i="6"/>
  <c r="C87" i="6"/>
  <c r="D87" i="6"/>
  <c r="F247" i="6"/>
  <c r="D247" i="6"/>
  <c r="G311" i="6"/>
  <c r="D311" i="6"/>
  <c r="G343" i="6"/>
  <c r="C343" i="6"/>
  <c r="G407" i="6"/>
  <c r="C407" i="6"/>
  <c r="D485" i="6"/>
  <c r="G485" i="6"/>
  <c r="C485" i="6"/>
  <c r="E485" i="6"/>
  <c r="E937" i="6"/>
  <c r="D937" i="6"/>
  <c r="E699" i="6"/>
  <c r="C699" i="6"/>
  <c r="D332" i="6"/>
  <c r="E332" i="6"/>
  <c r="C332" i="6"/>
  <c r="E49" i="6"/>
  <c r="D49" i="6"/>
  <c r="E124" i="6"/>
  <c r="D124" i="6"/>
  <c r="F432" i="6"/>
  <c r="E432" i="6"/>
  <c r="D432" i="6"/>
  <c r="C432" i="6"/>
  <c r="D278" i="6"/>
  <c r="C278" i="6"/>
  <c r="F278" i="6"/>
  <c r="E278" i="6"/>
  <c r="E475" i="6"/>
  <c r="D475" i="6"/>
  <c r="G475" i="6"/>
  <c r="D434" i="6"/>
  <c r="G434" i="6"/>
  <c r="E434" i="6"/>
  <c r="C538" i="6"/>
  <c r="F538" i="6"/>
  <c r="G538" i="6"/>
  <c r="G476" i="6"/>
  <c r="F476" i="6"/>
  <c r="D476" i="6"/>
  <c r="E714" i="6"/>
  <c r="G714" i="6"/>
  <c r="D714" i="6"/>
  <c r="G1068" i="6"/>
  <c r="F1068" i="6"/>
  <c r="D1068" i="6"/>
  <c r="E113" i="6"/>
  <c r="C113" i="6"/>
  <c r="C209" i="6"/>
  <c r="E209" i="6"/>
  <c r="E273" i="6"/>
  <c r="C273" i="6"/>
  <c r="C305" i="6"/>
  <c r="E305" i="6"/>
  <c r="G369" i="6"/>
  <c r="D369" i="6"/>
  <c r="F369" i="6"/>
  <c r="F433" i="6"/>
  <c r="G433" i="6"/>
  <c r="D433" i="6"/>
  <c r="F598" i="6"/>
  <c r="C598" i="6"/>
  <c r="G631" i="6"/>
  <c r="D631" i="6"/>
  <c r="F631" i="6"/>
  <c r="D703" i="6"/>
  <c r="G703" i="6"/>
  <c r="G1146" i="6"/>
  <c r="C1146" i="6"/>
  <c r="F1146" i="6"/>
  <c r="E406" i="6"/>
  <c r="F406" i="6"/>
  <c r="E787" i="6"/>
  <c r="F787" i="6"/>
  <c r="E651" i="6"/>
  <c r="F651" i="6"/>
  <c r="C651" i="6"/>
  <c r="F968" i="6"/>
  <c r="G968" i="6"/>
  <c r="D968" i="6"/>
  <c r="G646" i="6"/>
  <c r="F646" i="6"/>
  <c r="D838" i="6"/>
  <c r="E838" i="6"/>
  <c r="C1096" i="6"/>
  <c r="F1096" i="6"/>
  <c r="D1096" i="6"/>
  <c r="G1004" i="6"/>
  <c r="E1004" i="6"/>
  <c r="D1178" i="6"/>
  <c r="F1178" i="6"/>
  <c r="E1178" i="6"/>
  <c r="C1402" i="6"/>
  <c r="D1402" i="6"/>
  <c r="F1402" i="6"/>
  <c r="D969" i="6"/>
  <c r="F969" i="6"/>
  <c r="C969" i="6"/>
  <c r="C495" i="6"/>
  <c r="F495" i="6"/>
  <c r="D495" i="6"/>
  <c r="E559" i="6"/>
  <c r="C559" i="6"/>
  <c r="F623" i="6"/>
  <c r="E623" i="6"/>
  <c r="G623" i="6"/>
  <c r="D715" i="6"/>
  <c r="G715" i="6"/>
  <c r="D840" i="6"/>
  <c r="E840" i="6"/>
  <c r="C840" i="6"/>
  <c r="C1060" i="6"/>
  <c r="D1060" i="6"/>
  <c r="E1060" i="6"/>
  <c r="C701" i="6"/>
  <c r="F701" i="6"/>
  <c r="F765" i="6"/>
  <c r="E765" i="6"/>
  <c r="G765" i="6"/>
  <c r="G920" i="6"/>
  <c r="D920" i="6"/>
  <c r="F920" i="6"/>
  <c r="F1171" i="6"/>
  <c r="G1171" i="6"/>
  <c r="D1171" i="6"/>
  <c r="G695" i="6"/>
  <c r="C695" i="6"/>
  <c r="F695" i="6"/>
  <c r="G899" i="6"/>
  <c r="C899" i="6"/>
  <c r="E899" i="6"/>
  <c r="G956" i="6"/>
  <c r="E956" i="6"/>
  <c r="C1099" i="6"/>
  <c r="F1099" i="6"/>
  <c r="D1099" i="6"/>
  <c r="C1297" i="6"/>
  <c r="E1297" i="6"/>
  <c r="G1297" i="6"/>
  <c r="D645" i="6"/>
  <c r="C645" i="6"/>
  <c r="F645" i="6"/>
  <c r="E761" i="6"/>
  <c r="G761" i="6"/>
  <c r="F761" i="6"/>
  <c r="C761" i="6"/>
  <c r="D1235" i="6"/>
  <c r="F1133" i="6"/>
  <c r="C966" i="6"/>
  <c r="D918" i="6"/>
  <c r="C873" i="6"/>
  <c r="D956" i="6"/>
  <c r="F924" i="6"/>
  <c r="G1342" i="6"/>
  <c r="E1080" i="6"/>
  <c r="E1048" i="6"/>
  <c r="F922" i="6"/>
  <c r="F838" i="6"/>
  <c r="E774" i="6"/>
  <c r="D710" i="6"/>
  <c r="D646" i="6"/>
  <c r="C945" i="6"/>
  <c r="F780" i="6"/>
  <c r="F716" i="6"/>
  <c r="F1108" i="6"/>
  <c r="F864" i="6"/>
  <c r="E738" i="6"/>
  <c r="G632" i="6"/>
  <c r="E568" i="6"/>
  <c r="C504" i="6"/>
  <c r="F1008" i="6"/>
  <c r="F745" i="6"/>
  <c r="G637" i="6"/>
  <c r="E573" i="6"/>
  <c r="D509" i="6"/>
  <c r="C451" i="6"/>
  <c r="G419" i="6"/>
  <c r="D387" i="6"/>
  <c r="F355" i="6"/>
  <c r="C323" i="6"/>
  <c r="G291" i="6"/>
  <c r="D259" i="6"/>
  <c r="C227" i="6"/>
  <c r="D195" i="6"/>
  <c r="C131" i="6"/>
  <c r="C99" i="6"/>
  <c r="D946" i="6"/>
  <c r="D721" i="6"/>
  <c r="F547" i="6"/>
  <c r="F1187" i="6"/>
  <c r="G609" i="6"/>
  <c r="E481" i="6"/>
  <c r="C672" i="6"/>
  <c r="F548" i="6"/>
  <c r="E350" i="6"/>
  <c r="G352" i="6"/>
  <c r="D68" i="6"/>
  <c r="E35" i="6"/>
  <c r="C36" i="6"/>
  <c r="D104" i="6"/>
  <c r="E826" i="6"/>
  <c r="C759" i="6"/>
  <c r="F1060" i="6"/>
  <c r="G840" i="6"/>
  <c r="F850" i="6"/>
  <c r="E751" i="6"/>
  <c r="E703" i="6"/>
  <c r="C968" i="6"/>
  <c r="G757" i="6"/>
  <c r="G699" i="6"/>
  <c r="D519" i="6"/>
  <c r="F800" i="6"/>
  <c r="E598" i="6"/>
  <c r="E534" i="6"/>
  <c r="E470" i="6"/>
  <c r="G401" i="6"/>
  <c r="C369" i="6"/>
  <c r="G305" i="6"/>
  <c r="G273" i="6"/>
  <c r="C476" i="6"/>
  <c r="G673" i="6"/>
  <c r="G428" i="6"/>
  <c r="G432" i="6"/>
  <c r="C154" i="6"/>
  <c r="D498" i="6"/>
  <c r="F899" i="6"/>
  <c r="E695" i="6"/>
  <c r="D1146" i="6"/>
  <c r="E1099" i="6"/>
  <c r="G1096" i="6"/>
  <c r="D761" i="6"/>
  <c r="C613" i="6"/>
  <c r="F485" i="6"/>
  <c r="D407" i="6"/>
  <c r="D343" i="6"/>
  <c r="D279" i="6"/>
  <c r="C920" i="6"/>
  <c r="E969" i="6"/>
  <c r="F1342" i="6"/>
  <c r="D36" i="6"/>
  <c r="C10" i="6"/>
  <c r="D1492" i="6"/>
  <c r="F1100" i="6"/>
  <c r="G561" i="6"/>
  <c r="D456" i="6"/>
  <c r="C200" i="6"/>
  <c r="E10" i="6"/>
  <c r="F1492" i="6"/>
  <c r="C826" i="6"/>
  <c r="G759" i="6"/>
  <c r="C1171" i="6"/>
  <c r="G701" i="6"/>
  <c r="C715" i="6"/>
  <c r="F559" i="6"/>
  <c r="E437" i="6"/>
  <c r="G1100" i="6"/>
  <c r="E88" i="6"/>
  <c r="C751" i="6"/>
  <c r="C703" i="6"/>
  <c r="G709" i="6"/>
  <c r="D898" i="6"/>
  <c r="E631" i="6"/>
  <c r="G519" i="6"/>
  <c r="G937" i="6"/>
  <c r="G651" i="6"/>
  <c r="D598" i="6"/>
  <c r="D534" i="6"/>
  <c r="D470" i="6"/>
  <c r="E433" i="6"/>
  <c r="D401" i="6"/>
  <c r="E337" i="6"/>
  <c r="D305" i="6"/>
  <c r="D273" i="6"/>
  <c r="C241" i="6"/>
  <c r="E1068" i="6"/>
  <c r="F844" i="6"/>
  <c r="C714" i="6"/>
  <c r="C604" i="6"/>
  <c r="D538" i="6"/>
  <c r="C434" i="6"/>
  <c r="F1017" i="6"/>
  <c r="D603" i="6"/>
  <c r="C475" i="6"/>
  <c r="G278" i="6"/>
  <c r="C134" i="6"/>
  <c r="G280" i="6"/>
  <c r="C124" i="6"/>
  <c r="C49" i="6"/>
  <c r="D17" i="6"/>
  <c r="G332" i="6"/>
  <c r="E290" i="6"/>
  <c r="D765" i="6"/>
  <c r="D623" i="6"/>
  <c r="G1402" i="6"/>
  <c r="F1297" i="6"/>
  <c r="C1270" i="6"/>
  <c r="G1178" i="6"/>
  <c r="G645" i="6"/>
  <c r="C549" i="6"/>
  <c r="C439" i="6"/>
  <c r="C375" i="6"/>
  <c r="C311" i="6"/>
  <c r="C247" i="6"/>
  <c r="E215" i="6"/>
  <c r="D183" i="6"/>
  <c r="E151" i="6"/>
  <c r="C119" i="6"/>
  <c r="D1166" i="6"/>
  <c r="D148" i="6"/>
  <c r="G495" i="6"/>
  <c r="E846" i="6"/>
  <c r="D718" i="6"/>
  <c r="G961" i="6"/>
  <c r="E724" i="6"/>
  <c r="F891" i="6"/>
  <c r="C640" i="6"/>
  <c r="C512" i="6"/>
  <c r="F1484" i="6"/>
  <c r="E1484" i="6"/>
  <c r="G1484" i="6"/>
  <c r="C1484" i="6"/>
  <c r="D1484" i="6"/>
  <c r="F373" i="6"/>
  <c r="E373" i="6"/>
  <c r="D373" i="6"/>
  <c r="G373" i="6"/>
  <c r="C373" i="6"/>
  <c r="E117" i="6"/>
  <c r="C117" i="6"/>
  <c r="D117" i="6"/>
  <c r="F466" i="6"/>
  <c r="D466" i="6"/>
  <c r="G466" i="6"/>
  <c r="E466" i="6"/>
  <c r="C21" i="6"/>
  <c r="E21" i="6"/>
  <c r="E6" i="6"/>
  <c r="D6" i="6"/>
  <c r="C6" i="6"/>
  <c r="D324" i="6"/>
  <c r="E324" i="6"/>
  <c r="G324" i="6"/>
  <c r="C324" i="6"/>
  <c r="F324" i="6"/>
  <c r="C4" i="6"/>
  <c r="E4" i="6"/>
  <c r="D4" i="6"/>
  <c r="E368" i="6"/>
  <c r="G368" i="6"/>
  <c r="D368" i="6"/>
  <c r="C368" i="6"/>
  <c r="G366" i="6"/>
  <c r="F366" i="6"/>
  <c r="D366" i="6"/>
  <c r="E366" i="6"/>
  <c r="C366" i="6"/>
  <c r="G698" i="6"/>
  <c r="C698" i="6"/>
  <c r="D698" i="6"/>
  <c r="E698" i="6"/>
  <c r="G625" i="6"/>
  <c r="F625" i="6"/>
  <c r="E625" i="6"/>
  <c r="C625" i="6"/>
  <c r="D563" i="6"/>
  <c r="G563" i="6"/>
  <c r="E563" i="6"/>
  <c r="C563" i="6"/>
  <c r="F563" i="6"/>
  <c r="F785" i="6"/>
  <c r="C785" i="6"/>
  <c r="D785" i="6"/>
  <c r="E785" i="6"/>
  <c r="G785" i="6"/>
  <c r="C803" i="6"/>
  <c r="G803" i="6"/>
  <c r="E803" i="6"/>
  <c r="F803" i="6"/>
  <c r="D803" i="6"/>
  <c r="C103" i="6"/>
  <c r="E103" i="6"/>
  <c r="D103" i="6"/>
  <c r="D135" i="6"/>
  <c r="C135" i="6"/>
  <c r="E135" i="6"/>
  <c r="D167" i="6"/>
  <c r="E167" i="6"/>
  <c r="C167" i="6"/>
  <c r="E199" i="6"/>
  <c r="C199" i="6"/>
  <c r="D199" i="6"/>
  <c r="E231" i="6"/>
  <c r="D231" i="6"/>
  <c r="G263" i="6"/>
  <c r="C263" i="6"/>
  <c r="F263" i="6"/>
  <c r="E263" i="6"/>
  <c r="D263" i="6"/>
  <c r="F295" i="6"/>
  <c r="C295" i="6"/>
  <c r="E295" i="6"/>
  <c r="D295" i="6"/>
  <c r="G295" i="6"/>
  <c r="C327" i="6"/>
  <c r="F327" i="6"/>
  <c r="D327" i="6"/>
  <c r="G327" i="6"/>
  <c r="E327" i="6"/>
  <c r="C359" i="6"/>
  <c r="D359" i="6"/>
  <c r="G359" i="6"/>
  <c r="F359" i="6"/>
  <c r="E359" i="6"/>
  <c r="G391" i="6"/>
  <c r="D391" i="6"/>
  <c r="C391" i="6"/>
  <c r="F391" i="6"/>
  <c r="E391" i="6"/>
  <c r="E423" i="6"/>
  <c r="G423" i="6"/>
  <c r="C423" i="6"/>
  <c r="F423" i="6"/>
  <c r="D423" i="6"/>
  <c r="F455" i="6"/>
  <c r="G455" i="6"/>
  <c r="C455" i="6"/>
  <c r="E455" i="6"/>
  <c r="D455" i="6"/>
  <c r="G517" i="6"/>
  <c r="E517" i="6"/>
  <c r="C517" i="6"/>
  <c r="D517" i="6"/>
  <c r="F517" i="6"/>
  <c r="D581" i="6"/>
  <c r="E581" i="6"/>
  <c r="G581" i="6"/>
  <c r="C581" i="6"/>
  <c r="F581" i="6"/>
  <c r="E491" i="6"/>
  <c r="D491" i="6"/>
  <c r="G491" i="6"/>
  <c r="F491" i="6"/>
  <c r="C491" i="6"/>
  <c r="C466" i="6"/>
  <c r="E741" i="6"/>
  <c r="D741" i="6"/>
  <c r="G741" i="6"/>
  <c r="F741" i="6"/>
  <c r="C741" i="6"/>
  <c r="D245" i="6"/>
  <c r="F245" i="6"/>
  <c r="G245" i="6"/>
  <c r="E245" i="6"/>
  <c r="C245" i="6"/>
  <c r="E730" i="6"/>
  <c r="G730" i="6"/>
  <c r="C730" i="6"/>
  <c r="F730" i="6"/>
  <c r="G354" i="6"/>
  <c r="C354" i="6"/>
  <c r="F354" i="6"/>
  <c r="E354" i="6"/>
  <c r="D354" i="6"/>
  <c r="C90" i="6"/>
  <c r="D90" i="6"/>
  <c r="E90" i="6"/>
  <c r="D72" i="6"/>
  <c r="E72" i="6"/>
  <c r="C72" i="6"/>
  <c r="C40" i="6"/>
  <c r="E40" i="6"/>
  <c r="D40" i="6"/>
  <c r="D212" i="6"/>
  <c r="C212" i="6"/>
  <c r="E212" i="6"/>
  <c r="D222" i="6"/>
  <c r="C222" i="6"/>
  <c r="E222" i="6"/>
  <c r="C564" i="6"/>
  <c r="D564" i="6"/>
  <c r="F564" i="6"/>
  <c r="G564" i="6"/>
  <c r="E564" i="6"/>
  <c r="E497" i="6"/>
  <c r="D497" i="6"/>
  <c r="C497" i="6"/>
  <c r="F497" i="6"/>
  <c r="G497" i="6"/>
  <c r="G978" i="6"/>
  <c r="E978" i="6"/>
  <c r="C978" i="6"/>
  <c r="D978" i="6"/>
  <c r="F542" i="6"/>
  <c r="C542" i="6"/>
  <c r="G542" i="6"/>
  <c r="D542" i="6"/>
  <c r="E542" i="6"/>
  <c r="F554" i="6"/>
  <c r="D554" i="6"/>
  <c r="C554" i="6"/>
  <c r="G554" i="6"/>
  <c r="C218" i="6"/>
  <c r="D218" i="6"/>
  <c r="E218" i="6"/>
  <c r="D232" i="6"/>
  <c r="E232" i="6"/>
  <c r="C232" i="6"/>
  <c r="D7" i="6"/>
  <c r="C7" i="6"/>
  <c r="E7" i="6"/>
  <c r="D39" i="6"/>
  <c r="C39" i="6"/>
  <c r="E39" i="6"/>
  <c r="D84" i="6"/>
  <c r="C84" i="6"/>
  <c r="E84" i="6"/>
  <c r="E94" i="6"/>
  <c r="C94" i="6"/>
  <c r="D94" i="6"/>
  <c r="E252" i="6"/>
  <c r="F252" i="6"/>
  <c r="D252" i="6"/>
  <c r="G252" i="6"/>
  <c r="C252" i="6"/>
  <c r="D414" i="6"/>
  <c r="F414" i="6"/>
  <c r="C414" i="6"/>
  <c r="E414" i="6"/>
  <c r="G414" i="6"/>
  <c r="E256" i="6"/>
  <c r="G256" i="6"/>
  <c r="C256" i="6"/>
  <c r="D256" i="6"/>
  <c r="F256" i="6"/>
  <c r="C71" i="6"/>
  <c r="E71" i="6"/>
  <c r="D71" i="6"/>
  <c r="E554" i="6"/>
  <c r="G1028" i="6"/>
  <c r="D1028" i="6"/>
  <c r="C1028" i="6"/>
  <c r="F1028" i="6"/>
  <c r="D985" i="6"/>
  <c r="G985" i="6"/>
  <c r="E985" i="6"/>
  <c r="C985" i="6"/>
  <c r="C188" i="6"/>
  <c r="E188" i="6"/>
  <c r="D188" i="6"/>
  <c r="D70" i="6"/>
  <c r="C70" i="6"/>
  <c r="E70" i="6"/>
  <c r="G539" i="6"/>
  <c r="F539" i="6"/>
  <c r="C539" i="6"/>
  <c r="E539" i="6"/>
  <c r="D539" i="6"/>
  <c r="E992" i="6"/>
  <c r="G992" i="6"/>
  <c r="D992" i="6"/>
  <c r="C992" i="6"/>
  <c r="F992" i="6"/>
  <c r="G939" i="6"/>
  <c r="E939" i="6"/>
  <c r="F939" i="6"/>
  <c r="D939" i="6"/>
  <c r="C939" i="6"/>
  <c r="E225" i="6"/>
  <c r="D225" i="6"/>
  <c r="C225" i="6"/>
  <c r="C353" i="6"/>
  <c r="F353" i="6"/>
  <c r="E353" i="6"/>
  <c r="G353" i="6"/>
  <c r="F502" i="6"/>
  <c r="E502" i="6"/>
  <c r="C502" i="6"/>
  <c r="G502" i="6"/>
  <c r="F856" i="6"/>
  <c r="G856" i="6"/>
  <c r="C856" i="6"/>
  <c r="E856" i="6"/>
  <c r="E392" i="6"/>
  <c r="C392" i="6"/>
  <c r="D392" i="6"/>
  <c r="G392" i="6"/>
  <c r="E19" i="6"/>
  <c r="D19" i="6"/>
  <c r="C51" i="6"/>
  <c r="D51" i="6"/>
  <c r="E51" i="6"/>
  <c r="G286" i="6"/>
  <c r="E286" i="6"/>
  <c r="F286" i="6"/>
  <c r="D286" i="6"/>
  <c r="C612" i="6"/>
  <c r="G612" i="6"/>
  <c r="E612" i="6"/>
  <c r="F612" i="6"/>
  <c r="D689" i="6"/>
  <c r="G689" i="6"/>
  <c r="E689" i="6"/>
  <c r="E611" i="6"/>
  <c r="D611" i="6"/>
  <c r="C852" i="6"/>
  <c r="F852" i="6"/>
  <c r="D115" i="6"/>
  <c r="C115" i="6"/>
  <c r="C725" i="6"/>
  <c r="G725" i="6"/>
  <c r="F725" i="6"/>
  <c r="D725" i="6"/>
  <c r="E1340" i="6"/>
  <c r="G1340" i="6"/>
  <c r="D1340" i="6"/>
  <c r="C1340" i="6"/>
  <c r="F1340" i="6"/>
  <c r="C591" i="6"/>
  <c r="F591" i="6"/>
  <c r="E591" i="6"/>
  <c r="G1263" i="6"/>
  <c r="C1263" i="6"/>
  <c r="F1263" i="6"/>
  <c r="D1263" i="6"/>
  <c r="E1263" i="6"/>
  <c r="C663" i="6"/>
  <c r="F663" i="6"/>
  <c r="E663" i="6"/>
  <c r="D663" i="6"/>
  <c r="C858" i="6"/>
  <c r="F858" i="6"/>
  <c r="D858" i="6"/>
  <c r="E858" i="6"/>
  <c r="C697" i="6"/>
  <c r="F697" i="6"/>
  <c r="D697" i="6"/>
  <c r="G697" i="6"/>
  <c r="E697" i="6"/>
  <c r="D608" i="6"/>
  <c r="F608" i="6"/>
  <c r="C608" i="6"/>
  <c r="E608" i="6"/>
  <c r="G608" i="6"/>
  <c r="F692" i="6"/>
  <c r="E692" i="6"/>
  <c r="G692" i="6"/>
  <c r="C692" i="6"/>
  <c r="D692" i="6"/>
  <c r="E686" i="6"/>
  <c r="G686" i="6"/>
  <c r="C686" i="6"/>
  <c r="F686" i="6"/>
  <c r="D686" i="6"/>
  <c r="C1002" i="6"/>
  <c r="E1002" i="6"/>
  <c r="D1002" i="6"/>
  <c r="G1002" i="6"/>
  <c r="F1002" i="6"/>
  <c r="E1051" i="6"/>
  <c r="D1051" i="6"/>
  <c r="C1051" i="6"/>
  <c r="F1051" i="6"/>
  <c r="E909" i="6"/>
  <c r="D909" i="6"/>
  <c r="C909" i="6"/>
  <c r="G909" i="6"/>
  <c r="F909" i="6"/>
  <c r="F851" i="6"/>
  <c r="G851" i="6"/>
  <c r="E851" i="6"/>
  <c r="D851" i="6"/>
  <c r="F1082" i="6"/>
  <c r="D1082" i="6"/>
  <c r="E1082" i="6"/>
  <c r="G1082" i="6"/>
  <c r="C1082" i="6"/>
  <c r="F1337" i="6"/>
  <c r="E1337" i="6"/>
  <c r="D1337" i="6"/>
  <c r="C1337" i="6"/>
  <c r="G1337" i="6"/>
  <c r="C1012" i="6"/>
  <c r="D1012" i="6"/>
  <c r="F1012" i="6"/>
  <c r="E1012" i="6"/>
  <c r="G1012" i="6"/>
  <c r="F869" i="6"/>
  <c r="C869" i="6"/>
  <c r="E869" i="6"/>
  <c r="G869" i="6"/>
  <c r="D869" i="6"/>
  <c r="G1117" i="6"/>
  <c r="F1117" i="6"/>
  <c r="C1117" i="6"/>
  <c r="E1117" i="6"/>
  <c r="D1117" i="6"/>
  <c r="D1194" i="6"/>
  <c r="E1194" i="6"/>
  <c r="C1194" i="6"/>
  <c r="G1194" i="6"/>
  <c r="F1194" i="6"/>
  <c r="G1298" i="6"/>
  <c r="E1298" i="6"/>
  <c r="F1298" i="6"/>
  <c r="D1298" i="6"/>
  <c r="C1298" i="6"/>
  <c r="D1439" i="6"/>
  <c r="F1439" i="6"/>
  <c r="G1439" i="6"/>
  <c r="C1439" i="6"/>
  <c r="E1439" i="6"/>
  <c r="F1163" i="6"/>
  <c r="E1163" i="6"/>
  <c r="G1163" i="6"/>
  <c r="D1163" i="6"/>
  <c r="F959" i="6"/>
  <c r="D959" i="6"/>
  <c r="E959" i="6"/>
  <c r="C959" i="6"/>
  <c r="E1190" i="6"/>
  <c r="F1190" i="6"/>
  <c r="D1190" i="6"/>
  <c r="C1190" i="6"/>
  <c r="C1424" i="6"/>
  <c r="D1424" i="6"/>
  <c r="G1424" i="6"/>
  <c r="F1424" i="6"/>
  <c r="E1424" i="6"/>
  <c r="F1109" i="6"/>
  <c r="C1109" i="6"/>
  <c r="E1109" i="6"/>
  <c r="G1109" i="6"/>
  <c r="G1334" i="6"/>
  <c r="F1334" i="6"/>
  <c r="E1334" i="6"/>
  <c r="D1334" i="6"/>
  <c r="G1291" i="6"/>
  <c r="D1291" i="6"/>
  <c r="C1291" i="6"/>
  <c r="F1291" i="6"/>
  <c r="F1367" i="6"/>
  <c r="G1367" i="6"/>
  <c r="E1367" i="6"/>
  <c r="D1367" i="6"/>
  <c r="F1449" i="6"/>
  <c r="C1449" i="6"/>
  <c r="G1449" i="6"/>
  <c r="D1449" i="6"/>
  <c r="G1494" i="6"/>
  <c r="E1494" i="6"/>
  <c r="C1494" i="6"/>
  <c r="F1494" i="6"/>
  <c r="D1494" i="6"/>
  <c r="C1161" i="6"/>
  <c r="F1161" i="6"/>
  <c r="E1161" i="6"/>
  <c r="G1161" i="6"/>
  <c r="E1212" i="6"/>
  <c r="G1212" i="6"/>
  <c r="D1212" i="6"/>
  <c r="F1212" i="6"/>
  <c r="C1212" i="6"/>
  <c r="F1319" i="6"/>
  <c r="E1319" i="6"/>
  <c r="G1319" i="6"/>
  <c r="D1319" i="6"/>
  <c r="D1395" i="6"/>
  <c r="C1395" i="6"/>
  <c r="F1395" i="6"/>
  <c r="G1395" i="6"/>
  <c r="E1497" i="6"/>
  <c r="C1497" i="6"/>
  <c r="D1497" i="6"/>
  <c r="F1497" i="6"/>
  <c r="G1497" i="6"/>
  <c r="G301" i="6"/>
  <c r="D301" i="6"/>
  <c r="C301" i="6"/>
  <c r="F301" i="6"/>
  <c r="E301" i="6"/>
  <c r="E889" i="6"/>
  <c r="C889" i="6"/>
  <c r="F889" i="6"/>
  <c r="D889" i="6"/>
  <c r="D108" i="6"/>
  <c r="C108" i="6"/>
  <c r="E62" i="6"/>
  <c r="D62" i="6"/>
  <c r="C62" i="6"/>
  <c r="G282" i="6"/>
  <c r="E282" i="6"/>
  <c r="F282" i="6"/>
  <c r="D282" i="6"/>
  <c r="C282" i="6"/>
  <c r="C146" i="6"/>
  <c r="D146" i="6"/>
  <c r="E176" i="6"/>
  <c r="C176" i="6"/>
  <c r="D176" i="6"/>
  <c r="E32" i="6"/>
  <c r="D32" i="6"/>
  <c r="B4" i="3"/>
  <c r="C4" i="3"/>
  <c r="F574" i="6"/>
  <c r="E574" i="6"/>
  <c r="D574" i="6"/>
  <c r="C574" i="6"/>
  <c r="G574" i="6"/>
  <c r="F389" i="6"/>
  <c r="E389" i="6"/>
  <c r="G389" i="6"/>
  <c r="D389" i="6"/>
  <c r="C389" i="6"/>
  <c r="D261" i="6"/>
  <c r="G261" i="6"/>
  <c r="E261" i="6"/>
  <c r="F261" i="6"/>
  <c r="C261" i="6"/>
  <c r="C133" i="6"/>
  <c r="D133" i="6"/>
  <c r="E133" i="6"/>
  <c r="C794" i="6"/>
  <c r="E794" i="6"/>
  <c r="D794" i="6"/>
  <c r="C555" i="6"/>
  <c r="E555" i="6"/>
  <c r="D555" i="6"/>
  <c r="F555" i="6"/>
  <c r="E86" i="6"/>
  <c r="C86" i="6"/>
  <c r="D86" i="6"/>
  <c r="E37" i="6"/>
  <c r="D37" i="6"/>
  <c r="E20" i="6"/>
  <c r="D20" i="6"/>
  <c r="C20" i="6"/>
  <c r="C370" i="6"/>
  <c r="G370" i="6"/>
  <c r="E370" i="6"/>
  <c r="F370" i="6"/>
  <c r="D234" i="6"/>
  <c r="E234" i="6"/>
  <c r="C234" i="6"/>
  <c r="D106" i="6"/>
  <c r="E106" i="6"/>
  <c r="C106" i="6"/>
  <c r="E348" i="6"/>
  <c r="F348" i="6"/>
  <c r="D348" i="6"/>
  <c r="G348" i="6"/>
  <c r="C348" i="6"/>
  <c r="D96" i="6"/>
  <c r="E96" i="6"/>
  <c r="C96" i="6"/>
  <c r="E12" i="6"/>
  <c r="D12" i="6"/>
  <c r="C12" i="6"/>
  <c r="E317" i="6"/>
  <c r="G317" i="6"/>
  <c r="D317" i="6"/>
  <c r="C317" i="6"/>
  <c r="E394" i="6"/>
  <c r="F394" i="6"/>
  <c r="D394" i="6"/>
  <c r="C394" i="6"/>
  <c r="G394" i="6"/>
  <c r="G514" i="6"/>
  <c r="E514" i="6"/>
  <c r="C514" i="6"/>
  <c r="F514" i="6"/>
  <c r="D216" i="6"/>
  <c r="E216" i="6"/>
  <c r="C328" i="6"/>
  <c r="E328" i="6"/>
  <c r="F328" i="6"/>
  <c r="D328" i="6"/>
  <c r="G328" i="6"/>
  <c r="C622" i="6"/>
  <c r="G622" i="6"/>
  <c r="F622" i="6"/>
  <c r="D622" i="6"/>
  <c r="E907" i="6"/>
  <c r="F907" i="6"/>
  <c r="D907" i="6"/>
  <c r="C907" i="6"/>
  <c r="G907" i="6"/>
  <c r="D61" i="6"/>
  <c r="C61" i="6"/>
  <c r="E61" i="6"/>
  <c r="D130" i="6"/>
  <c r="E130" i="6"/>
  <c r="C130" i="6"/>
  <c r="D642" i="6"/>
  <c r="G642" i="6"/>
  <c r="E642" i="6"/>
  <c r="C642" i="6"/>
  <c r="D253" i="6"/>
  <c r="G253" i="6"/>
  <c r="C253" i="6"/>
  <c r="E523" i="6"/>
  <c r="D523" i="6"/>
  <c r="G523" i="6"/>
  <c r="F523" i="6"/>
  <c r="D362" i="6"/>
  <c r="C362" i="6"/>
  <c r="G362" i="6"/>
  <c r="E80" i="6"/>
  <c r="C80" i="6"/>
  <c r="D664" i="6"/>
  <c r="E664" i="6"/>
  <c r="G664" i="6"/>
  <c r="C664" i="6"/>
  <c r="D883" i="6"/>
  <c r="G883" i="6"/>
  <c r="F883" i="6"/>
  <c r="E883" i="6"/>
  <c r="C33" i="6"/>
  <c r="E33" i="6"/>
  <c r="D33" i="6"/>
  <c r="C342" i="6"/>
  <c r="G342" i="6"/>
  <c r="E342" i="6"/>
  <c r="F342" i="6"/>
  <c r="D342" i="6"/>
  <c r="D402" i="6"/>
  <c r="C402" i="6"/>
  <c r="G402" i="6"/>
  <c r="E402" i="6"/>
  <c r="F402" i="6"/>
  <c r="D602" i="6"/>
  <c r="C602" i="6"/>
  <c r="E602" i="6"/>
  <c r="G602" i="6"/>
  <c r="F602" i="6"/>
  <c r="E778" i="6"/>
  <c r="D778" i="6"/>
  <c r="G778" i="6"/>
  <c r="F778" i="6"/>
  <c r="C778" i="6"/>
  <c r="D161" i="6"/>
  <c r="C161" i="6"/>
  <c r="D257" i="6"/>
  <c r="E257" i="6"/>
  <c r="F257" i="6"/>
  <c r="C257" i="6"/>
  <c r="G257" i="6"/>
  <c r="F385" i="6"/>
  <c r="E385" i="6"/>
  <c r="G385" i="6"/>
  <c r="D385" i="6"/>
  <c r="C385" i="6"/>
  <c r="E566" i="6"/>
  <c r="D566" i="6"/>
  <c r="F566" i="6"/>
  <c r="C566" i="6"/>
  <c r="C936" i="6"/>
  <c r="G936" i="6"/>
  <c r="F936" i="6"/>
  <c r="E936" i="6"/>
  <c r="G288" i="6"/>
  <c r="C288" i="6"/>
  <c r="E288" i="6"/>
  <c r="F288" i="6"/>
  <c r="D484" i="6"/>
  <c r="C484" i="6"/>
  <c r="G484" i="6"/>
  <c r="F545" i="6"/>
  <c r="E545" i="6"/>
  <c r="G545" i="6"/>
  <c r="D545" i="6"/>
  <c r="E483" i="6"/>
  <c r="D483" i="6"/>
  <c r="C723" i="6"/>
  <c r="G723" i="6"/>
  <c r="C1084" i="6"/>
  <c r="F1084" i="6"/>
  <c r="C768" i="6"/>
  <c r="E768" i="6"/>
  <c r="D768" i="6"/>
  <c r="G768" i="6"/>
  <c r="G463" i="6"/>
  <c r="D463" i="6"/>
  <c r="C463" i="6"/>
  <c r="F463" i="6"/>
  <c r="C779" i="6"/>
  <c r="G779" i="6"/>
  <c r="E779" i="6"/>
  <c r="F779" i="6"/>
  <c r="G733" i="6"/>
  <c r="F733" i="6"/>
  <c r="E733" i="6"/>
  <c r="D733" i="6"/>
  <c r="D791" i="6"/>
  <c r="E791" i="6"/>
  <c r="C791" i="6"/>
  <c r="G791" i="6"/>
  <c r="C1455" i="6"/>
  <c r="E1455" i="6"/>
  <c r="D1455" i="6"/>
  <c r="G1455" i="6"/>
  <c r="F1455" i="6"/>
  <c r="F544" i="6"/>
  <c r="E544" i="6"/>
  <c r="G544" i="6"/>
  <c r="D544" i="6"/>
  <c r="C544" i="6"/>
  <c r="C1019" i="6"/>
  <c r="D1019" i="6"/>
  <c r="G1019" i="6"/>
  <c r="F1019" i="6"/>
  <c r="E1019" i="6"/>
  <c r="F897" i="6"/>
  <c r="E897" i="6"/>
  <c r="D897" i="6"/>
  <c r="C897" i="6"/>
  <c r="G897" i="6"/>
  <c r="C878" i="6"/>
  <c r="E878" i="6"/>
  <c r="D878" i="6"/>
  <c r="G878" i="6"/>
  <c r="E1182" i="6"/>
  <c r="F1182" i="6"/>
  <c r="D1182" i="6"/>
  <c r="C1182" i="6"/>
  <c r="G1182" i="6"/>
  <c r="G1147" i="6"/>
  <c r="D1147" i="6"/>
  <c r="C1147" i="6"/>
  <c r="F1147" i="6"/>
  <c r="E1147" i="6"/>
  <c r="G951" i="6"/>
  <c r="F951" i="6"/>
  <c r="D951" i="6"/>
  <c r="G1119" i="6"/>
  <c r="E1119" i="6"/>
  <c r="C1119" i="6"/>
  <c r="D1119" i="6"/>
  <c r="F1119" i="6"/>
  <c r="E1413" i="6"/>
  <c r="G1413" i="6"/>
  <c r="D1413" i="6"/>
  <c r="F1413" i="6"/>
  <c r="C1413" i="6"/>
  <c r="D837" i="6"/>
  <c r="F837" i="6"/>
  <c r="C837" i="6"/>
  <c r="E837" i="6"/>
  <c r="G837" i="6"/>
  <c r="F990" i="6"/>
  <c r="E990" i="6"/>
  <c r="G990" i="6"/>
  <c r="D990" i="6"/>
  <c r="C990" i="6"/>
  <c r="G1152" i="6"/>
  <c r="F1152" i="6"/>
  <c r="E1152" i="6"/>
  <c r="D1152" i="6"/>
  <c r="C1152" i="6"/>
  <c r="D1396" i="6"/>
  <c r="E1396" i="6"/>
  <c r="G1396" i="6"/>
  <c r="C1396" i="6"/>
  <c r="F1396" i="6"/>
  <c r="G917" i="6"/>
  <c r="D917" i="6"/>
  <c r="E917" i="6"/>
  <c r="C917" i="6"/>
  <c r="C823" i="6"/>
  <c r="F823" i="6"/>
  <c r="G823" i="6"/>
  <c r="E823" i="6"/>
  <c r="F1090" i="6"/>
  <c r="D1090" i="6"/>
  <c r="E1090" i="6"/>
  <c r="G1090" i="6"/>
  <c r="G1045" i="6"/>
  <c r="D1045" i="6"/>
  <c r="F1045" i="6"/>
  <c r="C1045" i="6"/>
  <c r="C1229" i="6"/>
  <c r="F1229" i="6"/>
  <c r="D1229" i="6"/>
  <c r="E1229" i="6"/>
  <c r="E1216" i="6"/>
  <c r="G1216" i="6"/>
  <c r="D1216" i="6"/>
  <c r="C1323" i="6"/>
  <c r="F1323" i="6"/>
  <c r="E1323" i="6"/>
  <c r="E1399" i="6"/>
  <c r="D1399" i="6"/>
  <c r="C1399" i="6"/>
  <c r="E1041" i="6"/>
  <c r="G1041" i="6"/>
  <c r="D1041" i="6"/>
  <c r="F1041" i="6"/>
  <c r="C1041" i="6"/>
  <c r="G1221" i="6"/>
  <c r="C1221" i="6"/>
  <c r="F1221" i="6"/>
  <c r="E1244" i="6"/>
  <c r="G1244" i="6"/>
  <c r="D1244" i="6"/>
  <c r="C1244" i="6"/>
  <c r="F1438" i="6"/>
  <c r="G1438" i="6"/>
  <c r="D1438" i="6"/>
  <c r="E1438" i="6"/>
  <c r="D1422" i="6"/>
  <c r="C1422" i="6"/>
  <c r="F1422" i="6"/>
  <c r="G1422" i="6"/>
  <c r="G979" i="6"/>
  <c r="D979" i="6"/>
  <c r="C979" i="6"/>
  <c r="F979" i="6"/>
  <c r="C1036" i="6"/>
  <c r="F1036" i="6"/>
  <c r="D1036" i="6"/>
  <c r="E1036" i="6"/>
  <c r="D246" i="6"/>
  <c r="G246" i="6"/>
  <c r="C246" i="6"/>
  <c r="F246" i="6"/>
  <c r="E246" i="6"/>
  <c r="D436" i="6"/>
  <c r="G436" i="6"/>
  <c r="F436" i="6"/>
  <c r="G424" i="6"/>
  <c r="F424" i="6"/>
  <c r="E424" i="6"/>
  <c r="C424" i="6"/>
  <c r="F618" i="6"/>
  <c r="D618" i="6"/>
  <c r="C618" i="6"/>
  <c r="E618" i="6"/>
  <c r="G618" i="6"/>
  <c r="C6" i="3"/>
  <c r="G1477" i="6"/>
  <c r="G1435" i="6"/>
  <c r="G1487" i="6"/>
  <c r="D1417" i="6"/>
  <c r="D1385" i="6"/>
  <c r="D1460" i="6"/>
  <c r="D1363" i="6"/>
  <c r="F1345" i="6"/>
  <c r="E1309" i="6"/>
  <c r="F1380" i="6"/>
  <c r="C1266" i="6"/>
  <c r="G1258" i="6"/>
  <c r="F1258" i="6"/>
  <c r="C1202" i="6"/>
  <c r="C1420" i="6"/>
  <c r="D1420" i="6"/>
  <c r="F1265" i="6"/>
  <c r="E1249" i="6"/>
  <c r="D1249" i="6"/>
  <c r="D1138" i="6"/>
  <c r="C1122" i="6"/>
  <c r="E1122" i="6"/>
  <c r="C1063" i="6"/>
  <c r="G1055" i="6"/>
  <c r="F1055" i="6"/>
  <c r="D1160" i="6"/>
  <c r="E1160" i="6"/>
  <c r="F1094" i="6"/>
  <c r="E1078" i="6"/>
  <c r="D1078" i="6"/>
  <c r="C1046" i="6"/>
  <c r="C998" i="6"/>
  <c r="E902" i="6"/>
  <c r="E849" i="6"/>
  <c r="D833" i="6"/>
  <c r="G809" i="6"/>
  <c r="D908" i="6"/>
  <c r="G1223" i="6"/>
  <c r="E1157" i="6"/>
  <c r="F986" i="6"/>
  <c r="G986" i="6"/>
  <c r="G870" i="6"/>
  <c r="C806" i="6"/>
  <c r="E742" i="6"/>
  <c r="D678" i="6"/>
  <c r="G678" i="6"/>
  <c r="F1009" i="6"/>
  <c r="D881" i="6"/>
  <c r="F748" i="6"/>
  <c r="E684" i="6"/>
  <c r="G684" i="6"/>
  <c r="D987" i="6"/>
  <c r="E802" i="6"/>
  <c r="D676" i="6"/>
  <c r="F600" i="6"/>
  <c r="F536" i="6"/>
  <c r="F472" i="6"/>
  <c r="F880" i="6"/>
  <c r="D681" i="6"/>
  <c r="D605" i="6"/>
  <c r="D541" i="6"/>
  <c r="D477" i="6"/>
  <c r="F435" i="6"/>
  <c r="F403" i="6"/>
  <c r="F371" i="6"/>
  <c r="F339" i="6"/>
  <c r="F307" i="6"/>
  <c r="F275" i="6"/>
  <c r="C243" i="6"/>
  <c r="D211" i="6"/>
  <c r="C179" i="6"/>
  <c r="D1084" i="6"/>
  <c r="E852" i="6"/>
  <c r="E723" i="6"/>
  <c r="F611" i="6"/>
  <c r="G483" i="6"/>
  <c r="C689" i="6"/>
  <c r="F484" i="6"/>
  <c r="D514" i="6"/>
  <c r="C216" i="6"/>
  <c r="D80" i="6"/>
  <c r="E436" i="6"/>
  <c r="C32" i="6"/>
  <c r="D1221" i="6"/>
  <c r="C1073" i="6"/>
  <c r="G663" i="6"/>
  <c r="C733" i="6"/>
  <c r="D591" i="6"/>
  <c r="E463" i="6"/>
  <c r="F317" i="6"/>
  <c r="E108" i="6"/>
  <c r="D370" i="6"/>
  <c r="G1399" i="6"/>
  <c r="C1367" i="6"/>
  <c r="G1229" i="6"/>
  <c r="C1312" i="6"/>
  <c r="C1090" i="6"/>
  <c r="C1163" i="6"/>
  <c r="E979" i="6"/>
  <c r="D856" i="6"/>
  <c r="F664" i="6"/>
  <c r="D502" i="6"/>
  <c r="D353" i="6"/>
  <c r="E161" i="6"/>
  <c r="D1161" i="6"/>
  <c r="E622" i="6"/>
  <c r="C37" i="6"/>
  <c r="G551" i="6"/>
  <c r="D551" i="6"/>
  <c r="C551" i="6"/>
  <c r="F551" i="6"/>
  <c r="D344" i="6"/>
  <c r="G344" i="6"/>
  <c r="C344" i="6"/>
  <c r="E344" i="6"/>
  <c r="F674" i="6"/>
  <c r="G674" i="6"/>
  <c r="D674" i="6"/>
  <c r="C674" i="6"/>
  <c r="E674" i="6"/>
  <c r="F474" i="6"/>
  <c r="D474" i="6"/>
  <c r="C474" i="6"/>
  <c r="E474" i="6"/>
  <c r="G474" i="6"/>
  <c r="C682" i="6"/>
  <c r="E682" i="6"/>
  <c r="D682" i="6"/>
  <c r="G682" i="6"/>
  <c r="E97" i="6"/>
  <c r="D97" i="6"/>
  <c r="C97" i="6"/>
  <c r="E193" i="6"/>
  <c r="D193" i="6"/>
  <c r="C193" i="6"/>
  <c r="G321" i="6"/>
  <c r="D321" i="6"/>
  <c r="C321" i="6"/>
  <c r="F321" i="6"/>
  <c r="F449" i="6"/>
  <c r="E449" i="6"/>
  <c r="D449" i="6"/>
  <c r="G449" i="6"/>
  <c r="E503" i="6"/>
  <c r="C503" i="6"/>
  <c r="F503" i="6"/>
  <c r="D503" i="6"/>
  <c r="D2" i="6"/>
  <c r="C2" i="6"/>
  <c r="F448" i="6"/>
  <c r="E448" i="6"/>
  <c r="C448" i="6"/>
  <c r="D448" i="6"/>
  <c r="D142" i="6"/>
  <c r="E142" i="6"/>
  <c r="C142" i="6"/>
  <c r="F1123" i="6"/>
  <c r="E1123" i="6"/>
  <c r="G1123" i="6"/>
  <c r="D1123" i="6"/>
  <c r="D719" i="6"/>
  <c r="G719" i="6"/>
  <c r="F719" i="6"/>
  <c r="C719" i="6"/>
  <c r="F884" i="6"/>
  <c r="G884" i="6"/>
  <c r="E884" i="6"/>
  <c r="C884" i="6"/>
  <c r="D884" i="6"/>
  <c r="D1222" i="6"/>
  <c r="C1222" i="6"/>
  <c r="F1222" i="6"/>
  <c r="G1222" i="6"/>
  <c r="E1222" i="6"/>
  <c r="F527" i="6"/>
  <c r="E527" i="6"/>
  <c r="G527" i="6"/>
  <c r="D527" i="6"/>
  <c r="C930" i="6"/>
  <c r="E930" i="6"/>
  <c r="D930" i="6"/>
  <c r="F984" i="6"/>
  <c r="E984" i="6"/>
  <c r="G984" i="6"/>
  <c r="D984" i="6"/>
  <c r="C984" i="6"/>
  <c r="G963" i="6"/>
  <c r="E963" i="6"/>
  <c r="F963" i="6"/>
  <c r="D963" i="6"/>
  <c r="C963" i="6"/>
  <c r="G912" i="6"/>
  <c r="D912" i="6"/>
  <c r="C912" i="6"/>
  <c r="F912" i="6"/>
  <c r="E912" i="6"/>
  <c r="G690" i="6"/>
  <c r="F690" i="6"/>
  <c r="C690" i="6"/>
  <c r="E690" i="6"/>
  <c r="D690" i="6"/>
  <c r="G756" i="6"/>
  <c r="E756" i="6"/>
  <c r="D756" i="6"/>
  <c r="F756" i="6"/>
  <c r="C756" i="6"/>
  <c r="G750" i="6"/>
  <c r="D750" i="6"/>
  <c r="E750" i="6"/>
  <c r="C750" i="6"/>
  <c r="F750" i="6"/>
  <c r="F1254" i="6"/>
  <c r="G1254" i="6"/>
  <c r="E1254" i="6"/>
  <c r="D1254" i="6"/>
  <c r="C1254" i="6"/>
  <c r="G973" i="6"/>
  <c r="F973" i="6"/>
  <c r="E973" i="6"/>
  <c r="D973" i="6"/>
  <c r="E887" i="6"/>
  <c r="C887" i="6"/>
  <c r="G887" i="6"/>
  <c r="F887" i="6"/>
  <c r="D887" i="6"/>
  <c r="C1174" i="6"/>
  <c r="G1174" i="6"/>
  <c r="E1174" i="6"/>
  <c r="F1174" i="6"/>
  <c r="D1174" i="6"/>
  <c r="G948" i="6"/>
  <c r="E948" i="6"/>
  <c r="C948" i="6"/>
  <c r="D948" i="6"/>
  <c r="F948" i="6"/>
  <c r="C926" i="6"/>
  <c r="F926" i="6"/>
  <c r="E926" i="6"/>
  <c r="G926" i="6"/>
  <c r="D926" i="6"/>
  <c r="G1251" i="6"/>
  <c r="C1251" i="6"/>
  <c r="F1251" i="6"/>
  <c r="D1251" i="6"/>
  <c r="E1251" i="6"/>
  <c r="E1091" i="6"/>
  <c r="D1091" i="6"/>
  <c r="C1091" i="6"/>
  <c r="G1091" i="6"/>
  <c r="E1230" i="6"/>
  <c r="D1230" i="6"/>
  <c r="C1230" i="6"/>
  <c r="F1230" i="6"/>
  <c r="G1230" i="6"/>
  <c r="G1040" i="6"/>
  <c r="D1040" i="6"/>
  <c r="C1040" i="6"/>
  <c r="F1040" i="6"/>
  <c r="C981" i="6"/>
  <c r="G981" i="6"/>
  <c r="F981" i="6"/>
  <c r="G895" i="6"/>
  <c r="F895" i="6"/>
  <c r="D895" i="6"/>
  <c r="C1127" i="6"/>
  <c r="D1127" i="6"/>
  <c r="F1127" i="6"/>
  <c r="C1464" i="6"/>
  <c r="D1464" i="6"/>
  <c r="E1464" i="6"/>
  <c r="G1464" i="6"/>
  <c r="F1464" i="6"/>
  <c r="D1077" i="6"/>
  <c r="F1077" i="6"/>
  <c r="C1077" i="6"/>
  <c r="E1077" i="6"/>
  <c r="D1358" i="6"/>
  <c r="G1358" i="6"/>
  <c r="F1358" i="6"/>
  <c r="C1358" i="6"/>
  <c r="D1280" i="6"/>
  <c r="F1280" i="6"/>
  <c r="C1280" i="6"/>
  <c r="E1280" i="6"/>
  <c r="F1390" i="6"/>
  <c r="D1390" i="6"/>
  <c r="E1390" i="6"/>
  <c r="G1390" i="6"/>
  <c r="E1433" i="6"/>
  <c r="F1433" i="6"/>
  <c r="C1433" i="6"/>
  <c r="G1433" i="6"/>
  <c r="G1105" i="6"/>
  <c r="D1105" i="6"/>
  <c r="F1105" i="6"/>
  <c r="C1105" i="6"/>
  <c r="E1105" i="6"/>
  <c r="C1326" i="6"/>
  <c r="G1326" i="6"/>
  <c r="E1326" i="6"/>
  <c r="F1326" i="6"/>
  <c r="D1326" i="6"/>
  <c r="F1458" i="6"/>
  <c r="C1458" i="6"/>
  <c r="G1458" i="6"/>
  <c r="C1491" i="6"/>
  <c r="E1491" i="6"/>
  <c r="G1491" i="6"/>
  <c r="D1491" i="6"/>
  <c r="F1491" i="6"/>
  <c r="G1445" i="6"/>
  <c r="E1445" i="6"/>
  <c r="F1445" i="6"/>
  <c r="C1445" i="6"/>
  <c r="D1445" i="6"/>
  <c r="G429" i="6"/>
  <c r="D429" i="6"/>
  <c r="C429" i="6"/>
  <c r="F429" i="6"/>
  <c r="G460" i="6"/>
  <c r="E460" i="6"/>
  <c r="F460" i="6"/>
  <c r="D460" i="6"/>
  <c r="C1477" i="6"/>
  <c r="F1487" i="6"/>
  <c r="G1417" i="6"/>
  <c r="G1385" i="6"/>
  <c r="F1460" i="6"/>
  <c r="F1363" i="6"/>
  <c r="G1345" i="6"/>
  <c r="C1265" i="6"/>
  <c r="F1249" i="6"/>
  <c r="F1138" i="6"/>
  <c r="F1078" i="6"/>
  <c r="G1046" i="6"/>
  <c r="G998" i="6"/>
  <c r="F902" i="6"/>
  <c r="C849" i="6"/>
  <c r="E809" i="6"/>
  <c r="C908" i="6"/>
  <c r="D870" i="6"/>
  <c r="F742" i="6"/>
  <c r="E678" i="6"/>
  <c r="G1009" i="6"/>
  <c r="E1009" i="6"/>
  <c r="F881" i="6"/>
  <c r="D748" i="6"/>
  <c r="F684" i="6"/>
  <c r="F987" i="6"/>
  <c r="E987" i="6"/>
  <c r="C802" i="6"/>
  <c r="C676" i="6"/>
  <c r="G600" i="6"/>
  <c r="G536" i="6"/>
  <c r="G472" i="6"/>
  <c r="C880" i="6"/>
  <c r="F681" i="6"/>
  <c r="C605" i="6"/>
  <c r="C541" i="6"/>
  <c r="C477" i="6"/>
  <c r="C435" i="6"/>
  <c r="C403" i="6"/>
  <c r="C371" i="6"/>
  <c r="C339" i="6"/>
  <c r="C307" i="6"/>
  <c r="C275" i="6"/>
  <c r="E243" i="6"/>
  <c r="F243" i="6" s="1"/>
  <c r="E147" i="6"/>
  <c r="E115" i="6"/>
  <c r="C83" i="6"/>
  <c r="G852" i="6"/>
  <c r="C611" i="6"/>
  <c r="F689" i="6"/>
  <c r="C545" i="6"/>
  <c r="C1123" i="6"/>
  <c r="D612" i="6"/>
  <c r="E484" i="6"/>
  <c r="D424" i="6"/>
  <c r="E1422" i="6"/>
  <c r="C951" i="6"/>
  <c r="C851" i="6"/>
  <c r="G591" i="6"/>
  <c r="F794" i="6"/>
  <c r="F1399" i="6"/>
  <c r="D1323" i="6"/>
  <c r="E1291" i="6"/>
  <c r="E1358" i="6"/>
  <c r="E1045" i="6"/>
  <c r="E1127" i="6"/>
  <c r="G1190" i="6"/>
  <c r="D823" i="6"/>
  <c r="E551" i="6"/>
  <c r="G566" i="6"/>
  <c r="F1244" i="6"/>
  <c r="F791" i="6"/>
  <c r="F1139" i="6"/>
  <c r="D1139" i="6"/>
  <c r="G1139" i="6"/>
  <c r="C1139" i="6"/>
  <c r="C184" i="6"/>
  <c r="D184" i="6"/>
  <c r="E184" i="6"/>
  <c r="D65" i="6"/>
  <c r="C65" i="6"/>
  <c r="E65" i="6"/>
  <c r="E198" i="6"/>
  <c r="D198" i="6"/>
  <c r="C198" i="6"/>
  <c r="F665" i="6"/>
  <c r="D665" i="6"/>
  <c r="C665" i="6"/>
  <c r="G665" i="6"/>
  <c r="E540" i="6"/>
  <c r="F540" i="6"/>
  <c r="D540" i="6"/>
  <c r="C540" i="6"/>
  <c r="G1335" i="6"/>
  <c r="E1335" i="6"/>
  <c r="F1335" i="6"/>
  <c r="D1335" i="6"/>
  <c r="C1335" i="6"/>
  <c r="C129" i="6"/>
  <c r="E129" i="6"/>
  <c r="D129" i="6"/>
  <c r="E289" i="6"/>
  <c r="G289" i="6"/>
  <c r="D289" i="6"/>
  <c r="C289" i="6"/>
  <c r="F289" i="6"/>
  <c r="F417" i="6"/>
  <c r="E417" i="6"/>
  <c r="G417" i="6"/>
  <c r="D417" i="6"/>
  <c r="C417" i="6"/>
  <c r="G638" i="6"/>
  <c r="F638" i="6"/>
  <c r="E638" i="6"/>
  <c r="D638" i="6"/>
  <c r="D834" i="6"/>
  <c r="E834" i="6"/>
  <c r="G834" i="6"/>
  <c r="C834" i="6"/>
  <c r="E66" i="6"/>
  <c r="D66" i="6"/>
  <c r="C66" i="6"/>
  <c r="D132" i="6"/>
  <c r="C132" i="6"/>
  <c r="E444" i="6"/>
  <c r="C444" i="6"/>
  <c r="D444" i="6"/>
  <c r="G444" i="6"/>
  <c r="C438" i="6"/>
  <c r="G438" i="6"/>
  <c r="E438" i="6"/>
  <c r="F438" i="6"/>
  <c r="D649" i="6"/>
  <c r="E649" i="6"/>
  <c r="F649" i="6"/>
  <c r="G649" i="6"/>
  <c r="C1273" i="6"/>
  <c r="F1273" i="6"/>
  <c r="D1273" i="6"/>
  <c r="E1273" i="6"/>
  <c r="G1273" i="6"/>
  <c r="G784" i="6"/>
  <c r="D784" i="6"/>
  <c r="C784" i="6"/>
  <c r="F784" i="6"/>
  <c r="E784" i="6"/>
  <c r="G656" i="6"/>
  <c r="D656" i="6"/>
  <c r="C656" i="6"/>
  <c r="F656" i="6"/>
  <c r="F797" i="6"/>
  <c r="E797" i="6"/>
  <c r="D797" i="6"/>
  <c r="C797" i="6"/>
  <c r="G797" i="6"/>
  <c r="G727" i="6"/>
  <c r="F727" i="6"/>
  <c r="D727" i="6"/>
  <c r="C1314" i="6"/>
  <c r="G1314" i="6"/>
  <c r="E1314" i="6"/>
  <c r="F1314" i="6"/>
  <c r="D1314" i="6"/>
  <c r="G480" i="6"/>
  <c r="D480" i="6"/>
  <c r="C480" i="6"/>
  <c r="E480" i="6"/>
  <c r="F480" i="6"/>
  <c r="G816" i="6"/>
  <c r="E816" i="6"/>
  <c r="D816" i="6"/>
  <c r="C816" i="6"/>
  <c r="F816" i="6"/>
  <c r="D1132" i="6"/>
  <c r="G1132" i="6"/>
  <c r="C1132" i="6"/>
  <c r="E1132" i="6"/>
  <c r="F1132" i="6"/>
  <c r="G814" i="6"/>
  <c r="C814" i="6"/>
  <c r="F814" i="6"/>
  <c r="E814" i="6"/>
  <c r="D814" i="6"/>
  <c r="D1024" i="6"/>
  <c r="E1024" i="6"/>
  <c r="G1024" i="6"/>
  <c r="C1024" i="6"/>
  <c r="F819" i="6"/>
  <c r="G819" i="6"/>
  <c r="E819" i="6"/>
  <c r="D819" i="6"/>
  <c r="C819" i="6"/>
  <c r="G1015" i="6"/>
  <c r="F1015" i="6"/>
  <c r="D1015" i="6"/>
  <c r="E1015" i="6"/>
  <c r="C1015" i="6"/>
  <c r="G1183" i="6"/>
  <c r="E1183" i="6"/>
  <c r="C1183" i="6"/>
  <c r="D1183" i="6"/>
  <c r="G1488" i="6"/>
  <c r="D1488" i="6"/>
  <c r="C1488" i="6"/>
  <c r="F1488" i="6"/>
  <c r="G1332" i="6"/>
  <c r="F1332" i="6"/>
  <c r="E1332" i="6"/>
  <c r="C1332" i="6"/>
  <c r="F1054" i="6"/>
  <c r="D1054" i="6"/>
  <c r="E1054" i="6"/>
  <c r="G1054" i="6"/>
  <c r="C1054" i="6"/>
  <c r="D1027" i="6"/>
  <c r="C1027" i="6"/>
  <c r="F1027" i="6"/>
  <c r="G1027" i="6"/>
  <c r="E1027" i="6"/>
  <c r="E1446" i="6"/>
  <c r="D1446" i="6"/>
  <c r="G1446" i="6"/>
  <c r="C1446" i="6"/>
  <c r="F1446" i="6"/>
  <c r="G1207" i="6"/>
  <c r="C1207" i="6"/>
  <c r="F1207" i="6"/>
  <c r="E1207" i="6"/>
  <c r="F855" i="6"/>
  <c r="G855" i="6"/>
  <c r="E855" i="6"/>
  <c r="D855" i="6"/>
  <c r="C1026" i="6"/>
  <c r="F1026" i="6"/>
  <c r="D1026" i="6"/>
  <c r="E1026" i="6"/>
  <c r="D1191" i="6"/>
  <c r="F1191" i="6"/>
  <c r="G1191" i="6"/>
  <c r="E1191" i="6"/>
  <c r="D1312" i="6"/>
  <c r="G1312" i="6"/>
  <c r="F1312" i="6"/>
  <c r="C1169" i="6"/>
  <c r="F1169" i="6"/>
  <c r="E1169" i="6"/>
  <c r="G1248" i="6"/>
  <c r="D1248" i="6"/>
  <c r="F1248" i="6"/>
  <c r="C1248" i="6"/>
  <c r="C1469" i="6"/>
  <c r="G1469" i="6"/>
  <c r="E1469" i="6"/>
  <c r="D1469" i="6"/>
  <c r="G1426" i="6"/>
  <c r="E1426" i="6"/>
  <c r="D1426" i="6"/>
  <c r="C1426" i="6"/>
  <c r="C1472" i="6"/>
  <c r="F1472" i="6"/>
  <c r="E1472" i="6"/>
  <c r="E1073" i="6"/>
  <c r="G1073" i="6"/>
  <c r="D1073" i="6"/>
  <c r="F1285" i="6"/>
  <c r="G1285" i="6"/>
  <c r="E1285" i="6"/>
  <c r="D1285" i="6"/>
  <c r="C1285" i="6"/>
  <c r="G1276" i="6"/>
  <c r="D1276" i="6"/>
  <c r="F1276" i="6"/>
  <c r="C1276" i="6"/>
  <c r="D1382" i="6"/>
  <c r="E1382" i="6"/>
  <c r="G1382" i="6"/>
  <c r="C1382" i="6"/>
  <c r="F1382" i="6"/>
  <c r="G1429" i="6"/>
  <c r="E1429" i="6"/>
  <c r="F1429" i="6"/>
  <c r="C1429" i="6"/>
  <c r="C720" i="6"/>
  <c r="F720" i="6"/>
  <c r="E720" i="6"/>
  <c r="E173" i="6"/>
  <c r="D173" i="6"/>
  <c r="E1000" i="6"/>
  <c r="D1000" i="6"/>
  <c r="G1000" i="6"/>
  <c r="C1000" i="6"/>
  <c r="C1435" i="6"/>
  <c r="F1309" i="6"/>
  <c r="C1380" i="6"/>
  <c r="D1266" i="6"/>
  <c r="C1258" i="6"/>
  <c r="D1202" i="6"/>
  <c r="G1420" i="6"/>
  <c r="D1122" i="6"/>
  <c r="D1063" i="6"/>
  <c r="C1055" i="6"/>
  <c r="F1160" i="6"/>
  <c r="C1094" i="6"/>
  <c r="D998" i="6"/>
  <c r="F849" i="6"/>
  <c r="G833" i="6"/>
  <c r="E1223" i="6"/>
  <c r="D1223" i="6"/>
  <c r="C1157" i="6"/>
  <c r="D986" i="6"/>
  <c r="E870" i="6"/>
  <c r="G806" i="6"/>
  <c r="E1046" i="6"/>
  <c r="C809" i="6"/>
  <c r="E908" i="6"/>
  <c r="F1157" i="6"/>
  <c r="E806" i="6"/>
  <c r="G881" i="6"/>
  <c r="F802" i="6"/>
  <c r="E676" i="6"/>
  <c r="C600" i="6"/>
  <c r="C536" i="6"/>
  <c r="C472" i="6"/>
  <c r="D880" i="6"/>
  <c r="G681" i="6"/>
  <c r="E605" i="6"/>
  <c r="E541" i="6"/>
  <c r="E477" i="6"/>
  <c r="D435" i="6"/>
  <c r="D403" i="6"/>
  <c r="D371" i="6"/>
  <c r="D339" i="6"/>
  <c r="D307" i="6"/>
  <c r="D275" i="6"/>
  <c r="D243" i="6"/>
  <c r="C147" i="6"/>
  <c r="D83" i="6"/>
  <c r="E1084" i="6"/>
  <c r="D852" i="6"/>
  <c r="F723" i="6"/>
  <c r="G611" i="6"/>
  <c r="F483" i="6"/>
  <c r="E132" i="6"/>
  <c r="F392" i="6"/>
  <c r="E2" i="6"/>
  <c r="F362" i="6"/>
  <c r="E1458" i="6"/>
  <c r="E951" i="6"/>
  <c r="C727" i="6"/>
  <c r="G720" i="6"/>
  <c r="E253" i="6"/>
  <c r="G1036" i="6"/>
  <c r="G794" i="6"/>
  <c r="G889" i="6"/>
  <c r="E1488" i="6"/>
  <c r="D1433" i="6"/>
  <c r="F1469" i="6"/>
  <c r="G1323" i="6"/>
  <c r="C1216" i="6"/>
  <c r="C1334" i="6"/>
  <c r="G1077" i="6"/>
  <c r="C1191" i="6"/>
  <c r="G1127" i="6"/>
  <c r="C895" i="6"/>
  <c r="C855" i="6"/>
  <c r="D1207" i="6"/>
  <c r="E1040" i="6"/>
  <c r="C883" i="6"/>
  <c r="D936" i="6"/>
  <c r="E725" i="6"/>
  <c r="E1028" i="6"/>
  <c r="F768" i="6"/>
  <c r="G540" i="6"/>
  <c r="F344" i="6"/>
  <c r="F985" i="6"/>
  <c r="C1319" i="6"/>
  <c r="D779" i="6"/>
  <c r="C527" i="6"/>
  <c r="G555" i="6"/>
  <c r="F1091" i="6"/>
  <c r="G1051" i="6"/>
  <c r="D730" i="6"/>
  <c r="D21" i="6"/>
  <c r="C231" i="6"/>
  <c r="F978" i="6"/>
  <c r="D625" i="6"/>
  <c r="F698" i="6"/>
  <c r="F368" i="6"/>
  <c r="C148" i="6"/>
  <c r="E55" i="6"/>
  <c r="E1206" i="6"/>
  <c r="F1206" i="6"/>
  <c r="D1206" i="6"/>
  <c r="G1206" i="6"/>
  <c r="F341" i="6"/>
  <c r="E341" i="6"/>
  <c r="G341" i="6"/>
  <c r="C341" i="6"/>
  <c r="D341" i="6"/>
  <c r="D620" i="6"/>
  <c r="C620" i="6"/>
  <c r="F620" i="6"/>
  <c r="E620" i="6"/>
  <c r="G620" i="6"/>
  <c r="C296" i="6"/>
  <c r="E296" i="6"/>
  <c r="F296" i="6"/>
  <c r="D296" i="6"/>
  <c r="C322" i="6"/>
  <c r="G322" i="6"/>
  <c r="F322" i="6"/>
  <c r="D322" i="6"/>
  <c r="G250" i="6"/>
  <c r="D250" i="6"/>
  <c r="F250" i="6"/>
  <c r="C250" i="6"/>
  <c r="E60" i="6"/>
  <c r="D60" i="6"/>
  <c r="C60" i="6"/>
  <c r="D47" i="6"/>
  <c r="E47" i="6"/>
  <c r="C47" i="6"/>
  <c r="D416" i="6"/>
  <c r="G416" i="6"/>
  <c r="E416" i="6"/>
  <c r="F416" i="6"/>
  <c r="C416" i="6"/>
  <c r="G262" i="6"/>
  <c r="D262" i="6"/>
  <c r="E262" i="6"/>
  <c r="C262" i="6"/>
  <c r="F262" i="6"/>
  <c r="E960" i="6"/>
  <c r="G960" i="6"/>
  <c r="D960" i="6"/>
  <c r="C960" i="6"/>
  <c r="F960" i="6"/>
  <c r="F668" i="6"/>
  <c r="G668" i="6"/>
  <c r="E668" i="6"/>
  <c r="D668" i="6"/>
  <c r="D595" i="6"/>
  <c r="G595" i="6"/>
  <c r="F595" i="6"/>
  <c r="C595" i="6"/>
  <c r="C79" i="6"/>
  <c r="D79" i="6"/>
  <c r="E79" i="6"/>
  <c r="C175" i="6"/>
  <c r="D175" i="6"/>
  <c r="E175" i="6"/>
  <c r="D271" i="6"/>
  <c r="F271" i="6"/>
  <c r="G271" i="6"/>
  <c r="C271" i="6"/>
  <c r="E271" i="6"/>
  <c r="E303" i="6"/>
  <c r="G303" i="6"/>
  <c r="D303" i="6"/>
  <c r="C303" i="6"/>
  <c r="F303" i="6"/>
  <c r="E431" i="6"/>
  <c r="G431" i="6"/>
  <c r="D431" i="6"/>
  <c r="C431" i="6"/>
  <c r="F431" i="6"/>
  <c r="F597" i="6"/>
  <c r="G597" i="6"/>
  <c r="C597" i="6"/>
  <c r="D597" i="6"/>
  <c r="E693" i="6"/>
  <c r="D693" i="6"/>
  <c r="F693" i="6"/>
  <c r="C693" i="6"/>
  <c r="E1067" i="6"/>
  <c r="G1067" i="6"/>
  <c r="F1067" i="6"/>
  <c r="C1067" i="6"/>
  <c r="E41" i="6"/>
  <c r="D41" i="6"/>
  <c r="C41" i="6"/>
  <c r="E376" i="6"/>
  <c r="F376" i="6"/>
  <c r="D376" i="6"/>
  <c r="G376" i="6"/>
  <c r="C376" i="6"/>
  <c r="C374" i="6"/>
  <c r="F374" i="6"/>
  <c r="E374" i="6"/>
  <c r="G374" i="6"/>
  <c r="D753" i="6"/>
  <c r="G753" i="6"/>
  <c r="C753" i="6"/>
  <c r="E753" i="6"/>
  <c r="D506" i="6"/>
  <c r="E506" i="6"/>
  <c r="F506" i="6"/>
  <c r="C506" i="6"/>
  <c r="G506" i="6"/>
  <c r="F792" i="6"/>
  <c r="G792" i="6"/>
  <c r="C792" i="6"/>
  <c r="E792" i="6"/>
  <c r="D792" i="6"/>
  <c r="C1003" i="6"/>
  <c r="G1003" i="6"/>
  <c r="F1003" i="6"/>
  <c r="E1003" i="6"/>
  <c r="C137" i="6"/>
  <c r="D137" i="6"/>
  <c r="E137" i="6"/>
  <c r="D265" i="6"/>
  <c r="G265" i="6"/>
  <c r="E265" i="6"/>
  <c r="F265" i="6"/>
  <c r="F329" i="6"/>
  <c r="D329" i="6"/>
  <c r="G329" i="6"/>
  <c r="C329" i="6"/>
  <c r="E329" i="6"/>
  <c r="F393" i="6"/>
  <c r="C393" i="6"/>
  <c r="E393" i="6"/>
  <c r="G393" i="6"/>
  <c r="G518" i="6"/>
  <c r="E518" i="6"/>
  <c r="C518" i="6"/>
  <c r="F518" i="6"/>
  <c r="D518" i="6"/>
  <c r="F1092" i="6"/>
  <c r="D1092" i="6"/>
  <c r="G1092" i="6"/>
  <c r="C1092" i="6"/>
  <c r="G915" i="6"/>
  <c r="F915" i="6"/>
  <c r="D915" i="6"/>
  <c r="C915" i="6"/>
  <c r="D562" i="6"/>
  <c r="G562" i="6"/>
  <c r="E562" i="6"/>
  <c r="C562" i="6"/>
  <c r="D164" i="6"/>
  <c r="C164" i="6"/>
  <c r="E164" i="6"/>
  <c r="G537" i="6"/>
  <c r="D537" i="6"/>
  <c r="C537" i="6"/>
  <c r="F537" i="6"/>
  <c r="C516" i="6"/>
  <c r="G516" i="6"/>
  <c r="E516" i="6"/>
  <c r="F516" i="6"/>
  <c r="C454" i="6"/>
  <c r="G454" i="6"/>
  <c r="D769" i="6"/>
  <c r="G769" i="6"/>
  <c r="C755" i="6"/>
  <c r="G755" i="6"/>
  <c r="D91" i="6"/>
  <c r="C91" i="6"/>
  <c r="D187" i="6"/>
  <c r="C187" i="6"/>
  <c r="C251" i="6"/>
  <c r="D251" i="6"/>
  <c r="F347" i="6"/>
  <c r="E347" i="6"/>
  <c r="F443" i="6"/>
  <c r="E443" i="6"/>
  <c r="D557" i="6"/>
  <c r="F557" i="6"/>
  <c r="G1324" i="6"/>
  <c r="F1324" i="6"/>
  <c r="E1324" i="6"/>
  <c r="D1324" i="6"/>
  <c r="F944" i="6"/>
  <c r="E944" i="6"/>
  <c r="F552" i="6"/>
  <c r="D552" i="6"/>
  <c r="D905" i="6"/>
  <c r="G905" i="6"/>
  <c r="E905" i="6"/>
  <c r="C905" i="6"/>
  <c r="G543" i="6"/>
  <c r="D543" i="6"/>
  <c r="C543" i="6"/>
  <c r="F543" i="6"/>
  <c r="E543" i="6"/>
  <c r="D808" i="6"/>
  <c r="E808" i="6"/>
  <c r="G808" i="6"/>
  <c r="F808" i="6"/>
  <c r="C808" i="6"/>
  <c r="E749" i="6"/>
  <c r="D749" i="6"/>
  <c r="C749" i="6"/>
  <c r="G749" i="6"/>
  <c r="F749" i="6"/>
  <c r="G743" i="6"/>
  <c r="E743" i="6"/>
  <c r="F743" i="6"/>
  <c r="D743" i="6"/>
  <c r="C743" i="6"/>
  <c r="C995" i="6"/>
  <c r="G995" i="6"/>
  <c r="D995" i="6"/>
  <c r="F995" i="6"/>
  <c r="E995" i="6"/>
  <c r="E1238" i="6"/>
  <c r="D1238" i="6"/>
  <c r="C1238" i="6"/>
  <c r="F1238" i="6"/>
  <c r="G1238" i="6"/>
  <c r="C976" i="6"/>
  <c r="E976" i="6"/>
  <c r="D976" i="6"/>
  <c r="G976" i="6"/>
  <c r="G624" i="6"/>
  <c r="F624" i="6"/>
  <c r="D624" i="6"/>
  <c r="E624" i="6"/>
  <c r="C624" i="6"/>
  <c r="G1076" i="6"/>
  <c r="D1076" i="6"/>
  <c r="C1076" i="6"/>
  <c r="F1076" i="6"/>
  <c r="E1076" i="6"/>
  <c r="F929" i="6"/>
  <c r="G929" i="6"/>
  <c r="E929" i="6"/>
  <c r="C929" i="6"/>
  <c r="C766" i="6"/>
  <c r="E766" i="6"/>
  <c r="D766" i="6"/>
  <c r="G766" i="6"/>
  <c r="C906" i="6"/>
  <c r="G906" i="6"/>
  <c r="E906" i="6"/>
  <c r="D906" i="6"/>
  <c r="F906" i="6"/>
  <c r="G1056" i="6"/>
  <c r="C1056" i="6"/>
  <c r="F1056" i="6"/>
  <c r="D1056" i="6"/>
  <c r="E1056" i="6"/>
  <c r="G925" i="6"/>
  <c r="F925" i="6"/>
  <c r="E925" i="6"/>
  <c r="D925" i="6"/>
  <c r="E859" i="6"/>
  <c r="G859" i="6"/>
  <c r="F859" i="6"/>
  <c r="C859" i="6"/>
  <c r="D967" i="6"/>
  <c r="E967" i="6"/>
  <c r="C967" i="6"/>
  <c r="G967" i="6"/>
  <c r="G1135" i="6"/>
  <c r="E1135" i="6"/>
  <c r="C1135" i="6"/>
  <c r="D1135" i="6"/>
  <c r="F1355" i="6"/>
  <c r="G1355" i="6"/>
  <c r="D1355" i="6"/>
  <c r="E1355" i="6"/>
  <c r="D964" i="6"/>
  <c r="F964" i="6"/>
  <c r="E964" i="6"/>
  <c r="G964" i="6"/>
  <c r="G845" i="6"/>
  <c r="E845" i="6"/>
  <c r="D845" i="6"/>
  <c r="F845" i="6"/>
  <c r="C845" i="6"/>
  <c r="C1070" i="6"/>
  <c r="G1070" i="6"/>
  <c r="F1070" i="6"/>
  <c r="D1070" i="6"/>
  <c r="E1070" i="6"/>
  <c r="G1168" i="6"/>
  <c r="E1168" i="6"/>
  <c r="C1168" i="6"/>
  <c r="F1168" i="6"/>
  <c r="D1168" i="6"/>
  <c r="D1225" i="6"/>
  <c r="E1225" i="6"/>
  <c r="G1225" i="6"/>
  <c r="F1225" i="6"/>
  <c r="C1313" i="6"/>
  <c r="E1313" i="6"/>
  <c r="D1313" i="6"/>
  <c r="G1313" i="6"/>
  <c r="F1313" i="6"/>
  <c r="D1485" i="6"/>
  <c r="E1485" i="6"/>
  <c r="G1485" i="6"/>
  <c r="F1485" i="6"/>
  <c r="G997" i="6"/>
  <c r="F997" i="6"/>
  <c r="E997" i="6"/>
  <c r="C997" i="6"/>
  <c r="D997" i="6"/>
  <c r="D863" i="6"/>
  <c r="E863" i="6"/>
  <c r="G863" i="6"/>
  <c r="F863" i="6"/>
  <c r="C1042" i="6"/>
  <c r="D1042" i="6"/>
  <c r="G1042" i="6"/>
  <c r="F1042" i="6"/>
  <c r="E1042" i="6"/>
  <c r="C1227" i="6"/>
  <c r="F1227" i="6"/>
  <c r="D1227" i="6"/>
  <c r="G1227" i="6"/>
  <c r="E1227" i="6"/>
  <c r="G1454" i="6"/>
  <c r="D1454" i="6"/>
  <c r="E1454" i="6"/>
  <c r="C1454" i="6"/>
  <c r="E1121" i="6"/>
  <c r="G1121" i="6"/>
  <c r="D1121" i="6"/>
  <c r="C1121" i="6"/>
  <c r="F1245" i="6"/>
  <c r="D1245" i="6"/>
  <c r="E1245" i="6"/>
  <c r="G1245" i="6"/>
  <c r="D1256" i="6"/>
  <c r="F1256" i="6"/>
  <c r="C1256" i="6"/>
  <c r="E1256" i="6"/>
  <c r="E1299" i="6"/>
  <c r="G1299" i="6"/>
  <c r="D1299" i="6"/>
  <c r="C1299" i="6"/>
  <c r="F1406" i="6"/>
  <c r="D1406" i="6"/>
  <c r="E1406" i="6"/>
  <c r="G1406" i="6"/>
  <c r="C1407" i="6"/>
  <c r="F1407" i="6"/>
  <c r="G1407" i="6"/>
  <c r="E1407" i="6"/>
  <c r="E1480" i="6"/>
  <c r="G1480" i="6"/>
  <c r="D1480" i="6"/>
  <c r="C1480" i="6"/>
  <c r="G1049" i="6"/>
  <c r="D1049" i="6"/>
  <c r="F1049" i="6"/>
  <c r="E1049" i="6"/>
  <c r="C1049" i="6"/>
  <c r="C1177" i="6"/>
  <c r="F1177" i="6"/>
  <c r="E1177" i="6"/>
  <c r="F1348" i="6"/>
  <c r="E1348" i="6"/>
  <c r="D1348" i="6"/>
  <c r="G1348" i="6"/>
  <c r="C1348" i="6"/>
  <c r="G1284" i="6"/>
  <c r="D1284" i="6"/>
  <c r="F1284" i="6"/>
  <c r="E1284" i="6"/>
  <c r="C1284" i="6"/>
  <c r="C1398" i="6"/>
  <c r="E1398" i="6"/>
  <c r="D1398" i="6"/>
  <c r="G1398" i="6"/>
  <c r="F1398" i="6"/>
  <c r="D1430" i="6"/>
  <c r="C1430" i="6"/>
  <c r="F1430" i="6"/>
  <c r="G1430" i="6"/>
  <c r="E1430" i="6"/>
  <c r="E1448" i="6"/>
  <c r="C1448" i="6"/>
  <c r="D1448" i="6"/>
  <c r="F1448" i="6"/>
  <c r="C1476" i="6"/>
  <c r="F1476" i="6"/>
  <c r="D1476" i="6"/>
  <c r="G590" i="6"/>
  <c r="F590" i="6"/>
  <c r="E590" i="6"/>
  <c r="C590" i="6"/>
  <c r="C141" i="6"/>
  <c r="E141" i="6"/>
  <c r="G661" i="6"/>
  <c r="F661" i="6"/>
  <c r="E661" i="6"/>
  <c r="D661" i="6"/>
  <c r="D587" i="6"/>
  <c r="G587" i="6"/>
  <c r="F587" i="6"/>
  <c r="C587" i="6"/>
  <c r="E587" i="6"/>
  <c r="D28" i="6"/>
  <c r="E28" i="6"/>
  <c r="C28" i="6"/>
  <c r="D114" i="6"/>
  <c r="E114" i="6"/>
  <c r="C114" i="6"/>
  <c r="D8" i="3"/>
  <c r="C8" i="3"/>
  <c r="C8" i="2"/>
  <c r="E510" i="6"/>
  <c r="D510" i="6"/>
  <c r="C510" i="6"/>
  <c r="F510" i="6"/>
  <c r="C101" i="6"/>
  <c r="E101" i="6"/>
  <c r="D101" i="6"/>
  <c r="E244" i="6"/>
  <c r="G244" i="6"/>
  <c r="F244" i="6"/>
  <c r="D244" i="6"/>
  <c r="C680" i="6"/>
  <c r="D680" i="6"/>
  <c r="G680" i="6"/>
  <c r="F680" i="6"/>
  <c r="G338" i="6"/>
  <c r="E338" i="6"/>
  <c r="F338" i="6"/>
  <c r="D338" i="6"/>
  <c r="C338" i="6"/>
  <c r="E58" i="6"/>
  <c r="D58" i="6"/>
  <c r="C1493" i="6"/>
  <c r="C1443" i="6"/>
  <c r="C1427" i="6"/>
  <c r="F1499" i="6"/>
  <c r="G1393" i="6"/>
  <c r="E1470" i="6"/>
  <c r="C1378" i="6"/>
  <c r="G1361" i="6"/>
  <c r="F1317" i="6"/>
  <c r="C1412" i="6"/>
  <c r="E1282" i="6"/>
  <c r="D1274" i="6"/>
  <c r="E1218" i="6"/>
  <c r="D1210" i="6"/>
  <c r="G1376" i="6"/>
  <c r="C1281" i="6"/>
  <c r="G1170" i="6"/>
  <c r="F1154" i="6"/>
  <c r="E1079" i="6"/>
  <c r="D1071" i="6"/>
  <c r="D1320" i="6"/>
  <c r="C1203" i="6"/>
  <c r="D1165" i="6"/>
  <c r="G1110" i="6"/>
  <c r="E1062" i="6"/>
  <c r="D1062" i="6"/>
  <c r="E886" i="6"/>
  <c r="E865" i="6"/>
  <c r="C841" i="6"/>
  <c r="F841" i="6"/>
  <c r="D1172" i="6"/>
  <c r="F972" i="6"/>
  <c r="C940" i="6"/>
  <c r="E892" i="6"/>
  <c r="G892" i="6"/>
  <c r="D1018" i="6"/>
  <c r="D890" i="6"/>
  <c r="F822" i="6"/>
  <c r="E758" i="6"/>
  <c r="E694" i="6"/>
  <c r="G1164" i="6"/>
  <c r="C913" i="6"/>
  <c r="F764" i="6"/>
  <c r="F700" i="6"/>
  <c r="F1044" i="6"/>
  <c r="F832" i="6"/>
  <c r="G552" i="6"/>
  <c r="C944" i="6"/>
  <c r="C493" i="6"/>
  <c r="C411" i="6"/>
  <c r="C347" i="6"/>
  <c r="C882" i="6"/>
  <c r="F769" i="6"/>
  <c r="D454" i="6"/>
  <c r="D516" i="6"/>
  <c r="E537" i="6"/>
  <c r="C925" i="6"/>
  <c r="F905" i="6"/>
  <c r="E828" i="6"/>
  <c r="F1480" i="6"/>
  <c r="D1407" i="6"/>
  <c r="C1406" i="6"/>
  <c r="F1299" i="6"/>
  <c r="G1256" i="6"/>
  <c r="C1245" i="6"/>
  <c r="F1121" i="6"/>
  <c r="F1454" i="6"/>
  <c r="E915" i="6"/>
  <c r="E1092" i="6"/>
  <c r="D929" i="6"/>
  <c r="F976" i="6"/>
  <c r="C668" i="6"/>
  <c r="C478" i="6"/>
  <c r="G478" i="6"/>
  <c r="F478" i="6"/>
  <c r="D478" i="6"/>
  <c r="E478" i="6"/>
  <c r="E442" i="6"/>
  <c r="F442" i="6"/>
  <c r="D442" i="6"/>
  <c r="C442" i="6"/>
  <c r="G442" i="6"/>
  <c r="G440" i="6"/>
  <c r="F440" i="6"/>
  <c r="C440" i="6"/>
  <c r="E440" i="6"/>
  <c r="D440" i="6"/>
  <c r="C186" i="6"/>
  <c r="D186" i="6"/>
  <c r="E186" i="6"/>
  <c r="D52" i="6"/>
  <c r="C52" i="6"/>
  <c r="E52" i="6"/>
  <c r="C316" i="6"/>
  <c r="E316" i="6"/>
  <c r="F316" i="6"/>
  <c r="G316" i="6"/>
  <c r="D316" i="6"/>
  <c r="C116" i="6"/>
  <c r="E116" i="6"/>
  <c r="D116" i="6"/>
  <c r="D126" i="6"/>
  <c r="E126" i="6"/>
  <c r="C126" i="6"/>
  <c r="G468" i="6"/>
  <c r="E468" i="6"/>
  <c r="F468" i="6"/>
  <c r="D468" i="6"/>
  <c r="C468" i="6"/>
  <c r="G430" i="6"/>
  <c r="E430" i="6"/>
  <c r="F430" i="6"/>
  <c r="D430" i="6"/>
  <c r="C430" i="6"/>
  <c r="D467" i="6"/>
  <c r="G467" i="6"/>
  <c r="F467" i="6"/>
  <c r="C467" i="6"/>
  <c r="E467" i="6"/>
  <c r="F836" i="6"/>
  <c r="D836" i="6"/>
  <c r="E836" i="6"/>
  <c r="G836" i="6"/>
  <c r="C836" i="6"/>
  <c r="C111" i="6"/>
  <c r="D111" i="6"/>
  <c r="E111" i="6"/>
  <c r="D207" i="6"/>
  <c r="C207" i="6"/>
  <c r="E207" i="6"/>
  <c r="E367" i="6"/>
  <c r="G367" i="6"/>
  <c r="D367" i="6"/>
  <c r="F367" i="6"/>
  <c r="F469" i="6"/>
  <c r="G469" i="6"/>
  <c r="C469" i="6"/>
  <c r="D469" i="6"/>
  <c r="E736" i="6"/>
  <c r="D736" i="6"/>
  <c r="F736" i="6"/>
  <c r="G736" i="6"/>
  <c r="E687" i="6"/>
  <c r="C687" i="6"/>
  <c r="F687" i="6"/>
  <c r="D687" i="6"/>
  <c r="C266" i="6"/>
  <c r="G266" i="6"/>
  <c r="E266" i="6"/>
  <c r="F266" i="6"/>
  <c r="E92" i="6"/>
  <c r="D92" i="6"/>
  <c r="C102" i="6"/>
  <c r="D102" i="6"/>
  <c r="E102" i="6"/>
  <c r="G260" i="6"/>
  <c r="D260" i="6"/>
  <c r="E260" i="6"/>
  <c r="C260" i="6"/>
  <c r="F260" i="6"/>
  <c r="C418" i="6"/>
  <c r="F418" i="6"/>
  <c r="E418" i="6"/>
  <c r="G418" i="6"/>
  <c r="E264" i="6"/>
  <c r="F264" i="6"/>
  <c r="C264" i="6"/>
  <c r="D264" i="6"/>
  <c r="C812" i="6"/>
  <c r="G812" i="6"/>
  <c r="F812" i="6"/>
  <c r="D812" i="6"/>
  <c r="E812" i="6"/>
  <c r="C105" i="6"/>
  <c r="E105" i="6"/>
  <c r="D105" i="6"/>
  <c r="C201" i="6"/>
  <c r="E201" i="6"/>
  <c r="F361" i="6"/>
  <c r="G361" i="6"/>
  <c r="C361" i="6"/>
  <c r="E361" i="6"/>
  <c r="D361" i="6"/>
  <c r="F457" i="6"/>
  <c r="D457" i="6"/>
  <c r="G457" i="6"/>
  <c r="C457" i="6"/>
  <c r="E457" i="6"/>
  <c r="C688" i="6"/>
  <c r="G688" i="6"/>
  <c r="F688" i="6"/>
  <c r="E688" i="6"/>
  <c r="D688" i="6"/>
  <c r="E1356" i="6"/>
  <c r="F1356" i="6"/>
  <c r="G1356" i="6"/>
  <c r="C1356" i="6"/>
  <c r="D1356" i="6"/>
  <c r="C18" i="6"/>
  <c r="E18" i="6"/>
  <c r="C27" i="6"/>
  <c r="E27" i="6"/>
  <c r="D27" i="6"/>
  <c r="E320" i="6"/>
  <c r="F320" i="6"/>
  <c r="D320" i="6"/>
  <c r="G320" i="6"/>
  <c r="C318" i="6"/>
  <c r="G318" i="6"/>
  <c r="E318" i="6"/>
  <c r="F318" i="6"/>
  <c r="C644" i="6"/>
  <c r="G644" i="6"/>
  <c r="E644" i="6"/>
  <c r="F577" i="6"/>
  <c r="E577" i="6"/>
  <c r="E643" i="6"/>
  <c r="D643" i="6"/>
  <c r="D123" i="6"/>
  <c r="C123" i="6"/>
  <c r="F283" i="6"/>
  <c r="E283" i="6"/>
  <c r="F379" i="6"/>
  <c r="E379" i="6"/>
  <c r="D621" i="6"/>
  <c r="F621" i="6"/>
  <c r="G789" i="6"/>
  <c r="E789" i="6"/>
  <c r="F789" i="6"/>
  <c r="D789" i="6"/>
  <c r="C1432" i="6"/>
  <c r="E1432" i="6"/>
  <c r="G1432" i="6"/>
  <c r="F1432" i="6"/>
  <c r="F488" i="6"/>
  <c r="D488" i="6"/>
  <c r="E706" i="6"/>
  <c r="D706" i="6"/>
  <c r="C1083" i="6"/>
  <c r="D1083" i="6"/>
  <c r="G1083" i="6"/>
  <c r="F1083" i="6"/>
  <c r="F479" i="6"/>
  <c r="E479" i="6"/>
  <c r="G479" i="6"/>
  <c r="C479" i="6"/>
  <c r="D479" i="6"/>
  <c r="G683" i="6"/>
  <c r="F683" i="6"/>
  <c r="E683" i="6"/>
  <c r="C683" i="6"/>
  <c r="C685" i="6"/>
  <c r="G685" i="6"/>
  <c r="F685" i="6"/>
  <c r="D685" i="6"/>
  <c r="C1016" i="6"/>
  <c r="F1016" i="6"/>
  <c r="D1016" i="6"/>
  <c r="G1016" i="6"/>
  <c r="E1016" i="6"/>
  <c r="G810" i="6"/>
  <c r="C810" i="6"/>
  <c r="D810" i="6"/>
  <c r="F810" i="6"/>
  <c r="E810" i="6"/>
  <c r="C629" i="6"/>
  <c r="G629" i="6"/>
  <c r="D629" i="6"/>
  <c r="F629" i="6"/>
  <c r="E629" i="6"/>
  <c r="G496" i="6"/>
  <c r="C496" i="6"/>
  <c r="E496" i="6"/>
  <c r="D496" i="6"/>
  <c r="C722" i="6"/>
  <c r="D722" i="6"/>
  <c r="F722" i="6"/>
  <c r="G722" i="6"/>
  <c r="C708" i="6"/>
  <c r="D708" i="6"/>
  <c r="F708" i="6"/>
  <c r="G708" i="6"/>
  <c r="E708" i="6"/>
  <c r="D1308" i="6"/>
  <c r="E1308" i="6"/>
  <c r="G1308" i="6"/>
  <c r="F1308" i="6"/>
  <c r="C1308" i="6"/>
  <c r="G830" i="6"/>
  <c r="E830" i="6"/>
  <c r="D830" i="6"/>
  <c r="F830" i="6"/>
  <c r="D1115" i="6"/>
  <c r="F1115" i="6"/>
  <c r="E1115" i="6"/>
  <c r="C1115" i="6"/>
  <c r="F1239" i="6"/>
  <c r="D1239" i="6"/>
  <c r="E1239" i="6"/>
  <c r="G1239" i="6"/>
  <c r="E1179" i="6"/>
  <c r="G1179" i="6"/>
  <c r="D1179" i="6"/>
  <c r="C1179" i="6"/>
  <c r="E903" i="6"/>
  <c r="C903" i="6"/>
  <c r="G903" i="6"/>
  <c r="D903" i="6"/>
  <c r="F903" i="6"/>
  <c r="F1098" i="6"/>
  <c r="D1098" i="6"/>
  <c r="E1098" i="6"/>
  <c r="G1098" i="6"/>
  <c r="E1296" i="6"/>
  <c r="C1296" i="6"/>
  <c r="D1296" i="6"/>
  <c r="G1296" i="6"/>
  <c r="F1296" i="6"/>
  <c r="D900" i="6"/>
  <c r="C900" i="6"/>
  <c r="F900" i="6"/>
  <c r="G900" i="6"/>
  <c r="E900" i="6"/>
  <c r="G813" i="6"/>
  <c r="F813" i="6"/>
  <c r="E813" i="6"/>
  <c r="D813" i="6"/>
  <c r="C813" i="6"/>
  <c r="F942" i="6"/>
  <c r="D942" i="6"/>
  <c r="G942" i="6"/>
  <c r="E942" i="6"/>
  <c r="E1149" i="6"/>
  <c r="D1149" i="6"/>
  <c r="F1149" i="6"/>
  <c r="G1149" i="6"/>
  <c r="F1043" i="6"/>
  <c r="G1043" i="6"/>
  <c r="E1043" i="6"/>
  <c r="D1043" i="6"/>
  <c r="C1043" i="6"/>
  <c r="E1330" i="6"/>
  <c r="F1330" i="6"/>
  <c r="C1330" i="6"/>
  <c r="G1330" i="6"/>
  <c r="D1330" i="6"/>
  <c r="E1389" i="6"/>
  <c r="C1389" i="6"/>
  <c r="F1389" i="6"/>
  <c r="G1389" i="6"/>
  <c r="D1389" i="6"/>
  <c r="C1271" i="6"/>
  <c r="D1271" i="6"/>
  <c r="G1271" i="6"/>
  <c r="F1271" i="6"/>
  <c r="E1271" i="6"/>
  <c r="F1195" i="6"/>
  <c r="D1195" i="6"/>
  <c r="E1195" i="6"/>
  <c r="G1195" i="6"/>
  <c r="F911" i="6"/>
  <c r="D911" i="6"/>
  <c r="E911" i="6"/>
  <c r="G911" i="6"/>
  <c r="C911" i="6"/>
  <c r="C1106" i="6"/>
  <c r="G1106" i="6"/>
  <c r="E1106" i="6"/>
  <c r="D1106" i="6"/>
  <c r="D1386" i="6"/>
  <c r="E1386" i="6"/>
  <c r="G1386" i="6"/>
  <c r="C1386" i="6"/>
  <c r="F1386" i="6"/>
  <c r="D1053" i="6"/>
  <c r="F1053" i="6"/>
  <c r="C1053" i="6"/>
  <c r="E1053" i="6"/>
  <c r="E1185" i="6"/>
  <c r="G1185" i="6"/>
  <c r="D1185" i="6"/>
  <c r="C1185" i="6"/>
  <c r="E1364" i="6"/>
  <c r="G1364" i="6"/>
  <c r="D1364" i="6"/>
  <c r="C1364" i="6"/>
  <c r="E1331" i="6"/>
  <c r="G1331" i="6"/>
  <c r="D1331" i="6"/>
  <c r="C1331" i="6"/>
  <c r="C1375" i="6"/>
  <c r="F1375" i="6"/>
  <c r="G1375" i="6"/>
  <c r="E1375" i="6"/>
  <c r="C1461" i="6"/>
  <c r="E1461" i="6"/>
  <c r="G1461" i="6"/>
  <c r="F1461" i="6"/>
  <c r="E1081" i="6"/>
  <c r="G1081" i="6"/>
  <c r="D1081" i="6"/>
  <c r="C1081" i="6"/>
  <c r="F1081" i="6"/>
  <c r="G1237" i="6"/>
  <c r="C1237" i="6"/>
  <c r="D1237" i="6"/>
  <c r="F1237" i="6"/>
  <c r="E1237" i="6"/>
  <c r="G1220" i="6"/>
  <c r="E1220" i="6"/>
  <c r="D1220" i="6"/>
  <c r="F1220" i="6"/>
  <c r="F1295" i="6"/>
  <c r="E1295" i="6"/>
  <c r="D1295" i="6"/>
  <c r="C1295" i="6"/>
  <c r="C45" i="6"/>
  <c r="D45" i="6"/>
  <c r="E45" i="6"/>
  <c r="D242" i="6"/>
  <c r="C242" i="6"/>
  <c r="C112" i="6"/>
  <c r="D112" i="6"/>
  <c r="E112" i="6"/>
  <c r="D16" i="6"/>
  <c r="E16" i="6"/>
  <c r="C16" i="6"/>
  <c r="C962" i="6"/>
  <c r="E962" i="6"/>
  <c r="G962" i="6"/>
  <c r="D962" i="6"/>
  <c r="E229" i="6"/>
  <c r="D229" i="6"/>
  <c r="C229" i="6"/>
  <c r="E360" i="6"/>
  <c r="F360" i="6"/>
  <c r="C360" i="6"/>
  <c r="D360" i="6"/>
  <c r="C74" i="6"/>
  <c r="D74" i="6"/>
  <c r="C10" i="3"/>
  <c r="D6" i="3" s="1"/>
  <c r="E1443" i="6"/>
  <c r="E1393" i="6"/>
  <c r="C1361" i="6"/>
  <c r="F1282" i="6"/>
  <c r="G1218" i="6"/>
  <c r="F1218" i="6"/>
  <c r="E1210" i="6"/>
  <c r="E1376" i="6"/>
  <c r="D1376" i="6"/>
  <c r="G1281" i="6"/>
  <c r="C1170" i="6"/>
  <c r="E1170" i="6"/>
  <c r="G1154" i="6"/>
  <c r="G1079" i="6"/>
  <c r="F1079" i="6"/>
  <c r="E1071" i="6"/>
  <c r="C1320" i="6"/>
  <c r="E1320" i="6"/>
  <c r="G1203" i="6"/>
  <c r="E1165" i="6"/>
  <c r="E1110" i="6"/>
  <c r="D1110" i="6"/>
  <c r="F1062" i="6"/>
  <c r="F886" i="6"/>
  <c r="C865" i="6"/>
  <c r="F865" i="6"/>
  <c r="D841" i="6"/>
  <c r="F1172" i="6"/>
  <c r="D972" i="6"/>
  <c r="E940" i="6"/>
  <c r="G940" i="6"/>
  <c r="F892" i="6"/>
  <c r="E1018" i="6"/>
  <c r="E890" i="6"/>
  <c r="C822" i="6"/>
  <c r="F758" i="6"/>
  <c r="F694" i="6"/>
  <c r="D1164" i="6"/>
  <c r="D913" i="6"/>
  <c r="D764" i="6"/>
  <c r="D700" i="6"/>
  <c r="C1044" i="6"/>
  <c r="C832" i="6"/>
  <c r="G706" i="6"/>
  <c r="E552" i="6"/>
  <c r="C488" i="6"/>
  <c r="G944" i="6"/>
  <c r="G621" i="6"/>
  <c r="E557" i="6"/>
  <c r="D443" i="6"/>
  <c r="D379" i="6"/>
  <c r="G347" i="6"/>
  <c r="G283" i="6"/>
  <c r="G251" i="6"/>
  <c r="E187" i="6"/>
  <c r="E123" i="6"/>
  <c r="F755" i="6"/>
  <c r="G643" i="6"/>
  <c r="E769" i="6"/>
  <c r="D577" i="6"/>
  <c r="E454" i="6"/>
  <c r="F562" i="6"/>
  <c r="D18" i="6"/>
  <c r="E1476" i="6"/>
  <c r="C1098" i="6"/>
  <c r="F1179" i="6"/>
  <c r="C1239" i="6"/>
  <c r="G296" i="6"/>
  <c r="C1195" i="6"/>
  <c r="G687" i="6"/>
  <c r="C789" i="6"/>
  <c r="G693" i="6"/>
  <c r="C1324" i="6"/>
  <c r="C265" i="6"/>
  <c r="G264" i="6"/>
  <c r="D374" i="6"/>
  <c r="C92" i="6"/>
  <c r="E680" i="6"/>
  <c r="C1206" i="6"/>
  <c r="E1083" i="6"/>
  <c r="E469" i="6"/>
  <c r="C367" i="6"/>
  <c r="E242" i="6"/>
  <c r="F242" i="6" s="1"/>
  <c r="F967" i="6"/>
  <c r="G510" i="6"/>
  <c r="D675" i="6"/>
  <c r="G675" i="6"/>
  <c r="F675" i="6"/>
  <c r="C675" i="6"/>
  <c r="E213" i="6"/>
  <c r="C213" i="6"/>
  <c r="D213" i="6"/>
  <c r="C85" i="6"/>
  <c r="E85" i="6"/>
  <c r="D482" i="6"/>
  <c r="G482" i="6"/>
  <c r="E482" i="6"/>
  <c r="C482" i="6"/>
  <c r="F585" i="6"/>
  <c r="G585" i="6"/>
  <c r="C585" i="6"/>
  <c r="E585" i="6"/>
  <c r="D585" i="6"/>
  <c r="E737" i="6"/>
  <c r="C737" i="6"/>
  <c r="F737" i="6"/>
  <c r="G737" i="6"/>
  <c r="G744" i="6"/>
  <c r="D744" i="6"/>
  <c r="E744" i="6"/>
  <c r="F744" i="6"/>
  <c r="D15" i="6"/>
  <c r="E15" i="6"/>
  <c r="C15" i="6"/>
  <c r="F258" i="6"/>
  <c r="C258" i="6"/>
  <c r="G258" i="6"/>
  <c r="D258" i="6"/>
  <c r="E258" i="6"/>
  <c r="F412" i="6"/>
  <c r="E412" i="6"/>
  <c r="C412" i="6"/>
  <c r="D412" i="6"/>
  <c r="G596" i="6"/>
  <c r="E596" i="6"/>
  <c r="F596" i="6"/>
  <c r="D596" i="6"/>
  <c r="C596" i="6"/>
  <c r="E529" i="6"/>
  <c r="G529" i="6"/>
  <c r="D529" i="6"/>
  <c r="C529" i="6"/>
  <c r="F529" i="6"/>
  <c r="G707" i="6"/>
  <c r="E707" i="6"/>
  <c r="F707" i="6"/>
  <c r="D707" i="6"/>
  <c r="C707" i="6"/>
  <c r="F1052" i="6"/>
  <c r="D1052" i="6"/>
  <c r="E1052" i="6"/>
  <c r="G1052" i="6"/>
  <c r="C1052" i="6"/>
  <c r="D143" i="6"/>
  <c r="C143" i="6"/>
  <c r="E143" i="6"/>
  <c r="C239" i="6"/>
  <c r="D239" i="6"/>
  <c r="E239" i="6"/>
  <c r="E335" i="6"/>
  <c r="G335" i="6"/>
  <c r="D335" i="6"/>
  <c r="C335" i="6"/>
  <c r="F335" i="6"/>
  <c r="E399" i="6"/>
  <c r="G399" i="6"/>
  <c r="D399" i="6"/>
  <c r="C399" i="6"/>
  <c r="F399" i="6"/>
  <c r="F533" i="6"/>
  <c r="D533" i="6"/>
  <c r="E533" i="6"/>
  <c r="G533" i="6"/>
  <c r="G615" i="6"/>
  <c r="D615" i="6"/>
  <c r="E615" i="6"/>
  <c r="F615" i="6"/>
  <c r="D9" i="6"/>
  <c r="C9" i="6"/>
  <c r="E9" i="6"/>
  <c r="E220" i="6"/>
  <c r="D220" i="6"/>
  <c r="C220" i="6"/>
  <c r="E230" i="6"/>
  <c r="C230" i="6"/>
  <c r="E571" i="6"/>
  <c r="C571" i="6"/>
  <c r="D571" i="6"/>
  <c r="G571" i="6"/>
  <c r="F571" i="6"/>
  <c r="D634" i="6"/>
  <c r="F634" i="6"/>
  <c r="C634" i="6"/>
  <c r="E634" i="6"/>
  <c r="G634" i="6"/>
  <c r="C572" i="6"/>
  <c r="F572" i="6"/>
  <c r="E572" i="6"/>
  <c r="G572" i="6"/>
  <c r="C73" i="6"/>
  <c r="E73" i="6"/>
  <c r="C169" i="6"/>
  <c r="E169" i="6"/>
  <c r="D169" i="6"/>
  <c r="D233" i="6"/>
  <c r="E233" i="6"/>
  <c r="C233" i="6"/>
  <c r="F297" i="6"/>
  <c r="E297" i="6"/>
  <c r="D297" i="6"/>
  <c r="C297" i="6"/>
  <c r="F425" i="6"/>
  <c r="E425" i="6"/>
  <c r="D425" i="6"/>
  <c r="C425" i="6"/>
  <c r="G582" i="6"/>
  <c r="C582" i="6"/>
  <c r="F582" i="6"/>
  <c r="E582" i="6"/>
  <c r="E567" i="6"/>
  <c r="G567" i="6"/>
  <c r="D567" i="6"/>
  <c r="C567" i="6"/>
  <c r="C144" i="6"/>
  <c r="D144" i="6"/>
  <c r="C59" i="6"/>
  <c r="E59" i="6"/>
  <c r="D59" i="6"/>
  <c r="G209" i="6" s="1"/>
  <c r="E174" i="6"/>
  <c r="D174" i="6"/>
  <c r="F553" i="6"/>
  <c r="E553" i="6"/>
  <c r="G553" i="6"/>
  <c r="D553" i="6"/>
  <c r="C390" i="6"/>
  <c r="G390" i="6"/>
  <c r="E515" i="6"/>
  <c r="D515" i="6"/>
  <c r="E882" i="6"/>
  <c r="D882" i="6"/>
  <c r="C1215" i="6"/>
  <c r="F1215" i="6"/>
  <c r="D155" i="6"/>
  <c r="C155" i="6"/>
  <c r="D219" i="6"/>
  <c r="C219" i="6"/>
  <c r="F315" i="6"/>
  <c r="E315" i="6"/>
  <c r="F411" i="6"/>
  <c r="E411" i="6"/>
  <c r="D493" i="6"/>
  <c r="F493" i="6"/>
  <c r="C763" i="6"/>
  <c r="D763" i="6"/>
  <c r="F763" i="6"/>
  <c r="E763" i="6"/>
  <c r="F783" i="6"/>
  <c r="G783" i="6"/>
  <c r="C783" i="6"/>
  <c r="E783" i="6"/>
  <c r="D713" i="6"/>
  <c r="C713" i="6"/>
  <c r="F616" i="6"/>
  <c r="D616" i="6"/>
  <c r="G1032" i="6"/>
  <c r="C1032" i="6"/>
  <c r="F1032" i="6"/>
  <c r="D1032" i="6"/>
  <c r="E1032" i="6"/>
  <c r="E1287" i="6"/>
  <c r="D1287" i="6"/>
  <c r="G1287" i="6"/>
  <c r="C1287" i="6"/>
  <c r="E607" i="6"/>
  <c r="G607" i="6"/>
  <c r="D607" i="6"/>
  <c r="F607" i="6"/>
  <c r="C607" i="6"/>
  <c r="C994" i="6"/>
  <c r="D994" i="6"/>
  <c r="F994" i="6"/>
  <c r="G994" i="6"/>
  <c r="C888" i="6"/>
  <c r="D888" i="6"/>
  <c r="G888" i="6"/>
  <c r="E888" i="6"/>
  <c r="E679" i="6"/>
  <c r="C679" i="6"/>
  <c r="G679" i="6"/>
  <c r="F679" i="6"/>
  <c r="D679" i="6"/>
  <c r="D874" i="6"/>
  <c r="E874" i="6"/>
  <c r="G874" i="6"/>
  <c r="C874" i="6"/>
  <c r="F874" i="6"/>
  <c r="E1035" i="6"/>
  <c r="F1035" i="6"/>
  <c r="D1035" i="6"/>
  <c r="C1035" i="6"/>
  <c r="F729" i="6"/>
  <c r="D729" i="6"/>
  <c r="C729" i="6"/>
  <c r="E729" i="6"/>
  <c r="G729" i="6"/>
  <c r="G560" i="6"/>
  <c r="E560" i="6"/>
  <c r="F560" i="6"/>
  <c r="D560" i="6"/>
  <c r="C560" i="6"/>
  <c r="G848" i="6"/>
  <c r="E848" i="6"/>
  <c r="D848" i="6"/>
  <c r="F848" i="6"/>
  <c r="C772" i="6"/>
  <c r="F772" i="6"/>
  <c r="E772" i="6"/>
  <c r="G772" i="6"/>
  <c r="C702" i="6"/>
  <c r="F702" i="6"/>
  <c r="E702" i="6"/>
  <c r="G702" i="6"/>
  <c r="D702" i="6"/>
  <c r="D1064" i="6"/>
  <c r="E1064" i="6"/>
  <c r="C1064" i="6"/>
  <c r="F1064" i="6"/>
  <c r="E1329" i="6"/>
  <c r="C1329" i="6"/>
  <c r="F1329" i="6"/>
  <c r="G1329" i="6"/>
  <c r="D1329" i="6"/>
  <c r="C989" i="6"/>
  <c r="F989" i="6"/>
  <c r="D989" i="6"/>
  <c r="E989" i="6"/>
  <c r="D827" i="6"/>
  <c r="C827" i="6"/>
  <c r="F827" i="6"/>
  <c r="G827" i="6"/>
  <c r="G1034" i="6"/>
  <c r="D1034" i="6"/>
  <c r="C1034" i="6"/>
  <c r="F1034" i="6"/>
  <c r="E1034" i="6"/>
  <c r="F1211" i="6"/>
  <c r="E1211" i="6"/>
  <c r="D1211" i="6"/>
  <c r="C1211" i="6"/>
  <c r="F1465" i="6"/>
  <c r="G1465" i="6"/>
  <c r="D1465" i="6"/>
  <c r="E1465" i="6"/>
  <c r="C1465" i="6"/>
  <c r="D1124" i="6"/>
  <c r="G1124" i="6"/>
  <c r="E1124" i="6"/>
  <c r="C1124" i="6"/>
  <c r="G877" i="6"/>
  <c r="D877" i="6"/>
  <c r="C877" i="6"/>
  <c r="F877" i="6"/>
  <c r="F1006" i="6"/>
  <c r="G1006" i="6"/>
  <c r="C1006" i="6"/>
  <c r="E1006" i="6"/>
  <c r="D1006" i="6"/>
  <c r="C1283" i="6"/>
  <c r="E1283" i="6"/>
  <c r="D1283" i="6"/>
  <c r="F1283" i="6"/>
  <c r="F1107" i="6"/>
  <c r="G1107" i="6"/>
  <c r="E1107" i="6"/>
  <c r="D1107" i="6"/>
  <c r="C1107" i="6"/>
  <c r="F1246" i="6"/>
  <c r="G1246" i="6"/>
  <c r="D1246" i="6"/>
  <c r="C1246" i="6"/>
  <c r="E1246" i="6"/>
  <c r="C1072" i="6"/>
  <c r="E1072" i="6"/>
  <c r="F1072" i="6"/>
  <c r="D1072" i="6"/>
  <c r="G933" i="6"/>
  <c r="C933" i="6"/>
  <c r="D933" i="6"/>
  <c r="E933" i="6"/>
  <c r="D831" i="6"/>
  <c r="F831" i="6"/>
  <c r="E831" i="6"/>
  <c r="C831" i="6"/>
  <c r="G831" i="6"/>
  <c r="F975" i="6"/>
  <c r="C975" i="6"/>
  <c r="D975" i="6"/>
  <c r="E975" i="6"/>
  <c r="D1143" i="6"/>
  <c r="E1143" i="6"/>
  <c r="F1143" i="6"/>
  <c r="G1143" i="6"/>
  <c r="F1431" i="6"/>
  <c r="E1431" i="6"/>
  <c r="C1431" i="6"/>
  <c r="G1431" i="6"/>
  <c r="D1431" i="6"/>
  <c r="D1085" i="6"/>
  <c r="F1085" i="6"/>
  <c r="C1085" i="6"/>
  <c r="E1085" i="6"/>
  <c r="F1286" i="6"/>
  <c r="E1286" i="6"/>
  <c r="D1286" i="6"/>
  <c r="C1286" i="6"/>
  <c r="D1224" i="6"/>
  <c r="F1224" i="6"/>
  <c r="C1224" i="6"/>
  <c r="E1224" i="6"/>
  <c r="D1288" i="6"/>
  <c r="E1288" i="6"/>
  <c r="C1288" i="6"/>
  <c r="G1288" i="6"/>
  <c r="E1346" i="6"/>
  <c r="G1346" i="6"/>
  <c r="D1346" i="6"/>
  <c r="C1346" i="6"/>
  <c r="F1436" i="6"/>
  <c r="D1436" i="6"/>
  <c r="C1436" i="6"/>
  <c r="E1436" i="6"/>
  <c r="C1457" i="6"/>
  <c r="F1457" i="6"/>
  <c r="E1457" i="6"/>
  <c r="G1457" i="6"/>
  <c r="E1328" i="6"/>
  <c r="C1328" i="6"/>
  <c r="G1328" i="6"/>
  <c r="F1328" i="6"/>
  <c r="F1113" i="6"/>
  <c r="C1113" i="6"/>
  <c r="E1113" i="6"/>
  <c r="D1113" i="6"/>
  <c r="D1392" i="6"/>
  <c r="E1392" i="6"/>
  <c r="C1392" i="6"/>
  <c r="F1392" i="6"/>
  <c r="G1392" i="6"/>
  <c r="G1252" i="6"/>
  <c r="D1252" i="6"/>
  <c r="F1252" i="6"/>
  <c r="C1252" i="6"/>
  <c r="E1327" i="6"/>
  <c r="G1327" i="6"/>
  <c r="D1327" i="6"/>
  <c r="C1327" i="6"/>
  <c r="F1327" i="6"/>
  <c r="F1338" i="6"/>
  <c r="E1338" i="6"/>
  <c r="C1338" i="6"/>
  <c r="D1338" i="6"/>
  <c r="G1338" i="6"/>
  <c r="C1371" i="6"/>
  <c r="F1371" i="6"/>
  <c r="G1371" i="6"/>
  <c r="E1371" i="6"/>
  <c r="D1371" i="6"/>
  <c r="D1403" i="6"/>
  <c r="C1403" i="6"/>
  <c r="G1403" i="6"/>
  <c r="F1403" i="6"/>
  <c r="E1403" i="6"/>
  <c r="E1453" i="6"/>
  <c r="F1453" i="6"/>
  <c r="C1453" i="6"/>
  <c r="D1453" i="6"/>
  <c r="G671" i="6"/>
  <c r="D671" i="6"/>
  <c r="E671" i="6"/>
  <c r="C671" i="6"/>
  <c r="F671" i="6"/>
  <c r="E397" i="6"/>
  <c r="G397" i="6"/>
  <c r="D397" i="6"/>
  <c r="C397" i="6"/>
  <c r="F269" i="6"/>
  <c r="E269" i="6"/>
  <c r="D269" i="6"/>
  <c r="G269" i="6"/>
  <c r="G828" i="6"/>
  <c r="C828" i="6"/>
  <c r="F828" i="6"/>
  <c r="C118" i="6"/>
  <c r="E118" i="6"/>
  <c r="D378" i="6"/>
  <c r="G378" i="6"/>
  <c r="F378" i="6"/>
  <c r="E378" i="6"/>
  <c r="C378" i="6"/>
  <c r="C356" i="6"/>
  <c r="E356" i="6"/>
  <c r="F356" i="6"/>
  <c r="G356" i="6"/>
  <c r="C357" i="6"/>
  <c r="E357" i="6"/>
  <c r="D357" i="6"/>
  <c r="G357" i="6"/>
  <c r="F357" i="6"/>
  <c r="G728" i="6"/>
  <c r="D728" i="6"/>
  <c r="C728" i="6"/>
  <c r="F728" i="6"/>
  <c r="E728" i="6"/>
  <c r="E490" i="6"/>
  <c r="G490" i="6"/>
  <c r="C490" i="6"/>
  <c r="D490" i="6"/>
  <c r="D5" i="6"/>
  <c r="G241" i="6" s="1"/>
  <c r="C5" i="6"/>
  <c r="E202" i="6"/>
  <c r="C202" i="6"/>
  <c r="D292" i="6"/>
  <c r="G292" i="6"/>
  <c r="C292" i="6"/>
  <c r="D1493" i="6"/>
  <c r="D1427" i="6"/>
  <c r="D1499" i="6"/>
  <c r="C1470" i="6"/>
  <c r="G1378" i="6"/>
  <c r="C1317" i="6"/>
  <c r="G1412" i="6"/>
  <c r="G1282" i="6"/>
  <c r="E1274" i="6"/>
  <c r="F1493" i="6"/>
  <c r="D1443" i="6"/>
  <c r="E1427" i="6"/>
  <c r="G1499" i="6"/>
  <c r="C1393" i="6"/>
  <c r="F1470" i="6"/>
  <c r="E1378" i="6"/>
  <c r="D1361" i="6"/>
  <c r="D1317" i="6"/>
  <c r="E1412" i="6"/>
  <c r="G1274" i="6"/>
  <c r="G1210" i="6"/>
  <c r="E1281" i="6"/>
  <c r="C1154" i="6"/>
  <c r="G1071" i="6"/>
  <c r="E1203" i="6"/>
  <c r="G1172" i="6"/>
  <c r="G616" i="6"/>
  <c r="G488" i="6"/>
  <c r="F713" i="6"/>
  <c r="C557" i="6"/>
  <c r="C443" i="6"/>
  <c r="C379" i="6"/>
  <c r="C315" i="6"/>
  <c r="E251" i="6"/>
  <c r="G1215" i="6"/>
  <c r="D755" i="6"/>
  <c r="C515" i="6"/>
  <c r="C577" i="6"/>
  <c r="D390" i="6"/>
  <c r="C174" i="6"/>
  <c r="G1476" i="6"/>
  <c r="D1177" i="6"/>
  <c r="F1135" i="6"/>
  <c r="C269" i="6"/>
  <c r="D85" i="6"/>
  <c r="C661" i="6"/>
  <c r="F482" i="6"/>
  <c r="E5" i="6"/>
  <c r="F71" i="6" s="1"/>
  <c r="E292" i="6"/>
  <c r="C863" i="6"/>
  <c r="F962" i="6"/>
  <c r="F567" i="6"/>
  <c r="C736" i="6"/>
  <c r="D201" i="6"/>
  <c r="D266" i="6"/>
  <c r="D737" i="6"/>
  <c r="E250" i="6"/>
  <c r="G1295" i="6"/>
  <c r="C1220" i="6"/>
  <c r="G1211" i="6"/>
  <c r="C1485" i="6"/>
  <c r="D1432" i="6"/>
  <c r="F1287" i="6"/>
  <c r="G1115" i="6"/>
  <c r="G1035" i="6"/>
  <c r="G1283" i="6"/>
  <c r="C1149" i="6"/>
  <c r="F1124" i="6"/>
  <c r="C964" i="6"/>
  <c r="C830" i="6"/>
  <c r="F766" i="6"/>
  <c r="C848" i="6"/>
  <c r="E722" i="6"/>
  <c r="C533" i="6"/>
  <c r="E595" i="6"/>
  <c r="C244" i="6"/>
  <c r="C800" i="6"/>
  <c r="E800" i="6"/>
  <c r="E309" i="6"/>
  <c r="D309" i="6"/>
  <c r="G309" i="6"/>
  <c r="C181" i="6"/>
  <c r="E181" i="6"/>
  <c r="D181" i="6"/>
  <c r="G492" i="6"/>
  <c r="E492" i="6"/>
  <c r="F492" i="6"/>
  <c r="C492" i="6"/>
  <c r="D1180" i="6"/>
  <c r="C1180" i="6"/>
  <c r="E1180" i="6"/>
  <c r="G294" i="6"/>
  <c r="E294" i="6"/>
  <c r="F294" i="6"/>
  <c r="C294" i="6"/>
  <c r="D140" i="6"/>
  <c r="E140" i="6"/>
  <c r="F134" i="6" s="1"/>
  <c r="F452" i="6"/>
  <c r="E452" i="6"/>
  <c r="D452" i="6"/>
  <c r="G290" i="6"/>
  <c r="C290" i="6"/>
  <c r="F290" i="6"/>
  <c r="F498" i="6"/>
  <c r="C498" i="6"/>
  <c r="E498" i="6"/>
  <c r="C309" i="6"/>
  <c r="F1180" i="6"/>
  <c r="D294" i="6"/>
  <c r="G456" i="6"/>
  <c r="F456" i="6"/>
  <c r="E304" i="6"/>
  <c r="F304" i="6"/>
  <c r="D304" i="6"/>
  <c r="G473" i="6"/>
  <c r="D473" i="6"/>
  <c r="C473" i="6"/>
  <c r="D158" i="6"/>
  <c r="E158" i="6"/>
  <c r="C302" i="6"/>
  <c r="G302" i="6"/>
  <c r="F489" i="6"/>
  <c r="E489" i="6"/>
  <c r="C500" i="6"/>
  <c r="G500" i="6"/>
  <c r="C628" i="6"/>
  <c r="G628" i="6"/>
  <c r="C382" i="6"/>
  <c r="G382" i="6"/>
  <c r="C446" i="6"/>
  <c r="G446" i="6"/>
  <c r="F561" i="6"/>
  <c r="E561" i="6"/>
  <c r="D705" i="6"/>
  <c r="G705" i="6"/>
  <c r="E499" i="6"/>
  <c r="D499" i="6"/>
  <c r="E627" i="6"/>
  <c r="D627" i="6"/>
  <c r="C739" i="6"/>
  <c r="G739" i="6"/>
  <c r="C868" i="6"/>
  <c r="F868" i="6"/>
  <c r="C1166" i="6"/>
  <c r="G1166" i="6"/>
  <c r="E247" i="6"/>
  <c r="G247" i="6"/>
  <c r="F279" i="6"/>
  <c r="E279" i="6"/>
  <c r="F311" i="6"/>
  <c r="E311" i="6"/>
  <c r="F343" i="6"/>
  <c r="E343" i="6"/>
  <c r="F375" i="6"/>
  <c r="E375" i="6"/>
  <c r="F407" i="6"/>
  <c r="E407" i="6"/>
  <c r="E87" i="6"/>
  <c r="G868" i="6"/>
  <c r="C627" i="6"/>
  <c r="F705" i="6"/>
  <c r="D446" i="6"/>
  <c r="D628" i="6"/>
  <c r="C489" i="6"/>
  <c r="G304" i="6"/>
  <c r="C55" i="6"/>
  <c r="D23" i="6"/>
  <c r="G212" i="6" s="1"/>
  <c r="E456" i="6"/>
  <c r="E183" i="6"/>
  <c r="F41" i="6" s="1"/>
  <c r="C151" i="6"/>
  <c r="F1166" i="6"/>
  <c r="D868" i="6"/>
  <c r="F739" i="6"/>
  <c r="G627" i="6"/>
  <c r="F499" i="6"/>
  <c r="E705" i="6"/>
  <c r="D561" i="6"/>
  <c r="E446" i="6"/>
  <c r="F382" i="6"/>
  <c r="E628" i="6"/>
  <c r="F500" i="6"/>
  <c r="G489" i="6"/>
  <c r="F302" i="6"/>
  <c r="E473" i="6"/>
  <c r="C23" i="6"/>
  <c r="E439" i="6"/>
  <c r="D757" i="6"/>
  <c r="F699" i="6"/>
  <c r="C937" i="6"/>
  <c r="D752" i="6"/>
  <c r="D7" i="3"/>
  <c r="G225" i="6"/>
  <c r="D5" i="3"/>
  <c r="D4" i="3"/>
  <c r="G96" i="6"/>
  <c r="A5" i="2"/>
  <c r="F177" i="6" l="1"/>
  <c r="F143" i="6"/>
  <c r="F173" i="6"/>
  <c r="G222" i="6"/>
  <c r="F122" i="6"/>
  <c r="F112" i="6"/>
  <c r="F204" i="6"/>
  <c r="G218" i="6"/>
  <c r="F213" i="6"/>
  <c r="G71" i="6"/>
  <c r="G205" i="6"/>
  <c r="F84" i="6"/>
  <c r="F217" i="6"/>
  <c r="F206" i="6"/>
  <c r="F224" i="6"/>
  <c r="F215" i="6"/>
  <c r="F161" i="6"/>
  <c r="F209" i="6"/>
  <c r="F83" i="6"/>
  <c r="F18" i="6"/>
  <c r="F168" i="6"/>
  <c r="F220" i="6"/>
  <c r="G70" i="6"/>
  <c r="F95" i="6"/>
  <c r="F16" i="6"/>
  <c r="G45" i="6"/>
  <c r="G84" i="6"/>
  <c r="F201" i="6"/>
  <c r="G190" i="6"/>
  <c r="G67" i="6"/>
  <c r="G158" i="6"/>
  <c r="G201" i="6"/>
  <c r="E5" i="2"/>
  <c r="G25" i="6"/>
  <c r="G86" i="6"/>
  <c r="G146" i="6"/>
  <c r="G170" i="6"/>
  <c r="G28" i="6"/>
  <c r="G148" i="6"/>
  <c r="G60" i="6"/>
  <c r="G118" i="6"/>
  <c r="F198" i="6"/>
  <c r="F92" i="6"/>
  <c r="F94" i="6"/>
  <c r="F89" i="6"/>
  <c r="F37" i="6"/>
  <c r="F63" i="6"/>
  <c r="F3" i="6"/>
  <c r="F96" i="6"/>
  <c r="G149" i="6"/>
  <c r="G87" i="6"/>
  <c r="G17" i="6"/>
  <c r="G137" i="6"/>
  <c r="G104" i="6"/>
  <c r="G184" i="6"/>
  <c r="G138" i="6"/>
  <c r="G180" i="6"/>
  <c r="F202" i="6"/>
  <c r="G193" i="6"/>
  <c r="G66" i="6"/>
  <c r="G124" i="6"/>
  <c r="G83" i="6"/>
  <c r="F10" i="6"/>
  <c r="G130" i="6"/>
  <c r="G23" i="6"/>
  <c r="G113" i="6"/>
  <c r="G9" i="6"/>
  <c r="G134" i="6"/>
  <c r="F117" i="6"/>
  <c r="G63" i="6"/>
  <c r="G127" i="6"/>
  <c r="G150" i="6"/>
  <c r="F105" i="6"/>
  <c r="F172" i="6"/>
  <c r="F200" i="6"/>
  <c r="F81" i="6"/>
  <c r="F146" i="6"/>
  <c r="F36" i="6"/>
  <c r="F183" i="6"/>
  <c r="F121" i="6"/>
  <c r="F154" i="6"/>
  <c r="F148" i="6"/>
  <c r="F138" i="6"/>
  <c r="F30" i="6"/>
  <c r="F93" i="6"/>
  <c r="F180" i="6"/>
  <c r="G44" i="6"/>
  <c r="G105" i="6"/>
  <c r="G64" i="6"/>
  <c r="G14" i="6"/>
  <c r="G168" i="6"/>
  <c r="G56" i="6"/>
  <c r="G94" i="6"/>
  <c r="G119" i="6"/>
  <c r="F33" i="6"/>
  <c r="G10" i="6"/>
  <c r="F165" i="6"/>
  <c r="F151" i="6"/>
  <c r="F137" i="6"/>
  <c r="G42" i="6"/>
  <c r="F38" i="6"/>
  <c r="F88" i="6"/>
  <c r="F40" i="6"/>
  <c r="G62" i="6"/>
  <c r="G125" i="6"/>
  <c r="F28" i="6"/>
  <c r="F103" i="6"/>
  <c r="F193" i="6"/>
  <c r="F128" i="6"/>
  <c r="F86" i="6"/>
  <c r="F156" i="6"/>
  <c r="F175" i="6"/>
  <c r="F48" i="6"/>
  <c r="F21" i="6"/>
  <c r="F82" i="6"/>
  <c r="G61" i="6"/>
  <c r="F46" i="6"/>
  <c r="G177" i="6"/>
  <c r="G95" i="6"/>
  <c r="G128" i="6"/>
  <c r="G74" i="6"/>
  <c r="G48" i="6"/>
  <c r="G37" i="6"/>
  <c r="G192" i="6"/>
  <c r="F208" i="6"/>
  <c r="G176" i="6"/>
  <c r="F212" i="6"/>
  <c r="G159" i="6"/>
  <c r="F90" i="6"/>
  <c r="F57" i="6"/>
  <c r="G85" i="6"/>
  <c r="G4" i="6"/>
  <c r="F145" i="6"/>
  <c r="F52" i="6"/>
  <c r="F76" i="6"/>
  <c r="F129" i="6"/>
  <c r="F61" i="6"/>
  <c r="F185" i="6"/>
  <c r="F9" i="6"/>
  <c r="F111" i="6"/>
  <c r="F45" i="6"/>
  <c r="G123" i="6"/>
  <c r="F182" i="6"/>
  <c r="F55" i="6"/>
  <c r="F120" i="6"/>
  <c r="G169" i="6"/>
  <c r="F24" i="6"/>
  <c r="G160" i="6"/>
  <c r="G120" i="6"/>
  <c r="G153" i="6"/>
  <c r="G40" i="6"/>
  <c r="G55" i="6"/>
  <c r="G166" i="6"/>
  <c r="F42" i="6"/>
  <c r="G131" i="6"/>
  <c r="F29" i="6"/>
  <c r="F228" i="6"/>
  <c r="F230" i="6"/>
  <c r="G242" i="6"/>
  <c r="F241" i="6"/>
  <c r="G243" i="6"/>
  <c r="G31" i="6"/>
  <c r="F87" i="6"/>
  <c r="G58" i="6"/>
  <c r="G145" i="6"/>
  <c r="G6" i="6"/>
  <c r="G98" i="6"/>
  <c r="F70" i="6"/>
  <c r="F13" i="6"/>
  <c r="F12" i="6"/>
  <c r="F49" i="6"/>
  <c r="F39" i="6"/>
  <c r="F102" i="6"/>
  <c r="F160" i="6"/>
  <c r="F31" i="6"/>
  <c r="G68" i="6"/>
  <c r="F74" i="6"/>
  <c r="G213" i="6"/>
  <c r="G183" i="6"/>
  <c r="G41" i="6"/>
  <c r="G198" i="6"/>
  <c r="F118" i="6"/>
  <c r="G89" i="6"/>
  <c r="G165" i="6"/>
  <c r="G69" i="6"/>
  <c r="G199" i="6"/>
  <c r="G151" i="6"/>
  <c r="G16" i="6"/>
  <c r="F6" i="6"/>
  <c r="G35" i="6"/>
  <c r="F181" i="6"/>
  <c r="F191" i="6"/>
  <c r="F27" i="6"/>
  <c r="G204" i="6"/>
  <c r="F178" i="6"/>
  <c r="G39" i="6"/>
  <c r="F126" i="6"/>
  <c r="F119" i="6"/>
  <c r="G191" i="6"/>
  <c r="F140" i="6"/>
  <c r="F218" i="6"/>
  <c r="F73" i="6"/>
  <c r="F169" i="6"/>
  <c r="F108" i="6"/>
  <c r="F109" i="6"/>
  <c r="F72" i="6"/>
  <c r="F113" i="6"/>
  <c r="F124" i="6"/>
  <c r="F60" i="6"/>
  <c r="F58" i="6"/>
  <c r="F8" i="6"/>
  <c r="F225" i="6"/>
  <c r="F97" i="6"/>
  <c r="F17" i="6"/>
  <c r="F7" i="6"/>
  <c r="F153" i="6"/>
  <c r="F188" i="6"/>
  <c r="F44" i="6"/>
  <c r="F207" i="6"/>
  <c r="F79" i="6"/>
  <c r="F26" i="6"/>
  <c r="F56" i="6"/>
  <c r="G110" i="6"/>
  <c r="G155" i="6"/>
  <c r="F20" i="6"/>
  <c r="F77" i="6"/>
  <c r="F176" i="6"/>
  <c r="G116" i="6"/>
  <c r="G12" i="6"/>
  <c r="F186" i="6"/>
  <c r="G49" i="6"/>
  <c r="G73" i="6"/>
  <c r="G173" i="6"/>
  <c r="G185" i="6"/>
  <c r="G81" i="6"/>
  <c r="G202" i="6"/>
  <c r="G93" i="6"/>
  <c r="G207" i="6"/>
  <c r="G182" i="6"/>
  <c r="G121" i="6"/>
  <c r="G167" i="6"/>
  <c r="G178" i="6"/>
  <c r="G30" i="6"/>
  <c r="F167" i="6"/>
  <c r="F22" i="6"/>
  <c r="G97" i="6"/>
  <c r="F53" i="6"/>
  <c r="F162" i="6"/>
  <c r="F51" i="6"/>
  <c r="G139" i="6"/>
  <c r="G13" i="6"/>
  <c r="G109" i="6"/>
  <c r="F171" i="6"/>
  <c r="F239" i="6"/>
  <c r="F67" i="6"/>
  <c r="G203" i="6"/>
  <c r="F47" i="6"/>
  <c r="G33" i="6"/>
  <c r="F174" i="6"/>
  <c r="G215" i="6"/>
  <c r="G20" i="6"/>
  <c r="F233" i="6"/>
  <c r="G229" i="6"/>
  <c r="F98" i="6"/>
  <c r="F54" i="6"/>
  <c r="F229" i="6"/>
  <c r="G5" i="6"/>
  <c r="G227" i="6"/>
  <c r="G233" i="6"/>
  <c r="F66" i="6"/>
  <c r="G91" i="6"/>
  <c r="G32" i="6"/>
  <c r="F34" i="6"/>
  <c r="F78" i="6"/>
  <c r="G147" i="6"/>
  <c r="G226" i="6"/>
  <c r="F179" i="6"/>
  <c r="F130" i="6"/>
  <c r="F68" i="6"/>
  <c r="G107" i="6"/>
  <c r="G36" i="6"/>
  <c r="F236" i="6"/>
  <c r="G210" i="6"/>
  <c r="F136" i="6"/>
  <c r="F144" i="6"/>
  <c r="F107" i="6"/>
  <c r="G136" i="6"/>
  <c r="G100" i="6"/>
  <c r="G240" i="6"/>
  <c r="G115" i="6"/>
  <c r="G234" i="6"/>
  <c r="F231" i="6"/>
  <c r="G102" i="6"/>
  <c r="G22" i="6"/>
  <c r="G224" i="6"/>
  <c r="G7" i="6"/>
  <c r="G208" i="6"/>
  <c r="G186" i="6"/>
  <c r="G175" i="6"/>
  <c r="G197" i="6"/>
  <c r="G76" i="6"/>
  <c r="G152" i="6"/>
  <c r="G220" i="6"/>
  <c r="G122" i="6"/>
  <c r="G135" i="6"/>
  <c r="G47" i="6"/>
  <c r="G181" i="6"/>
  <c r="G144" i="6"/>
  <c r="G77" i="6"/>
  <c r="G26" i="6"/>
  <c r="F190" i="6"/>
  <c r="F135" i="6"/>
  <c r="F199" i="6"/>
  <c r="G140" i="6"/>
  <c r="F14" i="6"/>
  <c r="F65" i="6"/>
  <c r="G129" i="6"/>
  <c r="F152" i="6"/>
  <c r="F125" i="6"/>
  <c r="F104" i="6"/>
  <c r="G194" i="6"/>
  <c r="G3" i="6"/>
  <c r="F142" i="6"/>
  <c r="G75" i="6"/>
  <c r="F163" i="6"/>
  <c r="F69" i="6"/>
  <c r="F197" i="6"/>
  <c r="F116" i="6"/>
  <c r="G111" i="6"/>
  <c r="F223" i="6"/>
  <c r="G90" i="6"/>
  <c r="G57" i="6"/>
  <c r="F166" i="6"/>
  <c r="G108" i="6"/>
  <c r="F141" i="6"/>
  <c r="G72" i="6"/>
  <c r="F226" i="6"/>
  <c r="G164" i="6"/>
  <c r="G171" i="6"/>
  <c r="G219" i="6"/>
  <c r="G230" i="6"/>
  <c r="F123" i="6"/>
  <c r="G232" i="6"/>
  <c r="G157" i="6"/>
  <c r="F210" i="6"/>
  <c r="F100" i="6"/>
  <c r="F99" i="6"/>
  <c r="G53" i="6"/>
  <c r="G132" i="6"/>
  <c r="G237" i="6"/>
  <c r="F50" i="6"/>
  <c r="G206" i="6"/>
  <c r="G163" i="6"/>
  <c r="F216" i="6"/>
  <c r="G214" i="6"/>
  <c r="G200" i="6"/>
  <c r="G162" i="6"/>
  <c r="G43" i="6"/>
  <c r="F115" i="6"/>
  <c r="F11" i="6"/>
  <c r="F196" i="6"/>
  <c r="F235" i="6"/>
  <c r="F147" i="6"/>
  <c r="G142" i="6"/>
  <c r="G188" i="6"/>
  <c r="G112" i="6"/>
  <c r="G223" i="6"/>
  <c r="G82" i="6"/>
  <c r="G106" i="6"/>
  <c r="G154" i="6"/>
  <c r="G79" i="6"/>
  <c r="G133" i="6"/>
  <c r="G21" i="6"/>
  <c r="G217" i="6"/>
  <c r="G92" i="6"/>
  <c r="G52" i="6"/>
  <c r="G103" i="6"/>
  <c r="G15" i="6"/>
  <c r="F219" i="6"/>
  <c r="F149" i="6"/>
  <c r="F23" i="6"/>
  <c r="F222" i="6"/>
  <c r="G143" i="6"/>
  <c r="F150" i="6"/>
  <c r="F184" i="6"/>
  <c r="G156" i="6"/>
  <c r="G161" i="6"/>
  <c r="F170" i="6"/>
  <c r="G141" i="6"/>
  <c r="F4" i="6"/>
  <c r="F2" i="6"/>
  <c r="F19" i="6"/>
  <c r="G174" i="6"/>
  <c r="F131" i="6"/>
  <c r="F195" i="6"/>
  <c r="G117" i="6"/>
  <c r="G126" i="6"/>
  <c r="F127" i="6"/>
  <c r="F106" i="6"/>
  <c r="F62" i="6"/>
  <c r="G65" i="6"/>
  <c r="G46" i="6"/>
  <c r="G172" i="6"/>
  <c r="F32" i="6"/>
  <c r="G8" i="6"/>
  <c r="G2" i="6"/>
  <c r="G179" i="6"/>
  <c r="F238" i="6"/>
  <c r="G59" i="6"/>
  <c r="G18" i="6"/>
  <c r="F187" i="6"/>
  <c r="F5" i="6"/>
  <c r="G114" i="6"/>
  <c r="G187" i="6"/>
  <c r="F205" i="6"/>
  <c r="F80" i="6"/>
  <c r="G78" i="6"/>
  <c r="F139" i="6"/>
  <c r="F214" i="6"/>
  <c r="F110" i="6"/>
  <c r="F64" i="6"/>
  <c r="G88" i="6"/>
  <c r="F192" i="6"/>
  <c r="G238" i="6"/>
  <c r="G195" i="6"/>
  <c r="G236" i="6"/>
  <c r="F157" i="6"/>
  <c r="G24" i="6"/>
  <c r="F194" i="6"/>
  <c r="F132" i="6"/>
  <c r="F203" i="6"/>
  <c r="F43" i="6"/>
  <c r="F234" i="6"/>
  <c r="G228" i="6"/>
  <c r="G231" i="6"/>
  <c r="F211" i="6"/>
  <c r="G235" i="6"/>
  <c r="F133" i="6"/>
  <c r="F15" i="6"/>
  <c r="F158" i="6"/>
  <c r="F159" i="6"/>
  <c r="G38" i="6"/>
  <c r="F25" i="6"/>
  <c r="G101" i="6"/>
  <c r="F114" i="6"/>
  <c r="G11" i="6"/>
  <c r="G239" i="6"/>
  <c r="F59" i="6"/>
  <c r="F85" i="6"/>
  <c r="G27" i="6"/>
  <c r="F101" i="6"/>
  <c r="F164" i="6"/>
  <c r="F221" i="6"/>
  <c r="G189" i="6"/>
  <c r="G51" i="6"/>
  <c r="F155" i="6"/>
  <c r="G54" i="6"/>
  <c r="F91" i="6"/>
  <c r="G50" i="6"/>
  <c r="G216" i="6"/>
  <c r="G19" i="6"/>
  <c r="F75" i="6"/>
  <c r="G29" i="6"/>
  <c r="F189" i="6"/>
  <c r="G221" i="6"/>
  <c r="G80" i="6"/>
  <c r="G34" i="6"/>
  <c r="G196" i="6"/>
  <c r="F240" i="6"/>
  <c r="F35" i="6"/>
  <c r="F232" i="6"/>
  <c r="G99" i="6"/>
  <c r="F237" i="6"/>
  <c r="F227" i="6"/>
  <c r="G211" i="6"/>
  <c r="C5" i="2"/>
  <c r="A8" i="2"/>
  <c r="B24" i="7" l="1"/>
  <c r="C24" i="7" s="1"/>
  <c r="B31" i="7"/>
  <c r="C31" i="7" s="1"/>
  <c r="B29" i="7"/>
  <c r="B25" i="7"/>
  <c r="B26" i="7"/>
  <c r="C26" i="7" s="1"/>
  <c r="B33" i="7"/>
  <c r="D33" i="7" s="1"/>
  <c r="B11" i="7"/>
  <c r="C11" i="7" s="1"/>
  <c r="B30" i="7"/>
  <c r="B15" i="7"/>
  <c r="C29" i="7"/>
  <c r="B18" i="7"/>
  <c r="D18" i="7" s="1"/>
  <c r="B14" i="7"/>
  <c r="D14" i="7" s="1"/>
  <c r="A5" i="7"/>
  <c r="B10" i="7"/>
  <c r="B19" i="7"/>
  <c r="D29" i="7"/>
  <c r="B13" i="7"/>
  <c r="D5" i="7"/>
  <c r="B17" i="7"/>
  <c r="B27" i="7"/>
  <c r="B16" i="7"/>
  <c r="B12" i="7"/>
  <c r="B28" i="7"/>
  <c r="B32" i="7"/>
  <c r="C14" i="7"/>
  <c r="E14" i="7" s="1"/>
  <c r="C10" i="7"/>
  <c r="D31" i="7" l="1"/>
  <c r="E31" i="7" s="1"/>
  <c r="D11" i="7"/>
  <c r="D24" i="7"/>
  <c r="E24" i="7" s="1"/>
  <c r="D26" i="7"/>
  <c r="C33" i="7"/>
  <c r="E33" i="7" s="1"/>
  <c r="E29" i="7"/>
  <c r="D30" i="7"/>
  <c r="C30" i="7"/>
  <c r="C25" i="7"/>
  <c r="D25" i="7"/>
  <c r="C18" i="7"/>
  <c r="C12" i="7"/>
  <c r="D12" i="7"/>
  <c r="C13" i="7"/>
  <c r="D13" i="7"/>
  <c r="D32" i="7"/>
  <c r="C32" i="7"/>
  <c r="C27" i="7"/>
  <c r="D27" i="7"/>
  <c r="D15" i="7"/>
  <c r="C15" i="7"/>
  <c r="D16" i="7"/>
  <c r="C16" i="7"/>
  <c r="D28" i="7"/>
  <c r="C28" i="7"/>
  <c r="D17" i="7"/>
  <c r="C17" i="7"/>
  <c r="C19" i="7"/>
  <c r="D19" i="7"/>
  <c r="E18" i="7"/>
  <c r="E26" i="7"/>
  <c r="D10" i="7"/>
  <c r="E10" i="7" s="1"/>
  <c r="E11" i="7"/>
  <c r="E30" i="7" l="1"/>
  <c r="E27" i="7"/>
  <c r="E16" i="7"/>
  <c r="E13" i="7"/>
  <c r="E28" i="7"/>
  <c r="E15" i="7"/>
  <c r="E32" i="7"/>
  <c r="E25" i="7"/>
  <c r="E19" i="7"/>
  <c r="E17" i="7"/>
  <c r="E12" i="7"/>
</calcChain>
</file>

<file path=xl/sharedStrings.xml><?xml version="1.0" encoding="utf-8"?>
<sst xmlns="http://schemas.openxmlformats.org/spreadsheetml/2006/main" count="8364" uniqueCount="1897">
  <si>
    <t>Merchant</t>
  </si>
  <si>
    <t>Marketplace</t>
  </si>
  <si>
    <t>HO No</t>
  </si>
  <si>
    <t>HO Date</t>
  </si>
  <si>
    <t>User Id</t>
  </si>
  <si>
    <t>Cnote No</t>
  </si>
  <si>
    <t>Approved</t>
  </si>
  <si>
    <t>Shipment Type</t>
  </si>
  <si>
    <t>Cnote Amount</t>
  </si>
  <si>
    <t>Destination</t>
  </si>
  <si>
    <t>Service</t>
  </si>
  <si>
    <t>Qty</t>
  </si>
  <si>
    <t>Weight</t>
  </si>
  <si>
    <t>Cod Flag</t>
  </si>
  <si>
    <t>Ins Flag</t>
  </si>
  <si>
    <t>Goods Value</t>
  </si>
  <si>
    <t>Created date</t>
  </si>
  <si>
    <t>Shipper Name</t>
  </si>
  <si>
    <t>Date_Str</t>
  </si>
  <si>
    <t>First_Occ</t>
  </si>
  <si>
    <t>Unique_Rank</t>
  </si>
  <si>
    <t>First_Occ_Cust</t>
  </si>
  <si>
    <t>Unique_Rank_Cust</t>
  </si>
  <si>
    <t>Marketplace_Clean</t>
  </si>
  <si>
    <t>REG23</t>
  </si>
  <si>
    <t>YES23</t>
  </si>
  <si>
    <t>JTR5_23</t>
  </si>
  <si>
    <t>REG05</t>
  </si>
  <si>
    <t>CTC05</t>
  </si>
  <si>
    <t>CTCJTR5_23</t>
  </si>
  <si>
    <t>CTC23</t>
  </si>
  <si>
    <t>JTR23</t>
  </si>
  <si>
    <t>📊 DASHBOARD PERFORMA PENGIRIMAN CASHLESS</t>
  </si>
  <si>
    <t>📦 TOTAL TRANSAKSI</t>
  </si>
  <si>
    <t>💰 TOTAL PENDAPATAN</t>
  </si>
  <si>
    <t>📈 RATA-RATA/TRANSAKSI</t>
  </si>
  <si>
    <t>⚖️ TOTAL BERAT (KG)</t>
  </si>
  <si>
    <t>🏆 SCO TERBAIK</t>
  </si>
  <si>
    <t>👥 SCO AKTIF BULAN INI</t>
  </si>
  <si>
    <t>🚚 LAYANAN TERLARIS</t>
  </si>
  <si>
    <t>🛒 MARKETPLACE FAVORIT</t>
  </si>
  <si>
    <t>📊 Tren &amp; Distribusi</t>
  </si>
  <si>
    <t>👤 REKAP PERFORMA SCO</t>
  </si>
  <si>
    <t>User id</t>
  </si>
  <si>
    <t>Total_Transaksi</t>
  </si>
  <si>
    <t>Total_Pendapatan</t>
  </si>
  <si>
    <t>Rank_Pendapatan</t>
  </si>
  <si>
    <t>🚚 REKAP PER LAYANAN</t>
  </si>
  <si>
    <t>Services</t>
  </si>
  <si>
    <t>🛒 REKAP PER MARKETPLACE</t>
  </si>
  <si>
    <t>SHOPEE</t>
  </si>
  <si>
    <t>TOKOPEDIA</t>
  </si>
  <si>
    <t>LASTANA EXPRESS</t>
  </si>
  <si>
    <t>FASHION MARKETPLACE</t>
  </si>
  <si>
    <t>GLOBAL DIGITAL NIAGA</t>
  </si>
  <si>
    <t>TOKGISTIC</t>
  </si>
  <si>
    <t>TOCO RAMAI DIGITAL</t>
  </si>
  <si>
    <t>Slot</t>
  </si>
  <si>
    <t>Cust_Id</t>
  </si>
  <si>
    <t>Cust_Name</t>
  </si>
  <si>
    <t>Rank_Order</t>
  </si>
  <si>
    <t>🏆 TOP CUSTOMER</t>
  </si>
  <si>
    <t>📋 Top 10 Customer — Berdasarkan Total Pendapatan</t>
  </si>
  <si>
    <t>Rank</t>
  </si>
  <si>
    <t>Nama Customer</t>
  </si>
  <si>
    <t>Rata-rata/Order</t>
  </si>
  <si>
    <t>📋 Top 10 Customer — Berdasarkan Total Order</t>
  </si>
  <si>
    <t>👤  TOTAL CUSTOMER</t>
  </si>
  <si>
    <t>Connote</t>
  </si>
  <si>
    <t>Revenue</t>
  </si>
  <si>
    <t>CUSTOMER TERBESAR (PENDAPATAN)</t>
  </si>
  <si>
    <t>TEHNIK POMPA KITA</t>
  </si>
  <si>
    <t>80561602-PT TOKOPEDIA</t>
  </si>
  <si>
    <t>ZKARNKRW</t>
  </si>
  <si>
    <t>Y</t>
  </si>
  <si>
    <t>DROP</t>
  </si>
  <si>
    <t>N</t>
  </si>
  <si>
    <t xml:space="preserve">CENCEN </t>
  </si>
  <si>
    <t xml:space="preserve">ALDI APRIL BAGUS TANOTO </t>
  </si>
  <si>
    <t>SHOPEE SELLER</t>
  </si>
  <si>
    <t>80514322-SHOPEE INTERNATIONAL</t>
  </si>
  <si>
    <t>CGK10404</t>
  </si>
  <si>
    <t>Suwartini</t>
  </si>
  <si>
    <t>80514305-SHOPEE INTERNATIONAL</t>
  </si>
  <si>
    <t>BKI10047</t>
  </si>
  <si>
    <t>Jessica</t>
  </si>
  <si>
    <t>Lunalita (Lutfiyatul Hanifah)</t>
  </si>
  <si>
    <t>BOO20100</t>
  </si>
  <si>
    <t>TGR10129</t>
  </si>
  <si>
    <t>DPK10060</t>
  </si>
  <si>
    <t>Yasashi Japan Shop</t>
  </si>
  <si>
    <t>Dani Hamdani (Yasashi Japan)</t>
  </si>
  <si>
    <t>CGK10506</t>
  </si>
  <si>
    <t>CGK10209</t>
  </si>
  <si>
    <t>Shella</t>
  </si>
  <si>
    <t>NAFARA</t>
  </si>
  <si>
    <t>BDO10044</t>
  </si>
  <si>
    <t>TGR10115</t>
  </si>
  <si>
    <t>fahri</t>
  </si>
  <si>
    <t>TGR10123</t>
  </si>
  <si>
    <t>CGK10101</t>
  </si>
  <si>
    <t>CGK10505</t>
  </si>
  <si>
    <t>Toko Sepeda UWO2</t>
  </si>
  <si>
    <t>TGR10107</t>
  </si>
  <si>
    <t>Mana! Tiny Little Things</t>
  </si>
  <si>
    <t>CGK10405</t>
  </si>
  <si>
    <t>BOO10031</t>
  </si>
  <si>
    <t>TGR10049</t>
  </si>
  <si>
    <t>Irfan riansyah</t>
  </si>
  <si>
    <t>Michael L.</t>
  </si>
  <si>
    <t>-</t>
  </si>
  <si>
    <t>RACHAYU</t>
  </si>
  <si>
    <t>BKI10122</t>
  </si>
  <si>
    <t>TGR10122</t>
  </si>
  <si>
    <t>80077911-FASHION MARKETPLACE I</t>
  </si>
  <si>
    <t>BKI10039</t>
  </si>
  <si>
    <t>80514318-SHOPEE INTERNATIONAL</t>
  </si>
  <si>
    <t>BOO10000</t>
  </si>
  <si>
    <t>Maryani Yani/ mitra pompa</t>
  </si>
  <si>
    <t>CGK10403</t>
  </si>
  <si>
    <t>TGR10117</t>
  </si>
  <si>
    <t>TGR10057</t>
  </si>
  <si>
    <t>DPS10000</t>
  </si>
  <si>
    <t>CGK10504</t>
  </si>
  <si>
    <t>ANDRI SUSANTO</t>
  </si>
  <si>
    <t>CGK10203</t>
  </si>
  <si>
    <t xml:space="preserve">ANDRI SUSANTO </t>
  </si>
  <si>
    <t>Sandy</t>
  </si>
  <si>
    <t>TGR10000</t>
  </si>
  <si>
    <t>TGR10133</t>
  </si>
  <si>
    <t>CGK10104</t>
  </si>
  <si>
    <t>Ko Chandra Paking</t>
  </si>
  <si>
    <t>TGR10047</t>
  </si>
  <si>
    <t>Jalan Proklamasi No 6 RT6 Rw5</t>
  </si>
  <si>
    <t>KRW10006</t>
  </si>
  <si>
    <t>CGK10308</t>
  </si>
  <si>
    <t>CGK10108</t>
  </si>
  <si>
    <t>TNJ10019</t>
  </si>
  <si>
    <t>Klinik ESHA Skin Center</t>
  </si>
  <si>
    <t>CGK10501</t>
  </si>
  <si>
    <t>BOO10030</t>
  </si>
  <si>
    <t>Deffie</t>
  </si>
  <si>
    <t>CGK10105</t>
  </si>
  <si>
    <t>SJM Paper &amp; Sticker</t>
  </si>
  <si>
    <t>BDO10055</t>
  </si>
  <si>
    <t>CGK10102</t>
  </si>
  <si>
    <t>BKI10040</t>
  </si>
  <si>
    <t>Dela Natalia Saputra</t>
  </si>
  <si>
    <t>SRG22207</t>
  </si>
  <si>
    <t>BDO10045</t>
  </si>
  <si>
    <t>TGR10036</t>
  </si>
  <si>
    <t>William Hartanto</t>
  </si>
  <si>
    <t>Torikidz</t>
  </si>
  <si>
    <t>Henry</t>
  </si>
  <si>
    <t>Gammal</t>
  </si>
  <si>
    <t>SRG10014</t>
  </si>
  <si>
    <t>Hendra</t>
  </si>
  <si>
    <t>TGR10102</t>
  </si>
  <si>
    <t>Anggun Kartika/ko Chandra</t>
  </si>
  <si>
    <t>BKI10042</t>
  </si>
  <si>
    <t>CKR10001</t>
  </si>
  <si>
    <t>CKR10005</t>
  </si>
  <si>
    <t>SRG21005</t>
  </si>
  <si>
    <t>CGK10202</t>
  </si>
  <si>
    <t>BDO10100</t>
  </si>
  <si>
    <t>MAGU Kids Wear</t>
  </si>
  <si>
    <t>TNJ10017</t>
  </si>
  <si>
    <t>CGK10201</t>
  </si>
  <si>
    <t>Pacificdental_group</t>
  </si>
  <si>
    <t>CGK10507</t>
  </si>
  <si>
    <t>Baby Kids</t>
  </si>
  <si>
    <t>DELAJAYA OLEH OLEH KARAWANG</t>
  </si>
  <si>
    <t>DPK10052</t>
  </si>
  <si>
    <t>Aprinia (almeera Kost)</t>
  </si>
  <si>
    <t>CGK10103</t>
  </si>
  <si>
    <t>Faza</t>
  </si>
  <si>
    <t>CKR10020</t>
  </si>
  <si>
    <t>Ferdian</t>
  </si>
  <si>
    <t>PKY10002</t>
  </si>
  <si>
    <t>Suksesbike Shop</t>
  </si>
  <si>
    <t>BOO20128</t>
  </si>
  <si>
    <t>Luxis</t>
  </si>
  <si>
    <t>Risna Dewi</t>
  </si>
  <si>
    <t>SUB20716</t>
  </si>
  <si>
    <t>Ari Winda</t>
  </si>
  <si>
    <t>CKR10003</t>
  </si>
  <si>
    <t>tabitaolshop</t>
  </si>
  <si>
    <t>CGK10401</t>
  </si>
  <si>
    <t>TGR10046</t>
  </si>
  <si>
    <t>FAZA - JASTIPSAMAIMOO</t>
  </si>
  <si>
    <t>CBN20120</t>
  </si>
  <si>
    <t>81094300-TOKGISTIC PTE. LTD</t>
  </si>
  <si>
    <t>BDO10037</t>
  </si>
  <si>
    <t>ratna (gii)</t>
  </si>
  <si>
    <t>CGK10510</t>
  </si>
  <si>
    <t>MXG10035</t>
  </si>
  <si>
    <t>CGK10206</t>
  </si>
  <si>
    <t>starmil3</t>
  </si>
  <si>
    <t>CGK10207</t>
  </si>
  <si>
    <t>CGK10402</t>
  </si>
  <si>
    <t>CKR10008</t>
  </si>
  <si>
    <t>DPK10064</t>
  </si>
  <si>
    <t>CLG20300</t>
  </si>
  <si>
    <t>DPK10058</t>
  </si>
  <si>
    <t>CGK10208</t>
  </si>
  <si>
    <t>May</t>
  </si>
  <si>
    <t>CGK10508</t>
  </si>
  <si>
    <t>Denn Cun Shop 2</t>
  </si>
  <si>
    <t>BOO10026</t>
  </si>
  <si>
    <t>CGK10502</t>
  </si>
  <si>
    <t>CGK10301</t>
  </si>
  <si>
    <t>Chase The Use</t>
  </si>
  <si>
    <t>BDO21013</t>
  </si>
  <si>
    <t>CGK10304</t>
  </si>
  <si>
    <t>BDO10038</t>
  </si>
  <si>
    <t>KRW10023</t>
  </si>
  <si>
    <t>CGK10503</t>
  </si>
  <si>
    <t>BKI10049</t>
  </si>
  <si>
    <t>TGR10116</t>
  </si>
  <si>
    <t>BDO10056</t>
  </si>
  <si>
    <t>Siti Rohanah</t>
  </si>
  <si>
    <t>KRW10027</t>
  </si>
  <si>
    <t>KRW10029</t>
  </si>
  <si>
    <t>MXG20305</t>
  </si>
  <si>
    <t>BDO21012</t>
  </si>
  <si>
    <t>MJK10100</t>
  </si>
  <si>
    <t>DPS21102</t>
  </si>
  <si>
    <t>CGK10205</t>
  </si>
  <si>
    <t>BKI10123</t>
  </si>
  <si>
    <t>BKI10046</t>
  </si>
  <si>
    <t>DPK10062</t>
  </si>
  <si>
    <t>Djolek Shop</t>
  </si>
  <si>
    <t>BOO20127</t>
  </si>
  <si>
    <t>Nunu Nugraha</t>
  </si>
  <si>
    <t>BDO10043</t>
  </si>
  <si>
    <t>Tantia</t>
  </si>
  <si>
    <t>SUB10110</t>
  </si>
  <si>
    <t>81500801-TOCO RAMAI DIGITAL PT</t>
  </si>
  <si>
    <t>BDO21000</t>
  </si>
  <si>
    <t>BKI10041</t>
  </si>
  <si>
    <t>JOG10013</t>
  </si>
  <si>
    <t>CGK10211</t>
  </si>
  <si>
    <t>TGR10104</t>
  </si>
  <si>
    <t>BKI10043</t>
  </si>
  <si>
    <t>BDO10040</t>
  </si>
  <si>
    <t>CKR10013</t>
  </si>
  <si>
    <t>SUB10019</t>
  </si>
  <si>
    <t>Fahri,Gatot</t>
  </si>
  <si>
    <t>DPK10065</t>
  </si>
  <si>
    <t>DENN CUN SHOP</t>
  </si>
  <si>
    <t>80561601-TOKOPEDIA PT</t>
  </si>
  <si>
    <t xml:space="preserve">DEN </t>
  </si>
  <si>
    <t>CGK10107</t>
  </si>
  <si>
    <t>TGR10110</t>
  </si>
  <si>
    <t>BKI10044</t>
  </si>
  <si>
    <t>TGR10109</t>
  </si>
  <si>
    <t>CBN10037</t>
  </si>
  <si>
    <t>BDO10114</t>
  </si>
  <si>
    <t>wintercoat.id</t>
  </si>
  <si>
    <t>TGR10118</t>
  </si>
  <si>
    <t>SUB10024</t>
  </si>
  <si>
    <t>TGR10124</t>
  </si>
  <si>
    <t>CBN20419</t>
  </si>
  <si>
    <t>80071424-LASTANA EXPRESS IND P</t>
  </si>
  <si>
    <t>Nabila Setia Nugraeni</t>
  </si>
  <si>
    <t>FATAPE</t>
  </si>
  <si>
    <t>Andrea Erry Octavian</t>
  </si>
  <si>
    <t>BDO10041</t>
  </si>
  <si>
    <t>Pika Astragina</t>
  </si>
  <si>
    <t>cupacup</t>
  </si>
  <si>
    <t>herbal propolis</t>
  </si>
  <si>
    <t>JOG20307</t>
  </si>
  <si>
    <t>CV. PANCA PILAR ELEKTRIK (PAK IWAN)</t>
  </si>
  <si>
    <t xml:space="preserve">CV. PANCA PILAR ELEKTRIK (PAK </t>
  </si>
  <si>
    <t>maulana (lana)</t>
  </si>
  <si>
    <t>CKR10004</t>
  </si>
  <si>
    <t>BLUNDER_SW</t>
  </si>
  <si>
    <t>CKR10002</t>
  </si>
  <si>
    <t>BDO10103</t>
  </si>
  <si>
    <t>BDO21008</t>
  </si>
  <si>
    <t>CGK10204</t>
  </si>
  <si>
    <t>MD Tech</t>
  </si>
  <si>
    <t>SOC20212</t>
  </si>
  <si>
    <t>Arkha</t>
  </si>
  <si>
    <t>Lusiana Citra Dewi</t>
  </si>
  <si>
    <t>CBN20318</t>
  </si>
  <si>
    <t>JOG10005</t>
  </si>
  <si>
    <t>Arci Games</t>
  </si>
  <si>
    <t>SUB10015</t>
  </si>
  <si>
    <t>Bukubekas.id</t>
  </si>
  <si>
    <t>UPG10015</t>
  </si>
  <si>
    <t>TNJ10016</t>
  </si>
  <si>
    <t>Amanda</t>
  </si>
  <si>
    <t>TGL10202</t>
  </si>
  <si>
    <t>BDO10059</t>
  </si>
  <si>
    <t>JBR20122</t>
  </si>
  <si>
    <t>Gudang Bocorocco eCommerce</t>
  </si>
  <si>
    <t>TSM10131</t>
  </si>
  <si>
    <t>Niear Olshop</t>
  </si>
  <si>
    <t>Kusrini juliyani</t>
  </si>
  <si>
    <t>BDO10050</t>
  </si>
  <si>
    <t>PWT10000</t>
  </si>
  <si>
    <t>BDO10102</t>
  </si>
  <si>
    <t>BOO20154</t>
  </si>
  <si>
    <t>Ibu nengsih</t>
  </si>
  <si>
    <t>TGR10052</t>
  </si>
  <si>
    <t>Manda</t>
  </si>
  <si>
    <t>Erik</t>
  </si>
  <si>
    <t>Faradithya Putri Lakcyta</t>
  </si>
  <si>
    <t>BDO10063</t>
  </si>
  <si>
    <t>VICTOR, MAMA YAYAH</t>
  </si>
  <si>
    <t xml:space="preserve">VICTOR, MAMA YAYAH </t>
  </si>
  <si>
    <t>SUB20704</t>
  </si>
  <si>
    <t>DPK10067</t>
  </si>
  <si>
    <t>Hendra W. Wardhana</t>
  </si>
  <si>
    <t>BDO10104</t>
  </si>
  <si>
    <t>Laurensia</t>
  </si>
  <si>
    <t>TGL30001</t>
  </si>
  <si>
    <t>BOO20120</t>
  </si>
  <si>
    <t>SUB20710</t>
  </si>
  <si>
    <t>opi</t>
  </si>
  <si>
    <t>TGR10113</t>
  </si>
  <si>
    <t>CGK10509</t>
  </si>
  <si>
    <t>BDO10047</t>
  </si>
  <si>
    <t>Satria</t>
  </si>
  <si>
    <t>JOG20315</t>
  </si>
  <si>
    <t>TGR10055</t>
  </si>
  <si>
    <t>TKG10035</t>
  </si>
  <si>
    <t>DPS21100</t>
  </si>
  <si>
    <t>PNK10028</t>
  </si>
  <si>
    <t>80508101-GLOBAL DIGITAL NIAGA</t>
  </si>
  <si>
    <t>SUB10027</t>
  </si>
  <si>
    <t>MGL10501</t>
  </si>
  <si>
    <t>SUB10105</t>
  </si>
  <si>
    <t>BOO20126</t>
  </si>
  <si>
    <t>MDN10016</t>
  </si>
  <si>
    <t>Lynkids Collection</t>
  </si>
  <si>
    <t>BKI10045</t>
  </si>
  <si>
    <t>SUB10117</t>
  </si>
  <si>
    <t>SUB10008</t>
  </si>
  <si>
    <t>ida rusdiani</t>
  </si>
  <si>
    <t>BPN10010</t>
  </si>
  <si>
    <t>MJK10106</t>
  </si>
  <si>
    <t>CGK10302</t>
  </si>
  <si>
    <t>Devy Iqbal</t>
  </si>
  <si>
    <t>CLG10043</t>
  </si>
  <si>
    <t>HO-087-260727194043</t>
  </si>
  <si>
    <t>'JT39914769808</t>
  </si>
  <si>
    <t>CBN20313</t>
  </si>
  <si>
    <t>Nita Jumbo Collection</t>
  </si>
  <si>
    <t>'CM58894885887</t>
  </si>
  <si>
    <t>SRG20309</t>
  </si>
  <si>
    <t>Heri / Nita</t>
  </si>
  <si>
    <t>HO-087-260727184922</t>
  </si>
  <si>
    <t>'CM20283077051</t>
  </si>
  <si>
    <t>HERLINA</t>
  </si>
  <si>
    <t>HO-087-260727181208</t>
  </si>
  <si>
    <t>'TG3575269823</t>
  </si>
  <si>
    <t xml:space="preserve">HERLINA </t>
  </si>
  <si>
    <t>HO-087-260727171839</t>
  </si>
  <si>
    <t>'JY73808328940</t>
  </si>
  <si>
    <t>bymegamutia</t>
  </si>
  <si>
    <t>HO-087-260727163320</t>
  </si>
  <si>
    <t>'CM50655749941</t>
  </si>
  <si>
    <t>SOC20214</t>
  </si>
  <si>
    <t>HO-087-260727163135</t>
  </si>
  <si>
    <t>'CM00212597103</t>
  </si>
  <si>
    <t>'JT33868991355</t>
  </si>
  <si>
    <t>PBL20116</t>
  </si>
  <si>
    <t>'CM24749784008</t>
  </si>
  <si>
    <t>JBR20105</t>
  </si>
  <si>
    <t>'CM68720077479</t>
  </si>
  <si>
    <t>'CM81862928954</t>
  </si>
  <si>
    <t>CBN20428</t>
  </si>
  <si>
    <t>HO-087-260727161908</t>
  </si>
  <si>
    <t>'CM56819512075</t>
  </si>
  <si>
    <t>BOO20136</t>
  </si>
  <si>
    <t>HO-087-260727150016</t>
  </si>
  <si>
    <t>'CM33084982673</t>
  </si>
  <si>
    <t>Vies</t>
  </si>
  <si>
    <t>HO-087-260727092754</t>
  </si>
  <si>
    <t>'CM88828675760</t>
  </si>
  <si>
    <t>Iqbal Devy</t>
  </si>
  <si>
    <t>HO-087-260727084908</t>
  </si>
  <si>
    <t>'CM00717352561</t>
  </si>
  <si>
    <t>Nadia Kho</t>
  </si>
  <si>
    <t>HO-087-260726193538</t>
  </si>
  <si>
    <t>'CM16366783489</t>
  </si>
  <si>
    <t>HO-087-260726192215</t>
  </si>
  <si>
    <t>'CM25779723185</t>
  </si>
  <si>
    <t>HO-087-260726192006</t>
  </si>
  <si>
    <t>'CM64198573750</t>
  </si>
  <si>
    <t>AMI10014</t>
  </si>
  <si>
    <t>ryan nuryurian prakasa</t>
  </si>
  <si>
    <t>HO-087-260726191048</t>
  </si>
  <si>
    <t>'CM00183078596</t>
  </si>
  <si>
    <t>HO-087-260726171709</t>
  </si>
  <si>
    <t>'CM69456003986</t>
  </si>
  <si>
    <t>HO-087-260726170802</t>
  </si>
  <si>
    <t>'CM85368715137</t>
  </si>
  <si>
    <t>Putri Rahmawati</t>
  </si>
  <si>
    <t>'CM43282700409</t>
  </si>
  <si>
    <t>BDJ20502</t>
  </si>
  <si>
    <t>'CM03473750444</t>
  </si>
  <si>
    <t>'CM19311069077</t>
  </si>
  <si>
    <t>'CM90147350609</t>
  </si>
  <si>
    <t>HO-087-260726163709</t>
  </si>
  <si>
    <t>'CM21828358716</t>
  </si>
  <si>
    <t>HO-087-260726153434</t>
  </si>
  <si>
    <t>'CM79636912028</t>
  </si>
  <si>
    <t>HO-087-260726152627</t>
  </si>
  <si>
    <t>'CM81283100367</t>
  </si>
  <si>
    <t>'CM64333951304</t>
  </si>
  <si>
    <t>JBR20100</t>
  </si>
  <si>
    <t>'CM26961303261</t>
  </si>
  <si>
    <t>'CM55600315751</t>
  </si>
  <si>
    <t>'CM19424727448</t>
  </si>
  <si>
    <t>BKS10025</t>
  </si>
  <si>
    <t>'CM29572102349</t>
  </si>
  <si>
    <t>TKG10033</t>
  </si>
  <si>
    <t>HO-087-260726133512</t>
  </si>
  <si>
    <t>'CM52348905990</t>
  </si>
  <si>
    <t>MES10046</t>
  </si>
  <si>
    <t>'CM47650151439</t>
  </si>
  <si>
    <t>Sydney.co</t>
  </si>
  <si>
    <t>'CM62009560450</t>
  </si>
  <si>
    <t>HO-087-260726131924</t>
  </si>
  <si>
    <t>'CM21285982279</t>
  </si>
  <si>
    <t>Albert Gunawan Wiratma</t>
  </si>
  <si>
    <t>HO-087-260726125430</t>
  </si>
  <si>
    <t>'CM34627659920</t>
  </si>
  <si>
    <t>DPS20603</t>
  </si>
  <si>
    <t>HO-087-260726123507</t>
  </si>
  <si>
    <t>'CM49816344582</t>
  </si>
  <si>
    <t>Rama Admin Online</t>
  </si>
  <si>
    <t>HO-087-260726123334</t>
  </si>
  <si>
    <t>'CM28430231430</t>
  </si>
  <si>
    <t>HO-087-260726100608</t>
  </si>
  <si>
    <t>'CM31621101239</t>
  </si>
  <si>
    <t>HO-087-260726100532</t>
  </si>
  <si>
    <t>'CM01506434788</t>
  </si>
  <si>
    <t>HO-087-260725211952</t>
  </si>
  <si>
    <t>'JY08518784427</t>
  </si>
  <si>
    <t>SMI10051</t>
  </si>
  <si>
    <t>BM STORE ORIGINAL FOOTWEAR</t>
  </si>
  <si>
    <t>HO-087-260725190130</t>
  </si>
  <si>
    <t>'CM95920632345</t>
  </si>
  <si>
    <t>Diky Herdiawan</t>
  </si>
  <si>
    <t>HO-087-260725182015</t>
  </si>
  <si>
    <t>'CM40326273086</t>
  </si>
  <si>
    <t>HO-087-260725175108</t>
  </si>
  <si>
    <t>'CM22734502783</t>
  </si>
  <si>
    <t>CBN20129</t>
  </si>
  <si>
    <t>'CM05311883501</t>
  </si>
  <si>
    <t>'CM17693272453</t>
  </si>
  <si>
    <t>HO-087-260725174719</t>
  </si>
  <si>
    <t>'CM28235218545</t>
  </si>
  <si>
    <t>Nature By GLife</t>
  </si>
  <si>
    <t>'CM81036569115</t>
  </si>
  <si>
    <t>JOG20314</t>
  </si>
  <si>
    <t>'CM20273077005</t>
  </si>
  <si>
    <t>SUB10018</t>
  </si>
  <si>
    <t>HO-087-260725172235</t>
  </si>
  <si>
    <t>'CM59184000551</t>
  </si>
  <si>
    <t>'CM21692827317</t>
  </si>
  <si>
    <t>HO-087-260725172021</t>
  </si>
  <si>
    <t>'CM59113961306</t>
  </si>
  <si>
    <t>KRW10001</t>
  </si>
  <si>
    <t>Melco</t>
  </si>
  <si>
    <t>HO-087-260725145909</t>
  </si>
  <si>
    <t>'CM93428032442</t>
  </si>
  <si>
    <t>Ulfiyani</t>
  </si>
  <si>
    <t>HO-087-260725144851</t>
  </si>
  <si>
    <t>'CM53908792633</t>
  </si>
  <si>
    <t>HO-087-260725134115</t>
  </si>
  <si>
    <t>'CM12949337354</t>
  </si>
  <si>
    <t>HO-087-260725112239</t>
  </si>
  <si>
    <t>'CM97544742554</t>
  </si>
  <si>
    <t>BDO10118</t>
  </si>
  <si>
    <t>Yuyun yuningsih</t>
  </si>
  <si>
    <t>HO-087-260725102723</t>
  </si>
  <si>
    <t>'CM50826913832</t>
  </si>
  <si>
    <t>Edhi dwi susilo</t>
  </si>
  <si>
    <t>'CM77691126495</t>
  </si>
  <si>
    <t>'CM51429166598</t>
  </si>
  <si>
    <t>HO-087-260725100803</t>
  </si>
  <si>
    <t>'CM42189256761</t>
  </si>
  <si>
    <t>HO-087-260725100707</t>
  </si>
  <si>
    <t>'CM12120593068</t>
  </si>
  <si>
    <t>HO-087-260725081017</t>
  </si>
  <si>
    <t>'CM31340792963</t>
  </si>
  <si>
    <t>TGR10126</t>
  </si>
  <si>
    <t>HO-087-260724204417</t>
  </si>
  <si>
    <t>'CM76410139581</t>
  </si>
  <si>
    <t>BDO10130</t>
  </si>
  <si>
    <t>Yogi Yogaswara</t>
  </si>
  <si>
    <t>HO-087-260724202110</t>
  </si>
  <si>
    <t>'CM13891285089</t>
  </si>
  <si>
    <t>Venamelia</t>
  </si>
  <si>
    <t>HO-087-260724201520</t>
  </si>
  <si>
    <t>'RTN524262489863</t>
  </si>
  <si>
    <t>EVI  WIDIYANTI</t>
  </si>
  <si>
    <t>HO-087-260724201051</t>
  </si>
  <si>
    <t>'RTN646263116863</t>
  </si>
  <si>
    <t>HO-087-260724173418</t>
  </si>
  <si>
    <t>'CM42611549998</t>
  </si>
  <si>
    <t>HO-087-260724173359</t>
  </si>
  <si>
    <t>'JY81977763937</t>
  </si>
  <si>
    <t>'CM03979371493</t>
  </si>
  <si>
    <t>'JY92867107617</t>
  </si>
  <si>
    <t>TGR10135</t>
  </si>
  <si>
    <t>HO-087-260724164923</t>
  </si>
  <si>
    <t>'CM69676297065</t>
  </si>
  <si>
    <t>Kaluiz</t>
  </si>
  <si>
    <t>HO-087-260724164005</t>
  </si>
  <si>
    <t>'CM30504218866</t>
  </si>
  <si>
    <t>Nova Pratiwi</t>
  </si>
  <si>
    <t>HO-087-260724161224</t>
  </si>
  <si>
    <t>'CM22698832167</t>
  </si>
  <si>
    <t>HO-087-260724140328</t>
  </si>
  <si>
    <t>'CM04949821057</t>
  </si>
  <si>
    <t>TKG21400</t>
  </si>
  <si>
    <t>HO-087-260724132417</t>
  </si>
  <si>
    <t>'JY86744531361</t>
  </si>
  <si>
    <t>PWT10013</t>
  </si>
  <si>
    <t>HO-087-260724115019</t>
  </si>
  <si>
    <t>'CM53254041155</t>
  </si>
  <si>
    <t>HO-087-260723204525</t>
  </si>
  <si>
    <t>'CM07391106967</t>
  </si>
  <si>
    <t>Mami Lui</t>
  </si>
  <si>
    <t>HO-087-260723193926</t>
  </si>
  <si>
    <t>'CM98489124667</t>
  </si>
  <si>
    <t>BDO10048</t>
  </si>
  <si>
    <t>HO-087-260723193902</t>
  </si>
  <si>
    <t>'CM17414938295</t>
  </si>
  <si>
    <t>HO-087-260723191553</t>
  </si>
  <si>
    <t>'CM71270622152</t>
  </si>
  <si>
    <t>CBN20200</t>
  </si>
  <si>
    <t>'JY08315130725</t>
  </si>
  <si>
    <t>HO-087-260723183759</t>
  </si>
  <si>
    <t>'CM53834442452</t>
  </si>
  <si>
    <t>Laba Sihombing</t>
  </si>
  <si>
    <t>HO-087-260723172503</t>
  </si>
  <si>
    <t>'CM46801839645</t>
  </si>
  <si>
    <t>HO-087-260723160541</t>
  </si>
  <si>
    <t>'CM80731072192</t>
  </si>
  <si>
    <t>MES10607</t>
  </si>
  <si>
    <t>HO-087-260723150425</t>
  </si>
  <si>
    <t>'CM50388754700</t>
  </si>
  <si>
    <t>'CM36744626034</t>
  </si>
  <si>
    <t>CLG10042</t>
  </si>
  <si>
    <t>HO-087-260723134702</t>
  </si>
  <si>
    <t>'CM35103476532</t>
  </si>
  <si>
    <t>HO-087-260723130311</t>
  </si>
  <si>
    <t>'CM32532440721</t>
  </si>
  <si>
    <t>HO-087-260723113633</t>
  </si>
  <si>
    <t>'CM83679505068</t>
  </si>
  <si>
    <t>HO-087-260723104645</t>
  </si>
  <si>
    <t>'CM83989532809</t>
  </si>
  <si>
    <t>Shella Karunia</t>
  </si>
  <si>
    <t>HO-087-260723085909</t>
  </si>
  <si>
    <t>'CM34883380853</t>
  </si>
  <si>
    <t>'CM48873403302</t>
  </si>
  <si>
    <t>HO-087-260723082406</t>
  </si>
  <si>
    <t>'CM03023486968</t>
  </si>
  <si>
    <t>Herry janto</t>
  </si>
  <si>
    <t>HO-087-260722201952</t>
  </si>
  <si>
    <t>'CM70902329403</t>
  </si>
  <si>
    <t>BDO10107</t>
  </si>
  <si>
    <t>Sucy Purnamasari</t>
  </si>
  <si>
    <t>HO-087-260722191122</t>
  </si>
  <si>
    <t>'CM44800333530</t>
  </si>
  <si>
    <t>HO-087-260722190957</t>
  </si>
  <si>
    <t>'CM67947354371</t>
  </si>
  <si>
    <t>HO-087-260722190331</t>
  </si>
  <si>
    <t>'CM14066408074</t>
  </si>
  <si>
    <t>TSM10138</t>
  </si>
  <si>
    <t>HO-087-260722172237</t>
  </si>
  <si>
    <t>'CM06283481281</t>
  </si>
  <si>
    <t>PLM10010</t>
  </si>
  <si>
    <t>'CM64162375702</t>
  </si>
  <si>
    <t>HO-087-260722163812</t>
  </si>
  <si>
    <t>'CM95423729291</t>
  </si>
  <si>
    <t>SOC20418</t>
  </si>
  <si>
    <t>'CM72613169459</t>
  </si>
  <si>
    <t>'CM71428800388</t>
  </si>
  <si>
    <t>BDO10049</t>
  </si>
  <si>
    <t>HO-087-260722162003</t>
  </si>
  <si>
    <t>'CM01129038427</t>
  </si>
  <si>
    <t>HO-087-260722160854</t>
  </si>
  <si>
    <t>'CM04780227343</t>
  </si>
  <si>
    <t>UPG10003</t>
  </si>
  <si>
    <t>HO-087-260722155759</t>
  </si>
  <si>
    <t>'CM96569467103</t>
  </si>
  <si>
    <t>HO-087-260722155321</t>
  </si>
  <si>
    <t>'CM26929022875</t>
  </si>
  <si>
    <t>HO-087-260722151055</t>
  </si>
  <si>
    <t>'CM32935577101</t>
  </si>
  <si>
    <t>HO-087-260722142425</t>
  </si>
  <si>
    <t>'CM64323607051</t>
  </si>
  <si>
    <t>HO-087-260722142348</t>
  </si>
  <si>
    <t>'CM48266292538</t>
  </si>
  <si>
    <t>HO-087-260722121913</t>
  </si>
  <si>
    <t>'CM20604698082</t>
  </si>
  <si>
    <t>fahiraa</t>
  </si>
  <si>
    <t>HO-087-260722080311</t>
  </si>
  <si>
    <t>'CM50464783504</t>
  </si>
  <si>
    <t>Lulu Ayu Lestari</t>
  </si>
  <si>
    <t>HO-087-260721195723</t>
  </si>
  <si>
    <t>'CM81271620499</t>
  </si>
  <si>
    <t>DPK10063</t>
  </si>
  <si>
    <t>'CM09884136943</t>
  </si>
  <si>
    <t>'CM80703346702</t>
  </si>
  <si>
    <t>TSM30001</t>
  </si>
  <si>
    <t>HO-087-260721183729</t>
  </si>
  <si>
    <t>'CM93860613404</t>
  </si>
  <si>
    <t>y.Susana</t>
  </si>
  <si>
    <t>'CM46323964073</t>
  </si>
  <si>
    <t>HO-087-260721165342</t>
  </si>
  <si>
    <t>'JY34647571715</t>
  </si>
  <si>
    <t>'CM90761385059</t>
  </si>
  <si>
    <t>HO-087-260721162722</t>
  </si>
  <si>
    <t>'CM07619649611</t>
  </si>
  <si>
    <t>HO-087-260721160352</t>
  </si>
  <si>
    <t>'CM49180168817</t>
  </si>
  <si>
    <t>PDG20300</t>
  </si>
  <si>
    <t>HO-087-260721143623</t>
  </si>
  <si>
    <t>'CM34424777675</t>
  </si>
  <si>
    <t>HO-087-260721115554</t>
  </si>
  <si>
    <t>'CM17474288893</t>
  </si>
  <si>
    <t>AMQ10008</t>
  </si>
  <si>
    <t>HO-087-260720192651</t>
  </si>
  <si>
    <t>'CM44578260759</t>
  </si>
  <si>
    <t>HO-087-260720191229</t>
  </si>
  <si>
    <t>'CM45257469828</t>
  </si>
  <si>
    <t>AJprom house</t>
  </si>
  <si>
    <t>GUDANGSTOCK</t>
  </si>
  <si>
    <t>HO-087-260720184839</t>
  </si>
  <si>
    <t>'BLIJC04507890413</t>
  </si>
  <si>
    <t>HO-087-260720182218</t>
  </si>
  <si>
    <t>'CM75523257376</t>
  </si>
  <si>
    <t>Ayu Apriliana PS Eva</t>
  </si>
  <si>
    <t>HO-087-260720182154</t>
  </si>
  <si>
    <t>'CM62770023306</t>
  </si>
  <si>
    <t>HO-087-260720174255</t>
  </si>
  <si>
    <t>'JY62487339906</t>
  </si>
  <si>
    <t>'CM52139894459</t>
  </si>
  <si>
    <t>'CM13446317566</t>
  </si>
  <si>
    <t>HO-087-260720172328</t>
  </si>
  <si>
    <t>'CM10479013159</t>
  </si>
  <si>
    <t>nengsih</t>
  </si>
  <si>
    <t>'CM35121300056</t>
  </si>
  <si>
    <t>PDG10010</t>
  </si>
  <si>
    <t>'CM85491702978</t>
  </si>
  <si>
    <t>CBN20110</t>
  </si>
  <si>
    <t>HO-087-260720171355</t>
  </si>
  <si>
    <t>'CM70699040620</t>
  </si>
  <si>
    <t>HO-087-260720171102</t>
  </si>
  <si>
    <t>'CM23718146960</t>
  </si>
  <si>
    <t>ROSADI</t>
  </si>
  <si>
    <t>HO-087-260720145820</t>
  </si>
  <si>
    <t>'JT70968826991</t>
  </si>
  <si>
    <t>HO-087-260720134543</t>
  </si>
  <si>
    <t>'CM05194221955</t>
  </si>
  <si>
    <t>SOC20215</t>
  </si>
  <si>
    <t>HO-087-260720133632</t>
  </si>
  <si>
    <t>'JY61514259483</t>
  </si>
  <si>
    <t>Pacificdental_Jabodetabek</t>
  </si>
  <si>
    <t>HO-087-260720083722</t>
  </si>
  <si>
    <t>'CM03235391064</t>
  </si>
  <si>
    <t>Anisa</t>
  </si>
  <si>
    <t>HO-087-260720080842</t>
  </si>
  <si>
    <t>'CM81210236715</t>
  </si>
  <si>
    <t>TSM10007</t>
  </si>
  <si>
    <t>HO-087-260720070134</t>
  </si>
  <si>
    <t>'CM96374474930</t>
  </si>
  <si>
    <t>BOO20141</t>
  </si>
  <si>
    <t>Fatur Fatkhurosidi</t>
  </si>
  <si>
    <t>HO-087-260719193135</t>
  </si>
  <si>
    <t>'CM15866561508</t>
  </si>
  <si>
    <t>BDO10112</t>
  </si>
  <si>
    <t>maria budiatman</t>
  </si>
  <si>
    <t>MARIA BUDIATMAB</t>
  </si>
  <si>
    <t>'TG3572943220</t>
  </si>
  <si>
    <t>BDO10123</t>
  </si>
  <si>
    <t xml:space="preserve">MARIA BUDIATMAB </t>
  </si>
  <si>
    <t>HO-087-260719183343</t>
  </si>
  <si>
    <t>'CM13367048143</t>
  </si>
  <si>
    <t>PLM20517</t>
  </si>
  <si>
    <t>Herrnandez / Vapebar Karawang</t>
  </si>
  <si>
    <t>HO-087-260719181812</t>
  </si>
  <si>
    <t>'CM69997126659</t>
  </si>
  <si>
    <t>'CM08295567899</t>
  </si>
  <si>
    <t>HO-087-260719172753</t>
  </si>
  <si>
    <t>'CM72149539584</t>
  </si>
  <si>
    <t>Yan Ge</t>
  </si>
  <si>
    <t>'CM56742423469</t>
  </si>
  <si>
    <t>TGR10050</t>
  </si>
  <si>
    <t>HO-087-260719170802</t>
  </si>
  <si>
    <t>'CM09177437594</t>
  </si>
  <si>
    <t>'CM82405195264</t>
  </si>
  <si>
    <t>'JY95519080107</t>
  </si>
  <si>
    <t>'CM39431003470</t>
  </si>
  <si>
    <t>HO-087-260719165751</t>
  </si>
  <si>
    <t>'CM35948176449</t>
  </si>
  <si>
    <t>'CM31975796362</t>
  </si>
  <si>
    <t>HO-087-260719162827</t>
  </si>
  <si>
    <t>'CM33099748173</t>
  </si>
  <si>
    <t>BDJ10502</t>
  </si>
  <si>
    <t>Buccheri Cikampek</t>
  </si>
  <si>
    <t>'CM08437809387</t>
  </si>
  <si>
    <t>TKG10037</t>
  </si>
  <si>
    <t>HO-087-260719142530</t>
  </si>
  <si>
    <t>'JT24626533842</t>
  </si>
  <si>
    <t>BOO20150</t>
  </si>
  <si>
    <t>HO-087-260719125912</t>
  </si>
  <si>
    <t>'CM70168893907</t>
  </si>
  <si>
    <t>HO-087-260719115442</t>
  </si>
  <si>
    <t>'CM51269019318</t>
  </si>
  <si>
    <t>BDO10064</t>
  </si>
  <si>
    <t>HO-087-260719115226</t>
  </si>
  <si>
    <t>'CM10659067054</t>
  </si>
  <si>
    <t>SRG10112</t>
  </si>
  <si>
    <t>Arci Cell</t>
  </si>
  <si>
    <t>HO-087-260719114527</t>
  </si>
  <si>
    <t>'CM50178641786</t>
  </si>
  <si>
    <t>HO-087-260718203601</t>
  </si>
  <si>
    <t>'JY83261674127</t>
  </si>
  <si>
    <t>SRG10001</t>
  </si>
  <si>
    <t>'JY29934545102</t>
  </si>
  <si>
    <t>HO-087-260718202039</t>
  </si>
  <si>
    <t>'CM33139730398</t>
  </si>
  <si>
    <t>HO-087-260718192902</t>
  </si>
  <si>
    <t>'CM22382353290</t>
  </si>
  <si>
    <t>HO-087-260718190826</t>
  </si>
  <si>
    <t>'JT03480067582</t>
  </si>
  <si>
    <t>TKG10042</t>
  </si>
  <si>
    <t>.:CupaCup:.</t>
  </si>
  <si>
    <t>HO-087-260718185852</t>
  </si>
  <si>
    <t>'CM32985418848</t>
  </si>
  <si>
    <t>CBN20206</t>
  </si>
  <si>
    <t>De Zidan</t>
  </si>
  <si>
    <t>HO-087-260718184805</t>
  </si>
  <si>
    <t>'CM25111735782</t>
  </si>
  <si>
    <t>80508108-GLOBAL DIGITAL NIAGA</t>
  </si>
  <si>
    <t>HO-087-260718143944</t>
  </si>
  <si>
    <t>'RMA907754</t>
  </si>
  <si>
    <t>RIFKY</t>
  </si>
  <si>
    <t>HO-087-260718143308</t>
  </si>
  <si>
    <t>'CM42654604696</t>
  </si>
  <si>
    <t>HO-087-260718115946</t>
  </si>
  <si>
    <t>'CM51164418495</t>
  </si>
  <si>
    <t>CBN20317</t>
  </si>
  <si>
    <t>LUSIANA CITRA DEWI</t>
  </si>
  <si>
    <t>HO-087-260718090912</t>
  </si>
  <si>
    <t>'TG3579060625</t>
  </si>
  <si>
    <t xml:space="preserve">LUSIANA CITRA DEWI </t>
  </si>
  <si>
    <t>HO-087-260718090816</t>
  </si>
  <si>
    <t>'CM60697756176</t>
  </si>
  <si>
    <t>HO-087-260718083855</t>
  </si>
  <si>
    <t>'CM68862242285</t>
  </si>
  <si>
    <t>HO-087-260717214249</t>
  </si>
  <si>
    <t>'CM14667758384</t>
  </si>
  <si>
    <t>Joko Kuswoyo</t>
  </si>
  <si>
    <t>HO-087-260717210302</t>
  </si>
  <si>
    <t>'CM25357771267</t>
  </si>
  <si>
    <t>'CM06880610849</t>
  </si>
  <si>
    <t>'CM13560237244</t>
  </si>
  <si>
    <t>HO-087-260717192956</t>
  </si>
  <si>
    <t>'CM34987042886</t>
  </si>
  <si>
    <t>HO-087-260717190728</t>
  </si>
  <si>
    <t>'CM17196808669</t>
  </si>
  <si>
    <t>Merdeka17_Shop</t>
  </si>
  <si>
    <t>HO-087-260717185337</t>
  </si>
  <si>
    <t>'JT96714367326</t>
  </si>
  <si>
    <t>HO-087-260717181308</t>
  </si>
  <si>
    <t>'CM72837050706</t>
  </si>
  <si>
    <t>BDO10046</t>
  </si>
  <si>
    <t>Kevin Hartono</t>
  </si>
  <si>
    <t>DEDE MUTAKIN</t>
  </si>
  <si>
    <t>HO-087-260717172303</t>
  </si>
  <si>
    <t>'JT75866138744</t>
  </si>
  <si>
    <t>RANGGA ARFIAN GUNAWAN</t>
  </si>
  <si>
    <t>HO-087-260717171023</t>
  </si>
  <si>
    <t>'JNRC-2001552375</t>
  </si>
  <si>
    <t>HO-087-260717165940</t>
  </si>
  <si>
    <t>'CM03601381164</t>
  </si>
  <si>
    <t>HO-087-260717165006</t>
  </si>
  <si>
    <t>'CM60056779793</t>
  </si>
  <si>
    <t>SRG22203</t>
  </si>
  <si>
    <t>claudia irene</t>
  </si>
  <si>
    <t>ASTRI OKTAVIA</t>
  </si>
  <si>
    <t>HO-087-260717154540</t>
  </si>
  <si>
    <t>'TG3578389815</t>
  </si>
  <si>
    <t xml:space="preserve">ASTRI OKTAVIA </t>
  </si>
  <si>
    <t>HO-087-260717153638</t>
  </si>
  <si>
    <t>'CM78519091325</t>
  </si>
  <si>
    <t>'CM10763189486</t>
  </si>
  <si>
    <t>'CM81246220356</t>
  </si>
  <si>
    <t>HO-087-260717152220</t>
  </si>
  <si>
    <t>'CM03210351916</t>
  </si>
  <si>
    <t>SOC20216</t>
  </si>
  <si>
    <t>'CM26655565080</t>
  </si>
  <si>
    <t>MJK10012</t>
  </si>
  <si>
    <t>'CM05341864204</t>
  </si>
  <si>
    <t>'CM97805374692</t>
  </si>
  <si>
    <t>HO-087-260717120904</t>
  </si>
  <si>
    <t>'CM64810387582</t>
  </si>
  <si>
    <t>KRW10025</t>
  </si>
  <si>
    <t>'CM99718925719</t>
  </si>
  <si>
    <t>SRG21104</t>
  </si>
  <si>
    <t>HO-087-260717100758</t>
  </si>
  <si>
    <t>'CM80620727925</t>
  </si>
  <si>
    <t>'CM18179460003</t>
  </si>
  <si>
    <t>HO-087-260717100444</t>
  </si>
  <si>
    <t>'CM40160680170</t>
  </si>
  <si>
    <t>HO-087-260717090643</t>
  </si>
  <si>
    <t>'CM55022938443</t>
  </si>
  <si>
    <t>Tania martalia wijaya</t>
  </si>
  <si>
    <t>HO-087-260716193558</t>
  </si>
  <si>
    <t>'CM27474146881</t>
  </si>
  <si>
    <t>TSM10010</t>
  </si>
  <si>
    <t>'TG3570551821</t>
  </si>
  <si>
    <t>KOE10030</t>
  </si>
  <si>
    <t>'CM10919883138</t>
  </si>
  <si>
    <t>SRG20710</t>
  </si>
  <si>
    <t>HO-087-260716174317</t>
  </si>
  <si>
    <t>'JT14356441299</t>
  </si>
  <si>
    <t>HO-087-260716173614</t>
  </si>
  <si>
    <t>'CM76558387784</t>
  </si>
  <si>
    <t>Ade Sutisna</t>
  </si>
  <si>
    <t>HO-087-260716171131</t>
  </si>
  <si>
    <t>'CM91333739209</t>
  </si>
  <si>
    <t>MUHAMMAD NURCHOLIS (MAINTENANCE)</t>
  </si>
  <si>
    <t>HO-087-260716170541</t>
  </si>
  <si>
    <t>'TG3578440824</t>
  </si>
  <si>
    <t>MUHAMMAD NURCHOLIS (MAINTENANC</t>
  </si>
  <si>
    <t>HO-087-260716165729</t>
  </si>
  <si>
    <t>'CM97208958437</t>
  </si>
  <si>
    <t>Ocha</t>
  </si>
  <si>
    <t>HO-087-260716163124</t>
  </si>
  <si>
    <t>'CM68968578317</t>
  </si>
  <si>
    <t>CBN20402</t>
  </si>
  <si>
    <t>agnes</t>
  </si>
  <si>
    <t>HO-087-260716162724</t>
  </si>
  <si>
    <t>'CM01504158717</t>
  </si>
  <si>
    <t>DJB20100</t>
  </si>
  <si>
    <t>HO-087-260716162146</t>
  </si>
  <si>
    <t>'CM96584431502</t>
  </si>
  <si>
    <t>TKG21402</t>
  </si>
  <si>
    <t>'CM52765309035</t>
  </si>
  <si>
    <t>HO-087-260716162041</t>
  </si>
  <si>
    <t>'CM15103413829</t>
  </si>
  <si>
    <t>HO-087-260716144935</t>
  </si>
  <si>
    <t>'CM94801157251</t>
  </si>
  <si>
    <t>HO-087-260716144102</t>
  </si>
  <si>
    <t>'CM57292781474</t>
  </si>
  <si>
    <t>Geraldine Luxury Boutique</t>
  </si>
  <si>
    <t>IYANG RICKY</t>
  </si>
  <si>
    <t>HO-087-260716141747</t>
  </si>
  <si>
    <t>'JT56397274063</t>
  </si>
  <si>
    <t>HO-087-260716133821</t>
  </si>
  <si>
    <t>'JY68019658880</t>
  </si>
  <si>
    <t>Toko Buku Fadhil</t>
  </si>
  <si>
    <t>HO-087-260716132444</t>
  </si>
  <si>
    <t>'TG7007336139</t>
  </si>
  <si>
    <t>'CM93919695709</t>
  </si>
  <si>
    <t>HO-087-260716130719</t>
  </si>
  <si>
    <t>'CM70471395030</t>
  </si>
  <si>
    <t>CXP10010</t>
  </si>
  <si>
    <t>Muhammad Tegar Sucianto</t>
  </si>
  <si>
    <t>HO-087-260715205339</t>
  </si>
  <si>
    <t>'CM41181938683</t>
  </si>
  <si>
    <t>SRG10004</t>
  </si>
  <si>
    <t>HO-087-260715195730</t>
  </si>
  <si>
    <t>'CM91118861911</t>
  </si>
  <si>
    <t>SOC20323</t>
  </si>
  <si>
    <t>HO-087-260715195532</t>
  </si>
  <si>
    <t>'CM70988786713</t>
  </si>
  <si>
    <t>CGK10303</t>
  </si>
  <si>
    <t>'CM03227950166</t>
  </si>
  <si>
    <t>CGK10307</t>
  </si>
  <si>
    <t>HO-087-260715194854</t>
  </si>
  <si>
    <t>'JT12117638799</t>
  </si>
  <si>
    <t>BDO21209</t>
  </si>
  <si>
    <t>HO-087-260715191400</t>
  </si>
  <si>
    <t>'CM19758072646</t>
  </si>
  <si>
    <t>HO-087-260715191210</t>
  </si>
  <si>
    <t>'JY15367815100</t>
  </si>
  <si>
    <t>'CM05289782485</t>
  </si>
  <si>
    <t>HO-087-260715180829</t>
  </si>
  <si>
    <t>'CM06334712750</t>
  </si>
  <si>
    <t>AAN</t>
  </si>
  <si>
    <t>HO-087-260715172152</t>
  </si>
  <si>
    <t>'TG3579979914</t>
  </si>
  <si>
    <t>CLG20505</t>
  </si>
  <si>
    <t xml:space="preserve">AAN </t>
  </si>
  <si>
    <t>HO-087-260715162915</t>
  </si>
  <si>
    <t>'CM19871040376</t>
  </si>
  <si>
    <t>TNJ10020</t>
  </si>
  <si>
    <t>'CM17693057471</t>
  </si>
  <si>
    <t>HO-087-260715155624</t>
  </si>
  <si>
    <t>'CM13213765873</t>
  </si>
  <si>
    <t>'CM62409210848</t>
  </si>
  <si>
    <t>HO-087-260715153438</t>
  </si>
  <si>
    <t>'CM79678139161</t>
  </si>
  <si>
    <t>Fitri Saleha</t>
  </si>
  <si>
    <t>HO-087-260715150401</t>
  </si>
  <si>
    <t>'CM32799988484</t>
  </si>
  <si>
    <t>CBN20421</t>
  </si>
  <si>
    <t>HO-087-260715132832</t>
  </si>
  <si>
    <t>'CM26197615728</t>
  </si>
  <si>
    <t>'CM61871384379</t>
  </si>
  <si>
    <t>TSM10133</t>
  </si>
  <si>
    <t>'CM50215904601</t>
  </si>
  <si>
    <t>TKG21009</t>
  </si>
  <si>
    <t>HO-087-260715111754</t>
  </si>
  <si>
    <t>'TG7003676339</t>
  </si>
  <si>
    <t>HO-087-260715110900</t>
  </si>
  <si>
    <t>'CM99308202186</t>
  </si>
  <si>
    <t>KRW10003</t>
  </si>
  <si>
    <t>'CM55131230360</t>
  </si>
  <si>
    <t>HO-087-260715081925</t>
  </si>
  <si>
    <t>'CM72834306319</t>
  </si>
  <si>
    <t>HO-087-260715073250</t>
  </si>
  <si>
    <t>'CM86031674450</t>
  </si>
  <si>
    <t>BDO10120</t>
  </si>
  <si>
    <t>'JT42374925724</t>
  </si>
  <si>
    <t>CBN20400</t>
  </si>
  <si>
    <t>Jastipsamaimoo</t>
  </si>
  <si>
    <t>'JT38309142008</t>
  </si>
  <si>
    <t>HO-087-260714203532</t>
  </si>
  <si>
    <t>'CM52412623392</t>
  </si>
  <si>
    <t>SMD10009</t>
  </si>
  <si>
    <t>HO-087-260714202906</t>
  </si>
  <si>
    <t>'CM87149540127</t>
  </si>
  <si>
    <t>HO-087-260714195840</t>
  </si>
  <si>
    <t>'CM83939147721</t>
  </si>
  <si>
    <t>Jefta Edward Mandagie</t>
  </si>
  <si>
    <t>HO-087-260714195702</t>
  </si>
  <si>
    <t>'TG3577928215</t>
  </si>
  <si>
    <t>HO-087-260714195514</t>
  </si>
  <si>
    <t>'TG3570259414</t>
  </si>
  <si>
    <t>'TG3578259114</t>
  </si>
  <si>
    <t>PSR10015</t>
  </si>
  <si>
    <t>HO-087-260714195048</t>
  </si>
  <si>
    <t>'CM00553969938</t>
  </si>
  <si>
    <t>PGK10017</t>
  </si>
  <si>
    <t>HO-087-260714192822</t>
  </si>
  <si>
    <t>'CM44891004136</t>
  </si>
  <si>
    <t>BTJ10023</t>
  </si>
  <si>
    <t>'CM48417009935</t>
  </si>
  <si>
    <t>Floopyhouse</t>
  </si>
  <si>
    <t>HO-087-260714183329</t>
  </si>
  <si>
    <t>'JT55593734498</t>
  </si>
  <si>
    <t>SUB10026</t>
  </si>
  <si>
    <t>HO-087-260714173202</t>
  </si>
  <si>
    <t>'JY61889614776</t>
  </si>
  <si>
    <t>BKI10121</t>
  </si>
  <si>
    <t>HO-087-260714165322</t>
  </si>
  <si>
    <t>'CM94433287824</t>
  </si>
  <si>
    <t>BTJ10119</t>
  </si>
  <si>
    <t>HO-087-260714164505</t>
  </si>
  <si>
    <t>'CM07067950144</t>
  </si>
  <si>
    <t>Niken Hartanti</t>
  </si>
  <si>
    <t>HO-087-260714164112</t>
  </si>
  <si>
    <t>'CM38940479683</t>
  </si>
  <si>
    <t>TGR10112</t>
  </si>
  <si>
    <t>Kerin Putri</t>
  </si>
  <si>
    <t>HO-087-260714161334</t>
  </si>
  <si>
    <t>'CM80253146110</t>
  </si>
  <si>
    <t>HO-087-260714141452</t>
  </si>
  <si>
    <t>'CM02349710858</t>
  </si>
  <si>
    <t>HO-087-260714113925</t>
  </si>
  <si>
    <t>'CM41557111568</t>
  </si>
  <si>
    <t>Siti Julaeha</t>
  </si>
  <si>
    <t>HO-087-260713210621</t>
  </si>
  <si>
    <t>'CM65391201209</t>
  </si>
  <si>
    <t>Nadya Rameyza Elya</t>
  </si>
  <si>
    <t>HO-087-260713194759</t>
  </si>
  <si>
    <t>'CM58051992006</t>
  </si>
  <si>
    <t>PNK10400</t>
  </si>
  <si>
    <t>Novi</t>
  </si>
  <si>
    <t>HO-087-260713185904</t>
  </si>
  <si>
    <t>'CM50500300014</t>
  </si>
  <si>
    <t>MDC20403</t>
  </si>
  <si>
    <t>'TG7009306439</t>
  </si>
  <si>
    <t>'TG3570347411</t>
  </si>
  <si>
    <t>'TG3572338311</t>
  </si>
  <si>
    <t>PLM10006</t>
  </si>
  <si>
    <t>'CM38642011969</t>
  </si>
  <si>
    <t>JOG20115</t>
  </si>
  <si>
    <t>HO-087-260713181008</t>
  </si>
  <si>
    <t>'CM51792831982</t>
  </si>
  <si>
    <t>SANDER</t>
  </si>
  <si>
    <t>HO-087-260713165657</t>
  </si>
  <si>
    <t>'TG3572747711</t>
  </si>
  <si>
    <t xml:space="preserve">SANDER </t>
  </si>
  <si>
    <t>HO-087-260713164650</t>
  </si>
  <si>
    <t>'CM95814497841</t>
  </si>
  <si>
    <t>Dhella Laksana</t>
  </si>
  <si>
    <t>HO-087-260713164209</t>
  </si>
  <si>
    <t>'JY81627984149</t>
  </si>
  <si>
    <t>HO-087-260713162804</t>
  </si>
  <si>
    <t>'CM82014007137</t>
  </si>
  <si>
    <t>HO-087-260713162841</t>
  </si>
  <si>
    <t>'CM41379305822</t>
  </si>
  <si>
    <t>KDR10008</t>
  </si>
  <si>
    <t>'CM96362891985</t>
  </si>
  <si>
    <t>'CM33100438327</t>
  </si>
  <si>
    <t>MES10025</t>
  </si>
  <si>
    <t>'CM40198881083</t>
  </si>
  <si>
    <t>BDO20249</t>
  </si>
  <si>
    <t>HO-087-260713162641</t>
  </si>
  <si>
    <t>'JY13267716265</t>
  </si>
  <si>
    <t>Allure &amp; Lullaby</t>
  </si>
  <si>
    <t>HO-087-260713151740</t>
  </si>
  <si>
    <t>'CM06345370778</t>
  </si>
  <si>
    <t>AMI20200</t>
  </si>
  <si>
    <t>HO-087-260713140906</t>
  </si>
  <si>
    <t>'CM33053537739</t>
  </si>
  <si>
    <t>AMI20408</t>
  </si>
  <si>
    <t>'CM26033965089</t>
  </si>
  <si>
    <t>SRG21619</t>
  </si>
  <si>
    <t>'CM68382958415</t>
  </si>
  <si>
    <t>'CM05646179095</t>
  </si>
  <si>
    <t>MES10018</t>
  </si>
  <si>
    <t>HO-087-260713140818</t>
  </si>
  <si>
    <t>'CM67579371408</t>
  </si>
  <si>
    <t>SUB10001</t>
  </si>
  <si>
    <t>HO-087-260713135109</t>
  </si>
  <si>
    <t>'CM02622500334</t>
  </si>
  <si>
    <t>SUB10116</t>
  </si>
  <si>
    <t>HO-087-260713130349</t>
  </si>
  <si>
    <t>'CM59439013495</t>
  </si>
  <si>
    <t>Mayall</t>
  </si>
  <si>
    <t>HO-087-260713115104</t>
  </si>
  <si>
    <t>'CM70579511724</t>
  </si>
  <si>
    <t>HO-087-260713111420</t>
  </si>
  <si>
    <t>'CM69218963389</t>
  </si>
  <si>
    <t>Hodijah</t>
  </si>
  <si>
    <t>HO-087-260713105210</t>
  </si>
  <si>
    <t>'CM18921106603</t>
  </si>
  <si>
    <t>Rangga Adi Wicaksono</t>
  </si>
  <si>
    <t>HO-087-260712193115</t>
  </si>
  <si>
    <t>'CM30579932358</t>
  </si>
  <si>
    <t>'CM33842605450</t>
  </si>
  <si>
    <t>'CM22300009139</t>
  </si>
  <si>
    <t>'CM57462273564</t>
  </si>
  <si>
    <t>HO-087-260712172623</t>
  </si>
  <si>
    <t>'CM71814804382</t>
  </si>
  <si>
    <t>BPN10009</t>
  </si>
  <si>
    <t>HO-087-260712171809</t>
  </si>
  <si>
    <t>'CM46910035120</t>
  </si>
  <si>
    <t>MJK10001</t>
  </si>
  <si>
    <t>Nia</t>
  </si>
  <si>
    <t>HO-087-260712140350</t>
  </si>
  <si>
    <t>'CM07870024657</t>
  </si>
  <si>
    <t>Widia Karlina</t>
  </si>
  <si>
    <t>HO-087-260712134210</t>
  </si>
  <si>
    <t>'CM77846206448</t>
  </si>
  <si>
    <t>BDO20711</t>
  </si>
  <si>
    <t>bimbim ramadhan</t>
  </si>
  <si>
    <t>HO-087-260712125706</t>
  </si>
  <si>
    <t>'CM97505322685</t>
  </si>
  <si>
    <t>RAHMAT KURNIA</t>
  </si>
  <si>
    <t>HO-087-260712123301</t>
  </si>
  <si>
    <t>'JT21704354177</t>
  </si>
  <si>
    <t>FUKOUHEI STORE</t>
  </si>
  <si>
    <t>HO-087-260712112308</t>
  </si>
  <si>
    <t>'TOCO260711194236</t>
  </si>
  <si>
    <t>HO-087-260711203635</t>
  </si>
  <si>
    <t>'CM77516392157</t>
  </si>
  <si>
    <t>'CM67567283945</t>
  </si>
  <si>
    <t>HO-087-260711202838</t>
  </si>
  <si>
    <t>'CM05686304117</t>
  </si>
  <si>
    <t>HO-087-260711191335</t>
  </si>
  <si>
    <t>'CM41507568721</t>
  </si>
  <si>
    <t>'CM69508958726</t>
  </si>
  <si>
    <t>'CM57184039227</t>
  </si>
  <si>
    <t>HO-087-260711190753</t>
  </si>
  <si>
    <t>'CM82018302655</t>
  </si>
  <si>
    <t>TGL10200</t>
  </si>
  <si>
    <t>HO-087-260711190726</t>
  </si>
  <si>
    <t>'CM27538314146</t>
  </si>
  <si>
    <t>SRG20212</t>
  </si>
  <si>
    <t>HO-087-260711185018</t>
  </si>
  <si>
    <t>'JT07771911840</t>
  </si>
  <si>
    <t>HO-087-260711182533</t>
  </si>
  <si>
    <t>'CM24898925234</t>
  </si>
  <si>
    <t>HO-087-260711174536</t>
  </si>
  <si>
    <t>'CM04616974354</t>
  </si>
  <si>
    <t>JOG20400</t>
  </si>
  <si>
    <t>HO-087-260711140513</t>
  </si>
  <si>
    <t>'JT74793575488</t>
  </si>
  <si>
    <t>'CM55789701099</t>
  </si>
  <si>
    <t>HO-087-260711093831</t>
  </si>
  <si>
    <t>'CM81866567581</t>
  </si>
  <si>
    <t>TSM10001</t>
  </si>
  <si>
    <t>HO-087-260711084910</t>
  </si>
  <si>
    <t>'CM86065594212</t>
  </si>
  <si>
    <t>Alwie Chandra</t>
  </si>
  <si>
    <t>HO-087-260710213838</t>
  </si>
  <si>
    <t>'CM20019940789</t>
  </si>
  <si>
    <t>Billa Zhian</t>
  </si>
  <si>
    <t>HO-087-260710182237</t>
  </si>
  <si>
    <t>'JT32841155563</t>
  </si>
  <si>
    <t>'JT04104960700</t>
  </si>
  <si>
    <t>'CM24691102250</t>
  </si>
  <si>
    <t>'CM34865587291</t>
  </si>
  <si>
    <t>SRG10325</t>
  </si>
  <si>
    <t>'CM34526559574</t>
  </si>
  <si>
    <t>BDO20118</t>
  </si>
  <si>
    <t>'CM65021650477</t>
  </si>
  <si>
    <t>HO-087-260710182040</t>
  </si>
  <si>
    <t>'CM22531645454</t>
  </si>
  <si>
    <t>SUSANTY</t>
  </si>
  <si>
    <t>HO-087-260710171804</t>
  </si>
  <si>
    <t>'TG3577955413</t>
  </si>
  <si>
    <t>SRG10107</t>
  </si>
  <si>
    <t xml:space="preserve">SUSANTY </t>
  </si>
  <si>
    <t>HO-087-260710164959</t>
  </si>
  <si>
    <t>'CM22806309213</t>
  </si>
  <si>
    <t>HO-087-260710161332</t>
  </si>
  <si>
    <t>'CM17465402998</t>
  </si>
  <si>
    <t>DPS20100</t>
  </si>
  <si>
    <t>Arjuna</t>
  </si>
  <si>
    <t>GALERI KURA KURA</t>
  </si>
  <si>
    <t>HO-087-260710143604</t>
  </si>
  <si>
    <t>'TG7004496934</t>
  </si>
  <si>
    <t>UPG10010</t>
  </si>
  <si>
    <t xml:space="preserve">VALENTINE FERINA GHEA </t>
  </si>
  <si>
    <t>HO-087-260710141711</t>
  </si>
  <si>
    <t>'CM12481487053</t>
  </si>
  <si>
    <t>HO-087-260710125319</t>
  </si>
  <si>
    <t>'CM65407773941</t>
  </si>
  <si>
    <t>HO-087-260710124507</t>
  </si>
  <si>
    <t>'CM28968732197</t>
  </si>
  <si>
    <t>BDO10058</t>
  </si>
  <si>
    <t>Sandy Gt</t>
  </si>
  <si>
    <t>HO-087-260710124337</t>
  </si>
  <si>
    <t>'CM91172530858</t>
  </si>
  <si>
    <t>HO-087-260710113055</t>
  </si>
  <si>
    <t>'CM94202919334</t>
  </si>
  <si>
    <t>SRG20700</t>
  </si>
  <si>
    <t>HO-087-260710090646</t>
  </si>
  <si>
    <t>'TG3570803811</t>
  </si>
  <si>
    <t>HO-087-260710090359</t>
  </si>
  <si>
    <t>'CM53057242635</t>
  </si>
  <si>
    <t>Wiwik Setyaningsih</t>
  </si>
  <si>
    <t>LINDA</t>
  </si>
  <si>
    <t>HO-087-260710083237</t>
  </si>
  <si>
    <t>'JT18794029744</t>
  </si>
  <si>
    <t>HO-087-260710080608</t>
  </si>
  <si>
    <t>'CM85451585067</t>
  </si>
  <si>
    <t>HO-087-260710080529</t>
  </si>
  <si>
    <t>'CM98782886262</t>
  </si>
  <si>
    <t>HO-087-260710080403</t>
  </si>
  <si>
    <t>'CM60500694387</t>
  </si>
  <si>
    <t>HO-087-260710080242</t>
  </si>
  <si>
    <t>'CM52131222777</t>
  </si>
  <si>
    <t>MXG10039</t>
  </si>
  <si>
    <t>HO-087-260709190221</t>
  </si>
  <si>
    <t>'CM86103082764</t>
  </si>
  <si>
    <t>Marrilyn Gunadi</t>
  </si>
  <si>
    <t>HO-087-260709185128</t>
  </si>
  <si>
    <t>'CM68457087486</t>
  </si>
  <si>
    <t>BDJ10004</t>
  </si>
  <si>
    <t>SUSANA21</t>
  </si>
  <si>
    <t>HO-087-260709180546</t>
  </si>
  <si>
    <t>'TG3577849706</t>
  </si>
  <si>
    <t xml:space="preserve">SUSANA21 </t>
  </si>
  <si>
    <t>'CM75780032704</t>
  </si>
  <si>
    <t>KRW10014</t>
  </si>
  <si>
    <t>'CM17384091382</t>
  </si>
  <si>
    <t>PWT20024</t>
  </si>
  <si>
    <t>HO-087-260709173416</t>
  </si>
  <si>
    <t>'CM84065818061</t>
  </si>
  <si>
    <t>CLG20514</t>
  </si>
  <si>
    <t>HO-087-260709165227</t>
  </si>
  <si>
    <t>'CM75454495160</t>
  </si>
  <si>
    <t>HO-087-260709163734</t>
  </si>
  <si>
    <t>'CM94282147926</t>
  </si>
  <si>
    <t>HO-087-260709154343</t>
  </si>
  <si>
    <t>'CM05833886326</t>
  </si>
  <si>
    <t>Ayu Monita</t>
  </si>
  <si>
    <t>HO-087-260709152625</t>
  </si>
  <si>
    <t>'CM68550058034</t>
  </si>
  <si>
    <t>Herlita</t>
  </si>
  <si>
    <t>HO-087-260709151132</t>
  </si>
  <si>
    <t>'CM65708237213</t>
  </si>
  <si>
    <t>Hayatan Frozenmart</t>
  </si>
  <si>
    <t>HO-087-260709143811</t>
  </si>
  <si>
    <t>'CM36083339828</t>
  </si>
  <si>
    <t>HO-087-260709143540</t>
  </si>
  <si>
    <t>'CM84718896511</t>
  </si>
  <si>
    <t>HO-087-260709110908</t>
  </si>
  <si>
    <t>'CM54153814034</t>
  </si>
  <si>
    <t>HO-087-260709110147</t>
  </si>
  <si>
    <t>'CM19981462917</t>
  </si>
  <si>
    <t>Nur Aisah Jamil</t>
  </si>
  <si>
    <t>HO-087-260709072404</t>
  </si>
  <si>
    <t>'CM03474949010</t>
  </si>
  <si>
    <t>HO-087-260708205338</t>
  </si>
  <si>
    <t>'CM94117354779</t>
  </si>
  <si>
    <t>HO-087-260708201042</t>
  </si>
  <si>
    <t>'CM37431960194</t>
  </si>
  <si>
    <t>'CM96609247705</t>
  </si>
  <si>
    <t>'CM72302954362</t>
  </si>
  <si>
    <t>HO-087-260708200520</t>
  </si>
  <si>
    <t>'JT51794677128</t>
  </si>
  <si>
    <t>HO-087-260708200415</t>
  </si>
  <si>
    <t>'CM10950791438</t>
  </si>
  <si>
    <t>HO-087-260708192548</t>
  </si>
  <si>
    <t>'CM61449664641</t>
  </si>
  <si>
    <t>HO-087-260708192415</t>
  </si>
  <si>
    <t>'CM71142414079</t>
  </si>
  <si>
    <t>HO-087-260708191032</t>
  </si>
  <si>
    <t>'CM68513923868</t>
  </si>
  <si>
    <t>Ali Murtado</t>
  </si>
  <si>
    <t>HO-087-260708185738</t>
  </si>
  <si>
    <t>'CM22309167908</t>
  </si>
  <si>
    <t>BDO20216</t>
  </si>
  <si>
    <t>HO-087-260708184816</t>
  </si>
  <si>
    <t>'CM97845085998</t>
  </si>
  <si>
    <t>'TG3570081618</t>
  </si>
  <si>
    <t>HO-087-260708184514</t>
  </si>
  <si>
    <t>'CM80327192759</t>
  </si>
  <si>
    <t>SRG21618</t>
  </si>
  <si>
    <t>HO-087-260708184348</t>
  </si>
  <si>
    <t>'CM40340750527</t>
  </si>
  <si>
    <t>BDO21002</t>
  </si>
  <si>
    <t>'CM29520889160</t>
  </si>
  <si>
    <t>HO-087-260708184216</t>
  </si>
  <si>
    <t>'CM48322832916</t>
  </si>
  <si>
    <t>SDA10008</t>
  </si>
  <si>
    <t>'CM19698789944</t>
  </si>
  <si>
    <t>'CM52104545191</t>
  </si>
  <si>
    <t>HO-087-260708181215</t>
  </si>
  <si>
    <t>'CM25416462844</t>
  </si>
  <si>
    <t>HO-087-260708181033</t>
  </si>
  <si>
    <t>'CM66053325927</t>
  </si>
  <si>
    <t>HO-087-260708172406</t>
  </si>
  <si>
    <t>'CM79013012016</t>
  </si>
  <si>
    <t>'CM79138442849</t>
  </si>
  <si>
    <t>'CM83576485057</t>
  </si>
  <si>
    <t>'CM05101214201</t>
  </si>
  <si>
    <t>'CM71446974401</t>
  </si>
  <si>
    <t>'CM59530234876</t>
  </si>
  <si>
    <t>'CM08767081518</t>
  </si>
  <si>
    <t>SRG21713</t>
  </si>
  <si>
    <t>HO-087-260708165814</t>
  </si>
  <si>
    <t>'CM63786270458</t>
  </si>
  <si>
    <t>HO-087-260708164952</t>
  </si>
  <si>
    <t>'CM60191324458</t>
  </si>
  <si>
    <t>HO-087-260708162751</t>
  </si>
  <si>
    <t>'CM54399234318</t>
  </si>
  <si>
    <t>HO-087-260708141023</t>
  </si>
  <si>
    <t>'CM74784992065</t>
  </si>
  <si>
    <t>HO-087-260708121650</t>
  </si>
  <si>
    <t>'CM10481195354</t>
  </si>
  <si>
    <t>Hi Station</t>
  </si>
  <si>
    <t>HO-087-260708083813</t>
  </si>
  <si>
    <t>'CM76706858515</t>
  </si>
  <si>
    <t>Huha Books</t>
  </si>
  <si>
    <t>HO-087-260708083802</t>
  </si>
  <si>
    <t>'CM93778701866</t>
  </si>
  <si>
    <t>AMI20305</t>
  </si>
  <si>
    <t>HO-087-260708080340</t>
  </si>
  <si>
    <t>'CM75676557239</t>
  </si>
  <si>
    <t>JBR20104</t>
  </si>
  <si>
    <t>HO-087-260707203432</t>
  </si>
  <si>
    <t>'TG7008076032</t>
  </si>
  <si>
    <t>HO-087-260707202521</t>
  </si>
  <si>
    <t>'CM46741915271</t>
  </si>
  <si>
    <t>TGR10101</t>
  </si>
  <si>
    <t>Catur Soriya</t>
  </si>
  <si>
    <t>HO-087-260707191206</t>
  </si>
  <si>
    <t>'CM02001452584</t>
  </si>
  <si>
    <t>Aripin Suryadi</t>
  </si>
  <si>
    <t>HO-087-260707185303</t>
  </si>
  <si>
    <t>'CM68162221925</t>
  </si>
  <si>
    <t>HO-087-260707185150</t>
  </si>
  <si>
    <t>'JT55755408684</t>
  </si>
  <si>
    <t>'CM05764423286</t>
  </si>
  <si>
    <t>'CM53441369453</t>
  </si>
  <si>
    <t>HO-087-260707185106</t>
  </si>
  <si>
    <t>'JT17804795651</t>
  </si>
  <si>
    <t>'CM00097560095</t>
  </si>
  <si>
    <t>'CM83119980521</t>
  </si>
  <si>
    <t>'CM54680164296</t>
  </si>
  <si>
    <t>'JT66092843811</t>
  </si>
  <si>
    <t>'JT69322775560</t>
  </si>
  <si>
    <t>'CM99133890719</t>
  </si>
  <si>
    <t>'JT80838500892</t>
  </si>
  <si>
    <t>HO-087-260707185041</t>
  </si>
  <si>
    <t>'CM21905491411</t>
  </si>
  <si>
    <t>MDC20404</t>
  </si>
  <si>
    <t>'CM28341579405</t>
  </si>
  <si>
    <t>'CM93264493730</t>
  </si>
  <si>
    <t>'CM58089361136</t>
  </si>
  <si>
    <t>MDN10103</t>
  </si>
  <si>
    <t>HO-087-260707173945</t>
  </si>
  <si>
    <t>'CM28106290823</t>
  </si>
  <si>
    <t>'CM06428719766</t>
  </si>
  <si>
    <t>'CM64020465729</t>
  </si>
  <si>
    <t>HO-087-260707171604</t>
  </si>
  <si>
    <t>'CM14692399109</t>
  </si>
  <si>
    <t>PSR10017</t>
  </si>
  <si>
    <t>Monika</t>
  </si>
  <si>
    <t>HO-087-260707164439</t>
  </si>
  <si>
    <t>'CM67424022773</t>
  </si>
  <si>
    <t>'CM18960688534</t>
  </si>
  <si>
    <t>HO-087-260707164330</t>
  </si>
  <si>
    <t>'CM50897991789</t>
  </si>
  <si>
    <t>'CM10796411106</t>
  </si>
  <si>
    <t>'CM87542776153</t>
  </si>
  <si>
    <t>'CM40873932480</t>
  </si>
  <si>
    <t>HO-087-260707163514</t>
  </si>
  <si>
    <t>'CM07374780108</t>
  </si>
  <si>
    <t>PKU10018</t>
  </si>
  <si>
    <t>HO-087-260707163200</t>
  </si>
  <si>
    <t>'CM02288280807</t>
  </si>
  <si>
    <t>'CM04596269756</t>
  </si>
  <si>
    <t>SMD10005</t>
  </si>
  <si>
    <t>HO-087-260707144540</t>
  </si>
  <si>
    <t>'JY05967435042</t>
  </si>
  <si>
    <t>HO-087-260707142347</t>
  </si>
  <si>
    <t>'CM64554394345</t>
  </si>
  <si>
    <t>RAGYL IBNU</t>
  </si>
  <si>
    <t>HO-087-260707101108</t>
  </si>
  <si>
    <t>'TG3570449706</t>
  </si>
  <si>
    <t>SUB10002</t>
  </si>
  <si>
    <t xml:space="preserve">RAGYL IBNU </t>
  </si>
  <si>
    <t>HO-087-260706214632</t>
  </si>
  <si>
    <t>'JY40914522987</t>
  </si>
  <si>
    <t>Elloure.id</t>
  </si>
  <si>
    <t>HO-087-260706202418</t>
  </si>
  <si>
    <t>'CM85449629180</t>
  </si>
  <si>
    <t>HO-087-260706174357</t>
  </si>
  <si>
    <t>'CM03819797861</t>
  </si>
  <si>
    <t>HO-087-260706173710</t>
  </si>
  <si>
    <t>'CM45926697830</t>
  </si>
  <si>
    <t>BDO10060</t>
  </si>
  <si>
    <t>HO-087-260706173626</t>
  </si>
  <si>
    <t>'CM84543348825</t>
  </si>
  <si>
    <t>HO-087-260706165202</t>
  </si>
  <si>
    <t>'CM06975121777</t>
  </si>
  <si>
    <t>HO-087-260706165004</t>
  </si>
  <si>
    <t>'CM19927004114</t>
  </si>
  <si>
    <t>'CM48652762027</t>
  </si>
  <si>
    <t>BOO20131</t>
  </si>
  <si>
    <t>'CM05924424891</t>
  </si>
  <si>
    <t>'CM64385748413</t>
  </si>
  <si>
    <t>HO-087-260706152629</t>
  </si>
  <si>
    <t>'CM71072041171</t>
  </si>
  <si>
    <t>'CM10097943235</t>
  </si>
  <si>
    <t>HO-087-260706143145</t>
  </si>
  <si>
    <t>'CM22151706288</t>
  </si>
  <si>
    <t>'CM43583028186</t>
  </si>
  <si>
    <t>HO-087-260706131109</t>
  </si>
  <si>
    <t>'TG3573969100</t>
  </si>
  <si>
    <t>HO-087-260706124751</t>
  </si>
  <si>
    <t>'CM36295733944</t>
  </si>
  <si>
    <t>SRG21117</t>
  </si>
  <si>
    <t>HO-087-260706083219</t>
  </si>
  <si>
    <t>'CM47005501520</t>
  </si>
  <si>
    <t>HO-087-260706083120</t>
  </si>
  <si>
    <t>'CM96127553666</t>
  </si>
  <si>
    <t>SUB20100</t>
  </si>
  <si>
    <t>HO-087-260706080354</t>
  </si>
  <si>
    <t>'CM85065652617</t>
  </si>
  <si>
    <t>'CM47638221005</t>
  </si>
  <si>
    <t>BAJUSECONDMURCE</t>
  </si>
  <si>
    <t>HO-087-260706070939</t>
  </si>
  <si>
    <t>'TG7005686632</t>
  </si>
  <si>
    <t xml:space="preserve">MEILANY </t>
  </si>
  <si>
    <t>HO-087-260705170750</t>
  </si>
  <si>
    <t>'CM20547535835</t>
  </si>
  <si>
    <t>'CM53194466963</t>
  </si>
  <si>
    <t>HO-087-260705121128</t>
  </si>
  <si>
    <t>'CM77023567803</t>
  </si>
  <si>
    <t>HO-087-260705110907</t>
  </si>
  <si>
    <t>'JT02786304838</t>
  </si>
  <si>
    <t>HO-087-260705110835</t>
  </si>
  <si>
    <t>'CM31647957103</t>
  </si>
  <si>
    <t>HO-087-260705105618</t>
  </si>
  <si>
    <t>'CM86028257184</t>
  </si>
  <si>
    <t>HO-087-260705100228</t>
  </si>
  <si>
    <t>'CM60486689504</t>
  </si>
  <si>
    <t>'CM22998468477</t>
  </si>
  <si>
    <t>'CM22301446589</t>
  </si>
  <si>
    <t>HO-087-260704175206</t>
  </si>
  <si>
    <t>'CM11622636247</t>
  </si>
  <si>
    <t>DPS20704</t>
  </si>
  <si>
    <t>HO-087-260704170632</t>
  </si>
  <si>
    <t>'TG3573158502</t>
  </si>
  <si>
    <t>HO-087-260704161449</t>
  </si>
  <si>
    <t>'CM79604792029</t>
  </si>
  <si>
    <t>HO-087-260704160343</t>
  </si>
  <si>
    <t>'CM97595003671</t>
  </si>
  <si>
    <t>BTG20108</t>
  </si>
  <si>
    <t>HO-087-260704160224</t>
  </si>
  <si>
    <t>'CM69927475645</t>
  </si>
  <si>
    <t>SDA10007</t>
  </si>
  <si>
    <t>'CM70185050432</t>
  </si>
  <si>
    <t>'JY28670929842</t>
  </si>
  <si>
    <t>TKG10046</t>
  </si>
  <si>
    <t>'CM89490039246</t>
  </si>
  <si>
    <t>'CM32498454048</t>
  </si>
  <si>
    <t>'CM68700147771</t>
  </si>
  <si>
    <t>'CM09921419987</t>
  </si>
  <si>
    <t>'CM76629231178</t>
  </si>
  <si>
    <t>HO-087-260704143424</t>
  </si>
  <si>
    <t>'CM46854046435</t>
  </si>
  <si>
    <t>HO-087-260704133352</t>
  </si>
  <si>
    <t>'CM86931468692</t>
  </si>
  <si>
    <t>Tata</t>
  </si>
  <si>
    <t>HO-087-260704111115</t>
  </si>
  <si>
    <t>'CM55364908889</t>
  </si>
  <si>
    <t>HO-087-260704090938</t>
  </si>
  <si>
    <t>'CM13499050590</t>
  </si>
  <si>
    <t>HO-087-260704072150</t>
  </si>
  <si>
    <t>'CM49482876051</t>
  </si>
  <si>
    <t>SRG10202</t>
  </si>
  <si>
    <t>HO-087-260703190122</t>
  </si>
  <si>
    <t>'CM93712537849</t>
  </si>
  <si>
    <t>HO-087-260703184940</t>
  </si>
  <si>
    <t>'TG3573917704</t>
  </si>
  <si>
    <t>HO-087-260703183447</t>
  </si>
  <si>
    <t>'CM67669192308</t>
  </si>
  <si>
    <t>MDN20412</t>
  </si>
  <si>
    <t>Elzia</t>
  </si>
  <si>
    <t>'CM03886486282</t>
  </si>
  <si>
    <t>MDN20302</t>
  </si>
  <si>
    <t>Yemima Marpaung</t>
  </si>
  <si>
    <t>'CM83583926295</t>
  </si>
  <si>
    <t>JOG20406</t>
  </si>
  <si>
    <t>HO-087-260703180750</t>
  </si>
  <si>
    <t>'CM23798933687</t>
  </si>
  <si>
    <t>HO-087-260703180326</t>
  </si>
  <si>
    <t>'CM89740511349</t>
  </si>
  <si>
    <t>HO-087-260703174006</t>
  </si>
  <si>
    <t>'CM12385427502</t>
  </si>
  <si>
    <t>HO-087-260703171611</t>
  </si>
  <si>
    <t>'CM39320435935</t>
  </si>
  <si>
    <t>'CM49988261794</t>
  </si>
  <si>
    <t>'CM57506217815</t>
  </si>
  <si>
    <t>TGR10106</t>
  </si>
  <si>
    <t>HO-087-260703171027</t>
  </si>
  <si>
    <t>'CM94025065074</t>
  </si>
  <si>
    <t>SRG21606</t>
  </si>
  <si>
    <t>HO-087-260703154013</t>
  </si>
  <si>
    <t>'CM57432932323</t>
  </si>
  <si>
    <t>'CM72776780475</t>
  </si>
  <si>
    <t>'CM38077638906</t>
  </si>
  <si>
    <t>HO-087-260703142942</t>
  </si>
  <si>
    <t>'CM17046497734</t>
  </si>
  <si>
    <t>SRG20823</t>
  </si>
  <si>
    <t>HO-087-260703140344</t>
  </si>
  <si>
    <t>'CM85851843550</t>
  </si>
  <si>
    <t>HO-087-260703135519</t>
  </si>
  <si>
    <t>'CM61428218830</t>
  </si>
  <si>
    <t>HO-087-260703134217</t>
  </si>
  <si>
    <t>'CM80449277123</t>
  </si>
  <si>
    <t>HO-087-260703125845</t>
  </si>
  <si>
    <t>'CM29878184684</t>
  </si>
  <si>
    <t>HO-087-260703120457</t>
  </si>
  <si>
    <t>'JT14953405168</t>
  </si>
  <si>
    <t>HO-087-260703120346</t>
  </si>
  <si>
    <t>'CM84345963487</t>
  </si>
  <si>
    <t>HO-087-260703120223</t>
  </si>
  <si>
    <t>'CM82700913608</t>
  </si>
  <si>
    <t>HO-087-260703110523</t>
  </si>
  <si>
    <t>'CM92478036782</t>
  </si>
  <si>
    <t>SOC20303</t>
  </si>
  <si>
    <t>Putri Himawari</t>
  </si>
  <si>
    <t>HO-087-260703091003</t>
  </si>
  <si>
    <t>'CM22080354773</t>
  </si>
  <si>
    <t>Rahmat muchklis</t>
  </si>
  <si>
    <t>HO-087-260703090701</t>
  </si>
  <si>
    <t>'JY58985189212</t>
  </si>
  <si>
    <t>Merchkin Store</t>
  </si>
  <si>
    <t>HO-087-260702200848</t>
  </si>
  <si>
    <t>'TG3571465002</t>
  </si>
  <si>
    <t>HO-087-260702195310</t>
  </si>
  <si>
    <t>'CM03707928563</t>
  </si>
  <si>
    <t>SRG21308</t>
  </si>
  <si>
    <t>HO-087-260702192221</t>
  </si>
  <si>
    <t>'CM67523431975</t>
  </si>
  <si>
    <t>HO-087-260702191853</t>
  </si>
  <si>
    <t>'CM70258367447</t>
  </si>
  <si>
    <t>HO-087-260702191113</t>
  </si>
  <si>
    <t>'CM36029558550</t>
  </si>
  <si>
    <t>HO-087-260702172422</t>
  </si>
  <si>
    <t>'CM12484728482</t>
  </si>
  <si>
    <t>'CM63059953789</t>
  </si>
  <si>
    <t>'JY94692537282</t>
  </si>
  <si>
    <t>HO-087-260702171359</t>
  </si>
  <si>
    <t>'CM95075659775</t>
  </si>
  <si>
    <t>DPS10012</t>
  </si>
  <si>
    <t>HO-087-260702114656</t>
  </si>
  <si>
    <t>'CM37504862886</t>
  </si>
  <si>
    <t>HO-087-260702114556</t>
  </si>
  <si>
    <t>'CM71057074010</t>
  </si>
  <si>
    <t>'CM82735618339</t>
  </si>
  <si>
    <t>HO-087-260702103556</t>
  </si>
  <si>
    <t>'JY52118687212</t>
  </si>
  <si>
    <t>HO-087-260702100434</t>
  </si>
  <si>
    <t>'CM06508328871</t>
  </si>
  <si>
    <t>HO-087-260702094940</t>
  </si>
  <si>
    <t>'CM40077552389</t>
  </si>
  <si>
    <t>Riming Maslan Kartadinata</t>
  </si>
  <si>
    <t>HO-087-260701205725</t>
  </si>
  <si>
    <t>'CM14189628531</t>
  </si>
  <si>
    <t>Mili</t>
  </si>
  <si>
    <t>HO-087-260701201018</t>
  </si>
  <si>
    <t>'CM93619261688</t>
  </si>
  <si>
    <t>HO-087-260701192521</t>
  </si>
  <si>
    <t>'CM04995619311</t>
  </si>
  <si>
    <t>HO-087-260701184339</t>
  </si>
  <si>
    <t>'CM77763107404</t>
  </si>
  <si>
    <t>SOC20324</t>
  </si>
  <si>
    <t>'CM30076491922</t>
  </si>
  <si>
    <t>HO-087-260701182449</t>
  </si>
  <si>
    <t>'CM35620256314</t>
  </si>
  <si>
    <t>Sarah Citrawati</t>
  </si>
  <si>
    <t>HO-087-260701175153</t>
  </si>
  <si>
    <t>'CM27481337724</t>
  </si>
  <si>
    <t>Farida Widasta</t>
  </si>
  <si>
    <t>HO-087-260701174212</t>
  </si>
  <si>
    <t>'CM24044307611</t>
  </si>
  <si>
    <t>HO-087-260701171610</t>
  </si>
  <si>
    <t>'CM40372685516</t>
  </si>
  <si>
    <t>HO-087-260701170432</t>
  </si>
  <si>
    <t>'CM83481601018</t>
  </si>
  <si>
    <t>HO-087-260701170425</t>
  </si>
  <si>
    <t>'CM67466036173</t>
  </si>
  <si>
    <t>SRG10010</t>
  </si>
  <si>
    <t>HO-087-260701163913</t>
  </si>
  <si>
    <t>'CM35797007308</t>
  </si>
  <si>
    <t>'JY56688962642</t>
  </si>
  <si>
    <t>HO-087-260701153228</t>
  </si>
  <si>
    <t>'CM29409221530</t>
  </si>
  <si>
    <t>HO-087-260701143116</t>
  </si>
  <si>
    <t>'JT65495466451</t>
  </si>
  <si>
    <t>HO-087-260701132911</t>
  </si>
  <si>
    <t>'CM86213187161</t>
  </si>
  <si>
    <t>BOO10027</t>
  </si>
  <si>
    <t>HO-087-260701121631</t>
  </si>
  <si>
    <t>'CM72906276302</t>
  </si>
  <si>
    <t>SRG22201</t>
  </si>
  <si>
    <t>HO-087-260731203448</t>
  </si>
  <si>
    <t>'CM46561385332</t>
  </si>
  <si>
    <t>HO-087-260731185443</t>
  </si>
  <si>
    <t>'CM05064746394</t>
  </si>
  <si>
    <t>TGR10128</t>
  </si>
  <si>
    <t>HO-087-260731175023</t>
  </si>
  <si>
    <t>'CM47253813913</t>
  </si>
  <si>
    <t>'CM18878989182</t>
  </si>
  <si>
    <t>BDO10131</t>
  </si>
  <si>
    <t>HO-087-260731173734</t>
  </si>
  <si>
    <t>'CM49138065854</t>
  </si>
  <si>
    <t>MXG20306</t>
  </si>
  <si>
    <t>Nuraya Active</t>
  </si>
  <si>
    <t>HO-087-260731170010</t>
  </si>
  <si>
    <t>'CM22545949075</t>
  </si>
  <si>
    <t>'CM01802847899</t>
  </si>
  <si>
    <t>SJM PAPER  STICKER</t>
  </si>
  <si>
    <t>'TG7006468835</t>
  </si>
  <si>
    <t>CGK10406</t>
  </si>
  <si>
    <t xml:space="preserve">MICHAEL LONDA </t>
  </si>
  <si>
    <t>'CM56176526013</t>
  </si>
  <si>
    <t>DPK10059</t>
  </si>
  <si>
    <t>'CM59602242408</t>
  </si>
  <si>
    <t>'JY99402703895</t>
  </si>
  <si>
    <t>'JY52936873154</t>
  </si>
  <si>
    <t>BKI10048</t>
  </si>
  <si>
    <t>'CM63286540416</t>
  </si>
  <si>
    <t>HO-087-260731163131</t>
  </si>
  <si>
    <t>'RTN166277952763</t>
  </si>
  <si>
    <t>DEDE SULAEMAN SULAEMAN</t>
  </si>
  <si>
    <t>HO-087-260731154821</t>
  </si>
  <si>
    <t>'CM80758780338</t>
  </si>
  <si>
    <t>UPG10007</t>
  </si>
  <si>
    <t>Angel Cos</t>
  </si>
  <si>
    <t>HO-087-260731144150</t>
  </si>
  <si>
    <t>'JY04363701626</t>
  </si>
  <si>
    <t>FIRDAYANI</t>
  </si>
  <si>
    <t>HO-087-260731140554</t>
  </si>
  <si>
    <t>'JT81876520215</t>
  </si>
  <si>
    <t>HO-087-260731122733</t>
  </si>
  <si>
    <t>'CM17122952748</t>
  </si>
  <si>
    <t>HO-087-260731113644</t>
  </si>
  <si>
    <t>'CM37708895342</t>
  </si>
  <si>
    <t>SUB10030</t>
  </si>
  <si>
    <t>HO-087-260731090025</t>
  </si>
  <si>
    <t>'CM00943015900</t>
  </si>
  <si>
    <t>Rini Ayu Alwiyah</t>
  </si>
  <si>
    <t>HO-087-260730211515</t>
  </si>
  <si>
    <t>'CM57866533601</t>
  </si>
  <si>
    <t>HO-087-260730205940</t>
  </si>
  <si>
    <t>'CM84169623687</t>
  </si>
  <si>
    <t>BOO20130</t>
  </si>
  <si>
    <t>'TG3574464339</t>
  </si>
  <si>
    <t>HO-087-260730191131</t>
  </si>
  <si>
    <t>'CM33595870739</t>
  </si>
  <si>
    <t>DPS21165</t>
  </si>
  <si>
    <t>HO-087-260730191047</t>
  </si>
  <si>
    <t>'CM14944119580</t>
  </si>
  <si>
    <t>HO-087-260730191016</t>
  </si>
  <si>
    <t>'CM42056029626</t>
  </si>
  <si>
    <t>KDR10003</t>
  </si>
  <si>
    <t>DEVIRAMA</t>
  </si>
  <si>
    <t>HO-087-260730190938</t>
  </si>
  <si>
    <t>'JT68929249033</t>
  </si>
  <si>
    <t>HO-087-260730184617</t>
  </si>
  <si>
    <t>'CM86283385230</t>
  </si>
  <si>
    <t>Syifa zakiyah</t>
  </si>
  <si>
    <t>HO-087-260730175201</t>
  </si>
  <si>
    <t>'JT30284021716</t>
  </si>
  <si>
    <t>CGK10106</t>
  </si>
  <si>
    <t>HO-087-260730173255</t>
  </si>
  <si>
    <t>'CM66654942238</t>
  </si>
  <si>
    <t>'CM80519334380</t>
  </si>
  <si>
    <t>'CM21812094805</t>
  </si>
  <si>
    <t>HO-087-260730165307</t>
  </si>
  <si>
    <t>'CM04463211046</t>
  </si>
  <si>
    <t>'CM74224315240</t>
  </si>
  <si>
    <t>MGL10411</t>
  </si>
  <si>
    <t>HO-087-260730164801</t>
  </si>
  <si>
    <t>'CM43649990893</t>
  </si>
  <si>
    <t>JOG20111</t>
  </si>
  <si>
    <t>'CM85671424996</t>
  </si>
  <si>
    <t>CXP20003</t>
  </si>
  <si>
    <t>'CM12400226976</t>
  </si>
  <si>
    <t>BDO10109</t>
  </si>
  <si>
    <t>'CM02026728173</t>
  </si>
  <si>
    <t>HO-087-260730161235</t>
  </si>
  <si>
    <t>'JY90494224291</t>
  </si>
  <si>
    <t>BOO20142</t>
  </si>
  <si>
    <t>'CM94926673689</t>
  </si>
  <si>
    <t>SRG20300</t>
  </si>
  <si>
    <t>'CM62462826889</t>
  </si>
  <si>
    <t>SUB10203</t>
  </si>
  <si>
    <t>HO-087-260730160458</t>
  </si>
  <si>
    <t>'CM73870759334</t>
  </si>
  <si>
    <t>HO-087-260730154005</t>
  </si>
  <si>
    <t>'CM98267316977</t>
  </si>
  <si>
    <t>HO-087-260730153936</t>
  </si>
  <si>
    <t>'CM34212201523</t>
  </si>
  <si>
    <t>TSM20001</t>
  </si>
  <si>
    <t>HO-087-260730153448</t>
  </si>
  <si>
    <t>'CM22462366884</t>
  </si>
  <si>
    <t>MGL10106</t>
  </si>
  <si>
    <t>Zefanya Andrian Wijaya</t>
  </si>
  <si>
    <t>HO-087-260730151536</t>
  </si>
  <si>
    <t>'CM34638531556</t>
  </si>
  <si>
    <t>HO-087-260730145836</t>
  </si>
  <si>
    <t>'CM25061311399</t>
  </si>
  <si>
    <t>HO-087-260730144458</t>
  </si>
  <si>
    <t>'CM56088568999</t>
  </si>
  <si>
    <t>saila</t>
  </si>
  <si>
    <t>HO-087-260730135620</t>
  </si>
  <si>
    <t>'CM23218700169</t>
  </si>
  <si>
    <t>TSM10109</t>
  </si>
  <si>
    <t>Rosadi</t>
  </si>
  <si>
    <t>'CM86297449145</t>
  </si>
  <si>
    <t>SOC20511</t>
  </si>
  <si>
    <t>HO-087-260730125405</t>
  </si>
  <si>
    <t>'CM41927124914</t>
  </si>
  <si>
    <t>HO-087-260730124548</t>
  </si>
  <si>
    <t>'CM70797437892</t>
  </si>
  <si>
    <t>MES10022</t>
  </si>
  <si>
    <t>OLVeshop</t>
  </si>
  <si>
    <t>HO-087-260730121603</t>
  </si>
  <si>
    <t>'CM15092201061</t>
  </si>
  <si>
    <t>KRW10024</t>
  </si>
  <si>
    <t>Salsabila Nurulhilmiya</t>
  </si>
  <si>
    <t>AGUNG LAKSONO</t>
  </si>
  <si>
    <t>HO-087-260730093646</t>
  </si>
  <si>
    <t>'TG3574307025</t>
  </si>
  <si>
    <t>BDO10111</t>
  </si>
  <si>
    <t xml:space="preserve">AGUNG LAKSONO </t>
  </si>
  <si>
    <t>HO-087-260730090422</t>
  </si>
  <si>
    <t>'CM17528270108</t>
  </si>
  <si>
    <t>'CM12922278064</t>
  </si>
  <si>
    <t>'CM27142112244</t>
  </si>
  <si>
    <t>TSM10004</t>
  </si>
  <si>
    <t>HO-087-260730080926</t>
  </si>
  <si>
    <t>'JT90616359188</t>
  </si>
  <si>
    <t>HO-087-260729205804</t>
  </si>
  <si>
    <t>'CM95695613290</t>
  </si>
  <si>
    <t>Ratu Maharani Kharty Kea</t>
  </si>
  <si>
    <t>HO-087-260729190801</t>
  </si>
  <si>
    <t>'CM47105320362</t>
  </si>
  <si>
    <t>SOC20109</t>
  </si>
  <si>
    <t>'JT44763678808</t>
  </si>
  <si>
    <t>HO-087-260729175803</t>
  </si>
  <si>
    <t>'CM19381490805</t>
  </si>
  <si>
    <t>PKU10009</t>
  </si>
  <si>
    <t>HO-087-260729165329</t>
  </si>
  <si>
    <t>'CM02104981788</t>
  </si>
  <si>
    <t>JOG20316</t>
  </si>
  <si>
    <t>'CM35124947993</t>
  </si>
  <si>
    <t>BOO20135</t>
  </si>
  <si>
    <t>'CM37234745180</t>
  </si>
  <si>
    <t>'CM09481780820</t>
  </si>
  <si>
    <t>SMI10027</t>
  </si>
  <si>
    <t>'CM04604597831</t>
  </si>
  <si>
    <t>SRG21200</t>
  </si>
  <si>
    <t>'CM99397762449</t>
  </si>
  <si>
    <t>'CM02470455841</t>
  </si>
  <si>
    <t>'CM65401412339</t>
  </si>
  <si>
    <t>TKG10048</t>
  </si>
  <si>
    <t>'CM42457493377</t>
  </si>
  <si>
    <t>DPS20400</t>
  </si>
  <si>
    <t>HO-087-260729165249</t>
  </si>
  <si>
    <t>'CM28901384673</t>
  </si>
  <si>
    <t>SRG21714</t>
  </si>
  <si>
    <t>'CM49597760763</t>
  </si>
  <si>
    <t>DJB10011</t>
  </si>
  <si>
    <t>'CM94810340491</t>
  </si>
  <si>
    <t>BOO20146</t>
  </si>
  <si>
    <t>'CM79429288806</t>
  </si>
  <si>
    <t>PKU10012</t>
  </si>
  <si>
    <t>'CM15320237291</t>
  </si>
  <si>
    <t>TGL10002</t>
  </si>
  <si>
    <t>'CM75425828492</t>
  </si>
  <si>
    <t>SDA10000</t>
  </si>
  <si>
    <t>'CM08406754621</t>
  </si>
  <si>
    <t>'CM46940365848</t>
  </si>
  <si>
    <t>UPG22101</t>
  </si>
  <si>
    <t>HO-087-260729165134</t>
  </si>
  <si>
    <t>'CM37978555477</t>
  </si>
  <si>
    <t>SRG10005</t>
  </si>
  <si>
    <t>'CM98920099114</t>
  </si>
  <si>
    <t>HO-087-260729164952</t>
  </si>
  <si>
    <t>'CM68089491455</t>
  </si>
  <si>
    <t>PDG20212</t>
  </si>
  <si>
    <t>'CM51306155772</t>
  </si>
  <si>
    <t>TGL10204</t>
  </si>
  <si>
    <t>'CM88931084098</t>
  </si>
  <si>
    <t>PGK10507</t>
  </si>
  <si>
    <t>'CM30762915260</t>
  </si>
  <si>
    <t>CLG10041</t>
  </si>
  <si>
    <t>'CM84007437151</t>
  </si>
  <si>
    <t>BDO20716</t>
  </si>
  <si>
    <t>'CM74402273511</t>
  </si>
  <si>
    <t>HO-087-260729164914</t>
  </si>
  <si>
    <t>'CM80156304961</t>
  </si>
  <si>
    <t>'CM11804547607</t>
  </si>
  <si>
    <t>TKG21001</t>
  </si>
  <si>
    <t>'CM99369535466</t>
  </si>
  <si>
    <t>'CM66918875403</t>
  </si>
  <si>
    <t>PKY20801</t>
  </si>
  <si>
    <t>'CM71215787072</t>
  </si>
  <si>
    <t>'CM56766862426</t>
  </si>
  <si>
    <t>JOG20109</t>
  </si>
  <si>
    <t>'CM37550210835</t>
  </si>
  <si>
    <t>PGK10019</t>
  </si>
  <si>
    <t>'CM60119132094</t>
  </si>
  <si>
    <t>BPN10012</t>
  </si>
  <si>
    <t>'CM12968248640</t>
  </si>
  <si>
    <t>MXG20319</t>
  </si>
  <si>
    <t>'CM12526102878</t>
  </si>
  <si>
    <t>MES10032</t>
  </si>
  <si>
    <t>HO-087-260729164706</t>
  </si>
  <si>
    <t>'CM16135477802</t>
  </si>
  <si>
    <t>'CM18563568569</t>
  </si>
  <si>
    <t>CLG20310</t>
  </si>
  <si>
    <t>'CM85273302068</t>
  </si>
  <si>
    <t>MGL10419</t>
  </si>
  <si>
    <t>'CM13996667116</t>
  </si>
  <si>
    <t>'CM39894857239</t>
  </si>
  <si>
    <t>SRG21616</t>
  </si>
  <si>
    <t>'CM19766251927</t>
  </si>
  <si>
    <t>SMI10014</t>
  </si>
  <si>
    <t>'CM98137003904</t>
  </si>
  <si>
    <t>SMD10011</t>
  </si>
  <si>
    <t>'CM01924923889</t>
  </si>
  <si>
    <t>MES10617</t>
  </si>
  <si>
    <t>'CM67602825239</t>
  </si>
  <si>
    <t>'CM14249968827</t>
  </si>
  <si>
    <t>SMI10008</t>
  </si>
  <si>
    <t>HO-087-260729164253</t>
  </si>
  <si>
    <t>'CM39871395105</t>
  </si>
  <si>
    <t>SRG20702</t>
  </si>
  <si>
    <t>'CM98836448717</t>
  </si>
  <si>
    <t>BOO20147</t>
  </si>
  <si>
    <t>'CM95481398806</t>
  </si>
  <si>
    <t>BDO21223</t>
  </si>
  <si>
    <t>HO-087-260729164205</t>
  </si>
  <si>
    <t>'CM99104966181</t>
  </si>
  <si>
    <t>'CM99639861366</t>
  </si>
  <si>
    <t>BDO21010</t>
  </si>
  <si>
    <t>'CM13240485494</t>
  </si>
  <si>
    <t>MJK10200</t>
  </si>
  <si>
    <t>'CM42132703991</t>
  </si>
  <si>
    <t>TSM30014</t>
  </si>
  <si>
    <t>'CM61111534742</t>
  </si>
  <si>
    <t>SOC20615</t>
  </si>
  <si>
    <t>'CM27781692587</t>
  </si>
  <si>
    <t>BDJ10005</t>
  </si>
  <si>
    <t>'CM40625014564</t>
  </si>
  <si>
    <t>'CM41974761615</t>
  </si>
  <si>
    <t>BOO20143</t>
  </si>
  <si>
    <t>'CM56567760352</t>
  </si>
  <si>
    <t>SRG21207</t>
  </si>
  <si>
    <t>'CM63109691697</t>
  </si>
  <si>
    <t>SRG20901</t>
  </si>
  <si>
    <t>HO-087-260729163658</t>
  </si>
  <si>
    <t>'CM28762205616</t>
  </si>
  <si>
    <t>MES10600</t>
  </si>
  <si>
    <t>'CM08110249197</t>
  </si>
  <si>
    <t>'CM45225629447</t>
  </si>
  <si>
    <t>MDN20104</t>
  </si>
  <si>
    <t>'CM18148778924</t>
  </si>
  <si>
    <t>TGL30003</t>
  </si>
  <si>
    <t>'CM22091331675</t>
  </si>
  <si>
    <t>SRG10322</t>
  </si>
  <si>
    <t>HO-087-260729160056</t>
  </si>
  <si>
    <t>'JT95923719532</t>
  </si>
  <si>
    <t>HO-087-260729160039</t>
  </si>
  <si>
    <t>'CM10076647167</t>
  </si>
  <si>
    <t>BTH10088</t>
  </si>
  <si>
    <t>GRANESIA FLAGSHIP STORE</t>
  </si>
  <si>
    <t>HO-087-260729152335</t>
  </si>
  <si>
    <t>'BLIJC04508285685</t>
  </si>
  <si>
    <t>HO-087-260729152256</t>
  </si>
  <si>
    <t>'CM83751351405</t>
  </si>
  <si>
    <t>BOO20134</t>
  </si>
  <si>
    <t>HO-087-260729131506</t>
  </si>
  <si>
    <t>'CM06638887972</t>
  </si>
  <si>
    <t>BDO10018</t>
  </si>
  <si>
    <t>'CM79711889190</t>
  </si>
  <si>
    <t>HO-087-260729122121</t>
  </si>
  <si>
    <t>'CM63129048036</t>
  </si>
  <si>
    <t>HO-087-260729111020</t>
  </si>
  <si>
    <t>'CM13460862424</t>
  </si>
  <si>
    <t>HO-087-260729090526</t>
  </si>
  <si>
    <t>'CM58882639527</t>
  </si>
  <si>
    <t>PT SURYA INDUSTRIAL NUSANTARA</t>
  </si>
  <si>
    <t>HO-087-260728192513</t>
  </si>
  <si>
    <t>'CM24660675324</t>
  </si>
  <si>
    <t>VALID PRIHANDA OKUTAMA</t>
  </si>
  <si>
    <t>HO-087-260728184444</t>
  </si>
  <si>
    <t>'CM03807978477</t>
  </si>
  <si>
    <t>Yudha Andrian</t>
  </si>
  <si>
    <t>HO-087-260728182158</t>
  </si>
  <si>
    <t>'CM50253355340</t>
  </si>
  <si>
    <t>Ricky kurniawan</t>
  </si>
  <si>
    <t>HO-087-260728175452</t>
  </si>
  <si>
    <t>'JT01714114592</t>
  </si>
  <si>
    <t>CLG20327</t>
  </si>
  <si>
    <t>HO-087-260728172751</t>
  </si>
  <si>
    <t>'CM95462894990</t>
  </si>
  <si>
    <t>HO-087-260728171054</t>
  </si>
  <si>
    <t>'CM84298824771</t>
  </si>
  <si>
    <t>JBR20118</t>
  </si>
  <si>
    <t>PUJI PURWANTI</t>
  </si>
  <si>
    <t>HO-087-260728164701</t>
  </si>
  <si>
    <t>'TG3573070838</t>
  </si>
  <si>
    <t xml:space="preserve">PUJI PURWANTI </t>
  </si>
  <si>
    <t>HO-087-260728163136</t>
  </si>
  <si>
    <t>'CM34390572373</t>
  </si>
  <si>
    <t>'CM40191381882</t>
  </si>
  <si>
    <t>'CM66619981855</t>
  </si>
  <si>
    <t>SRG20905</t>
  </si>
  <si>
    <t>'CM96187100456</t>
  </si>
  <si>
    <t>'CM61266826983</t>
  </si>
  <si>
    <t>'CM85292850805</t>
  </si>
  <si>
    <t>BDO10101</t>
  </si>
  <si>
    <t>HO-087-260728154547</t>
  </si>
  <si>
    <t>'CM89296385741</t>
  </si>
  <si>
    <t>MGL10310</t>
  </si>
  <si>
    <t>HO-087-260728145642</t>
  </si>
  <si>
    <t>'CM76743110135</t>
  </si>
  <si>
    <t>HO-087-260728120714</t>
  </si>
  <si>
    <t>'CM51439469022</t>
  </si>
  <si>
    <t>HO-087-260728105706</t>
  </si>
  <si>
    <t>'CM20100481442</t>
  </si>
  <si>
    <t>BPN10013</t>
  </si>
  <si>
    <t>HO-087-260728091322</t>
  </si>
  <si>
    <t>'CM25106646244</t>
  </si>
  <si>
    <t>CLG20200</t>
  </si>
  <si>
    <t>Alma</t>
  </si>
  <si>
    <t>'CM94288986256</t>
  </si>
  <si>
    <t>HO-087-260728090510</t>
  </si>
  <si>
    <t>'JT59543238033</t>
  </si>
  <si>
    <t>Wintercoat.id store</t>
  </si>
  <si>
    <t>HO-087-260728071251</t>
  </si>
  <si>
    <t>'CM41247525273</t>
  </si>
  <si>
    <t>MXG20200</t>
  </si>
  <si>
    <t>JastipNaila__</t>
  </si>
  <si>
    <t>HO-087-260727194728</t>
  </si>
  <si>
    <t>'CM12760174124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</si>
</sst>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b/>
      <sz val="16"/>
      <color rgb="FF1F3864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3"/>
      <color rgb="FF1F3864"/>
      <name val="Arial"/>
      <charset val="134"/>
    </font>
    <font>
      <b/>
      <sz val="12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7F7F7F"/>
      <name val="Arial"/>
      <charset val="134"/>
    </font>
    <font>
      <b/>
      <sz val="18"/>
      <color rgb="FF1F3864"/>
      <name val="Arial"/>
      <charset val="134"/>
    </font>
    <font>
      <b/>
      <sz val="9"/>
      <color rgb="FFFFFFFF"/>
      <name val="Arial"/>
      <charset val="134"/>
    </font>
    <font>
      <b/>
      <sz val="15"/>
      <color rgb="FF1F386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5597"/>
        <bgColor rgb="FF2E559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22" fontId="0" fillId="0" borderId="0" xfId="0" applyNumberFormat="1"/>
    <xf numFmtId="4" fontId="0" fillId="0" borderId="0" xfId="0" applyNumberFormat="1"/>
    <xf numFmtId="0" fontId="0" fillId="0" borderId="0" xfId="0"/>
    <xf numFmtId="0" fontId="9" fillId="0" borderId="0" xfId="0" applyFont="1"/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horizontal="center" vertical="center"/>
    </xf>
    <xf numFmtId="0" fontId="0" fillId="0" borderId="2" xfId="0" applyBorder="1"/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'Rekap User'!$A$4:$A$11</c:f>
              <c:strCache>
                <c:ptCount val="4"/>
                <c:pt idx="0">
                  <c:v>ZKARNKRW</c:v>
                </c:pt>
                <c:pt idx="1">
                  <c:v>RACHAYU</c:v>
                </c:pt>
                <c:pt idx="2">
                  <c:v>NAFARA</c:v>
                </c:pt>
                <c:pt idx="3">
                  <c:v>FATAPE</c:v>
                </c:pt>
              </c:strCache>
              <c:extLst xmlns:c15="http://schemas.microsoft.com/office/drawing/2012/chart"/>
            </c:strRef>
          </c:cat>
          <c:val>
            <c:numRef>
              <c:f>'Rekap User'!$C$4:$C$11</c:f>
              <c:numCache>
                <c:formatCode>#,##0</c:formatCode>
                <c:ptCount val="8"/>
                <c:pt idx="0">
                  <c:v>3870000</c:v>
                </c:pt>
                <c:pt idx="1">
                  <c:v>4401000</c:v>
                </c:pt>
                <c:pt idx="2">
                  <c:v>2922000</c:v>
                </c:pt>
                <c:pt idx="3">
                  <c:v>8681000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5051952"/>
        <c:axId val="-595052496"/>
      </c:barChart>
      <c:catAx>
        <c:axId val="-595051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52496"/>
        <c:crosses val="autoZero"/>
        <c:auto val="1"/>
        <c:lblAlgn val="ctr"/>
        <c:lblOffset val="100"/>
        <c:noMultiLvlLbl val="0"/>
      </c:catAx>
      <c:valAx>
        <c:axId val="-595052496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5195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580fa7-0390-485e-a3d0-0cc26e8e454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16500</c:v>
                </c:pt>
                <c:pt idx="1">
                  <c:v>112000</c:v>
                </c:pt>
                <c:pt idx="2">
                  <c:v>84000</c:v>
                </c:pt>
                <c:pt idx="3">
                  <c:v>0</c:v>
                </c:pt>
                <c:pt idx="4">
                  <c:v>4834000</c:v>
                </c:pt>
                <c:pt idx="5">
                  <c:v>1596500</c:v>
                </c:pt>
                <c:pt idx="6">
                  <c:v>12705000</c:v>
                </c:pt>
                <c:pt idx="7">
                  <c:v>526000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5057392"/>
        <c:axId val="-595062288"/>
      </c:barChart>
      <c:catAx>
        <c:axId val="-595057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62288"/>
        <c:crosses val="autoZero"/>
        <c:auto val="1"/>
        <c:lblAlgn val="ctr"/>
        <c:lblOffset val="100"/>
        <c:noMultiLvlLbl val="0"/>
      </c:catAx>
      <c:valAx>
        <c:axId val="-59506228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573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e1688a-fb5e-4d3c-a634-69739b0461e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19108000</c:v>
                </c:pt>
                <c:pt idx="1">
                  <c:v>541000</c:v>
                </c:pt>
                <c:pt idx="2">
                  <c:v>12000</c:v>
                </c:pt>
                <c:pt idx="3">
                  <c:v>30000</c:v>
                </c:pt>
                <c:pt idx="4">
                  <c:v>60000</c:v>
                </c:pt>
                <c:pt idx="5">
                  <c:v>111000</c:v>
                </c:pt>
                <c:pt idx="6">
                  <c:v>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5059024"/>
        <c:axId val="-595065552"/>
      </c:barChart>
      <c:catAx>
        <c:axId val="-595059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65552"/>
        <c:crosses val="autoZero"/>
        <c:auto val="1"/>
        <c:lblAlgn val="ctr"/>
        <c:lblOffset val="100"/>
        <c:noMultiLvlLbl val="0"/>
      </c:catAx>
      <c:valAx>
        <c:axId val="-59506555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5902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Toko Sepeda UWO2</c:v>
                </c:pt>
                <c:pt idx="1">
                  <c:v>Faradithya Putri Lakcyta</c:v>
                </c:pt>
                <c:pt idx="2">
                  <c:v>Michael L.</c:v>
                </c:pt>
                <c:pt idx="3">
                  <c:v>Pacificdental_group</c:v>
                </c:pt>
                <c:pt idx="4">
                  <c:v>Maryani Yani/ mitra pompa</c:v>
                </c:pt>
                <c:pt idx="5">
                  <c:v>Dani Hamdani (Yasashi Japan)</c:v>
                </c:pt>
                <c:pt idx="6">
                  <c:v>Lunalita (Lutfiyatul Hanifah)</c:v>
                </c:pt>
                <c:pt idx="7">
                  <c:v>SJM Paper &amp; Sticker</c:v>
                </c:pt>
                <c:pt idx="8">
                  <c:v>Dela Natalia Saputra</c:v>
                </c:pt>
                <c:pt idx="9">
                  <c:v>May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3247000</c:v>
                </c:pt>
                <c:pt idx="1">
                  <c:v>1301000</c:v>
                </c:pt>
                <c:pt idx="2">
                  <c:v>825000</c:v>
                </c:pt>
                <c:pt idx="3">
                  <c:v>613500</c:v>
                </c:pt>
                <c:pt idx="4">
                  <c:v>605000</c:v>
                </c:pt>
                <c:pt idx="5">
                  <c:v>521500</c:v>
                </c:pt>
                <c:pt idx="6">
                  <c:v>521000</c:v>
                </c:pt>
                <c:pt idx="7">
                  <c:v>504000</c:v>
                </c:pt>
                <c:pt idx="8">
                  <c:v>492000</c:v>
                </c:pt>
                <c:pt idx="9">
                  <c:v>464000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5063920"/>
        <c:axId val="-595056848"/>
      </c:barChart>
      <c:catAx>
        <c:axId val="-595063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56848"/>
        <c:crosses val="autoZero"/>
        <c:auto val="1"/>
        <c:lblAlgn val="ctr"/>
        <c:lblOffset val="100"/>
        <c:noMultiLvlLbl val="0"/>
      </c:catAx>
      <c:valAx>
        <c:axId val="-59505684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950639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Faradithya Putri Lakcyta</c:v>
                </c:pt>
                <c:pt idx="1">
                  <c:v>Dani Hamdani (Yasashi Japan)</c:v>
                </c:pt>
                <c:pt idx="2">
                  <c:v>Michael L.</c:v>
                </c:pt>
                <c:pt idx="3">
                  <c:v>Dela Natalia Saputra</c:v>
                </c:pt>
                <c:pt idx="4">
                  <c:v>ratna (gii)</c:v>
                </c:pt>
                <c:pt idx="5">
                  <c:v>Pacificdental_group</c:v>
                </c:pt>
                <c:pt idx="6">
                  <c:v>Maryani Yani/ mitra pompa</c:v>
                </c:pt>
                <c:pt idx="7">
                  <c:v>Lunalita (Lutfiyatul Hanifah)</c:v>
                </c:pt>
                <c:pt idx="8">
                  <c:v>SJM Paper &amp; Sticker</c:v>
                </c:pt>
                <c:pt idx="9">
                  <c:v>Klinik ESHA Skin Center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67</c:v>
                </c:pt>
                <c:pt idx="1">
                  <c:v>34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43264336"/>
        <c:axId val="-543265968"/>
      </c:barChart>
      <c:catAx>
        <c:axId val="-543264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5968"/>
        <c:crosses val="autoZero"/>
        <c:auto val="1"/>
        <c:lblAlgn val="ctr"/>
        <c:lblOffset val="100"/>
        <c:noMultiLvlLbl val="0"/>
      </c:catAx>
      <c:valAx>
        <c:axId val="-54326596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43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'Rekap User'!$A$4:$A$11</c:f>
              <c:strCache>
                <c:ptCount val="4"/>
                <c:pt idx="0">
                  <c:v>ZKARNKRW</c:v>
                </c:pt>
                <c:pt idx="1">
                  <c:v>RACHAYU</c:v>
                </c:pt>
                <c:pt idx="2">
                  <c:v>NAFARA</c:v>
                </c:pt>
                <c:pt idx="3">
                  <c:v>FATAPE</c:v>
                </c:pt>
              </c:strCache>
              <c:extLst xmlns:c15="http://schemas.microsoft.com/office/drawing/2012/chart"/>
            </c:strRef>
          </c:cat>
          <c:val>
            <c:numRef>
              <c:f>'Rekap User'!$C$4:$C$11</c:f>
              <c:numCache>
                <c:formatCode>#,##0</c:formatCode>
                <c:ptCount val="8"/>
                <c:pt idx="0">
                  <c:v>3870000</c:v>
                </c:pt>
                <c:pt idx="1">
                  <c:v>4401000</c:v>
                </c:pt>
                <c:pt idx="2">
                  <c:v>2922000</c:v>
                </c:pt>
                <c:pt idx="3">
                  <c:v>8681000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43264880"/>
        <c:axId val="-543261616"/>
      </c:barChart>
      <c:catAx>
        <c:axId val="-543264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1616"/>
        <c:crosses val="autoZero"/>
        <c:auto val="1"/>
        <c:lblAlgn val="ctr"/>
        <c:lblOffset val="100"/>
        <c:noMultiLvlLbl val="0"/>
      </c:catAx>
      <c:valAx>
        <c:axId val="-54326161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48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e28326-cd77-44b7-a343-e1c4aa46442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16500</c:v>
                </c:pt>
                <c:pt idx="1">
                  <c:v>112000</c:v>
                </c:pt>
                <c:pt idx="2">
                  <c:v>84000</c:v>
                </c:pt>
                <c:pt idx="3">
                  <c:v>0</c:v>
                </c:pt>
                <c:pt idx="4">
                  <c:v>4834000</c:v>
                </c:pt>
                <c:pt idx="5">
                  <c:v>1596500</c:v>
                </c:pt>
                <c:pt idx="6">
                  <c:v>12705000</c:v>
                </c:pt>
                <c:pt idx="7">
                  <c:v>526000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43266512"/>
        <c:axId val="-543265424"/>
      </c:barChart>
      <c:catAx>
        <c:axId val="-543266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5424"/>
        <c:crosses val="autoZero"/>
        <c:auto val="1"/>
        <c:lblAlgn val="ctr"/>
        <c:lblOffset val="100"/>
        <c:noMultiLvlLbl val="0"/>
      </c:catAx>
      <c:valAx>
        <c:axId val="-54326542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65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ad6b34-8e0e-48bb-80ff-121bb9bd549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19108000</c:v>
                </c:pt>
                <c:pt idx="1">
                  <c:v>541000</c:v>
                </c:pt>
                <c:pt idx="2">
                  <c:v>12000</c:v>
                </c:pt>
                <c:pt idx="3">
                  <c:v>30000</c:v>
                </c:pt>
                <c:pt idx="4">
                  <c:v>60000</c:v>
                </c:pt>
                <c:pt idx="5">
                  <c:v>111000</c:v>
                </c:pt>
                <c:pt idx="6">
                  <c:v>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43262704"/>
        <c:axId val="-1066132080"/>
      </c:barChart>
      <c:catAx>
        <c:axId val="-543262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6132080"/>
        <c:crosses val="autoZero"/>
        <c:auto val="1"/>
        <c:lblAlgn val="ctr"/>
        <c:lblOffset val="100"/>
        <c:noMultiLvlLbl val="0"/>
      </c:catAx>
      <c:valAx>
        <c:axId val="-106613208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432627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Toko Sepeda UWO2</c:v>
                </c:pt>
                <c:pt idx="1">
                  <c:v>Faradithya Putri Lakcyta</c:v>
                </c:pt>
                <c:pt idx="2">
                  <c:v>Michael L.</c:v>
                </c:pt>
                <c:pt idx="3">
                  <c:v>Pacificdental_group</c:v>
                </c:pt>
                <c:pt idx="4">
                  <c:v>Maryani Yani/ mitra pompa</c:v>
                </c:pt>
                <c:pt idx="5">
                  <c:v>Dani Hamdani (Yasashi Japan)</c:v>
                </c:pt>
                <c:pt idx="6">
                  <c:v>Lunalita (Lutfiyatul Hanifah)</c:v>
                </c:pt>
                <c:pt idx="7">
                  <c:v>SJM Paper &amp; Sticker</c:v>
                </c:pt>
                <c:pt idx="8">
                  <c:v>Dela Natalia Saputra</c:v>
                </c:pt>
                <c:pt idx="9">
                  <c:v>May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3247000</c:v>
                </c:pt>
                <c:pt idx="1">
                  <c:v>1301000</c:v>
                </c:pt>
                <c:pt idx="2">
                  <c:v>825000</c:v>
                </c:pt>
                <c:pt idx="3">
                  <c:v>613500</c:v>
                </c:pt>
                <c:pt idx="4">
                  <c:v>605000</c:v>
                </c:pt>
                <c:pt idx="5">
                  <c:v>521500</c:v>
                </c:pt>
                <c:pt idx="6">
                  <c:v>521000</c:v>
                </c:pt>
                <c:pt idx="7">
                  <c:v>504000</c:v>
                </c:pt>
                <c:pt idx="8">
                  <c:v>492000</c:v>
                </c:pt>
                <c:pt idx="9">
                  <c:v>464000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34918128"/>
        <c:axId val="-1066311680"/>
      </c:barChart>
      <c:catAx>
        <c:axId val="-1234918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6311680"/>
        <c:crosses val="autoZero"/>
        <c:auto val="1"/>
        <c:lblAlgn val="ctr"/>
        <c:lblOffset val="100"/>
        <c:noMultiLvlLbl val="0"/>
      </c:catAx>
      <c:valAx>
        <c:axId val="-106631168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491812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Faradithya Putri Lakcyta</c:v>
                </c:pt>
                <c:pt idx="1">
                  <c:v>Dani Hamdani (Yasashi Japan)</c:v>
                </c:pt>
                <c:pt idx="2">
                  <c:v>Michael L.</c:v>
                </c:pt>
                <c:pt idx="3">
                  <c:v>Dela Natalia Saputra</c:v>
                </c:pt>
                <c:pt idx="4">
                  <c:v>ratna (gii)</c:v>
                </c:pt>
                <c:pt idx="5">
                  <c:v>Pacificdental_group</c:v>
                </c:pt>
                <c:pt idx="6">
                  <c:v>Maryani Yani/ mitra pompa</c:v>
                </c:pt>
                <c:pt idx="7">
                  <c:v>Lunalita (Lutfiyatul Hanifah)</c:v>
                </c:pt>
                <c:pt idx="8">
                  <c:v>SJM Paper &amp; Sticker</c:v>
                </c:pt>
                <c:pt idx="9">
                  <c:v>Klinik ESHA Skin Center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67</c:v>
                </c:pt>
                <c:pt idx="1">
                  <c:v>34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66313856"/>
        <c:axId val="-1066310048"/>
      </c:barChart>
      <c:catAx>
        <c:axId val="-1066313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6310048"/>
        <c:crosses val="autoZero"/>
        <c:auto val="1"/>
        <c:lblAlgn val="ctr"/>
        <c:lblOffset val="100"/>
        <c:noMultiLvlLbl val="0"/>
      </c:catAx>
      <c:valAx>
        <c:axId val="-106631004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631385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200025</xdr:colOff>
      <xdr:row>11</xdr:row>
      <xdr:rowOff>9525</xdr:rowOff>
    </xdr:from>
    <xdr:ext cx="5759450" cy="287972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190500</xdr:colOff>
      <xdr:row>27</xdr:row>
      <xdr:rowOff>0</xdr:rowOff>
    </xdr:from>
    <xdr:ext cx="6479540" cy="288925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200025</xdr:colOff>
      <xdr:row>43</xdr:row>
      <xdr:rowOff>47625</xdr:rowOff>
    </xdr:from>
    <xdr:ext cx="6479540" cy="2879725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5</xdr:row>
      <xdr:rowOff>0</xdr:rowOff>
    </xdr:from>
    <xdr:ext cx="6480000" cy="28895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6"/>
  <sheetViews>
    <sheetView showGridLines="0" zoomScaleNormal="100" workbookViewId="0">
      <pane ySplit="1" topLeftCell="A2" activePane="bottomLeft" state="frozen"/>
      <selection pane="bottomLeft" activeCell="F10" sqref="F10"/>
    </sheetView>
  </sheetViews>
  <sheetFormatPr defaultColWidth="9" defaultRowHeight="15"/>
  <cols>
    <col min="1" max="1" width="22" customWidth="1"/>
    <col min="2" max="2" width="26" customWidth="1"/>
    <col min="3" max="3" width="20" customWidth="1"/>
    <col min="4" max="4" width="16" customWidth="1"/>
    <col min="5" max="5" width="12" customWidth="1"/>
    <col min="6" max="6" width="15" customWidth="1"/>
    <col min="7" max="8" width="12" customWidth="1"/>
    <col min="9" max="9" width="13" customWidth="1"/>
    <col min="10" max="10" width="12" customWidth="1"/>
    <col min="11" max="11" width="13" customWidth="1"/>
    <col min="12" max="12" width="7" customWidth="1"/>
    <col min="13" max="13" width="9" customWidth="1"/>
    <col min="14" max="14" width="10" customWidth="1"/>
    <col min="15" max="15" width="9" customWidth="1"/>
    <col min="16" max="16" width="14" customWidth="1"/>
    <col min="17" max="17" width="16" customWidth="1"/>
    <col min="18" max="18" width="22" customWidth="1"/>
    <col min="19" max="19" width="12" customWidth="1"/>
    <col min="20" max="20" width="11" customWidth="1"/>
    <col min="21" max="21" width="12" customWidth="1"/>
    <col min="22" max="22" width="15" customWidth="1"/>
    <col min="23" max="23" width="16" customWidth="1"/>
    <col min="24" max="24" width="20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5" t="s">
        <v>79</v>
      </c>
      <c r="B2" s="15" t="s">
        <v>80</v>
      </c>
      <c r="C2" s="15" t="s">
        <v>1552</v>
      </c>
      <c r="D2" s="13">
        <v>46234.856944444444</v>
      </c>
      <c r="E2" s="15" t="s">
        <v>73</v>
      </c>
      <c r="F2" s="15" t="s">
        <v>1553</v>
      </c>
      <c r="G2" s="15" t="s">
        <v>74</v>
      </c>
      <c r="H2" s="15" t="s">
        <v>75</v>
      </c>
      <c r="I2" s="14">
        <v>12000</v>
      </c>
      <c r="J2" s="15" t="s">
        <v>136</v>
      </c>
      <c r="K2" s="15" t="s">
        <v>24</v>
      </c>
      <c r="L2" s="15">
        <v>1</v>
      </c>
      <c r="M2" s="15">
        <v>0.1</v>
      </c>
      <c r="N2" s="15" t="s">
        <v>76</v>
      </c>
      <c r="O2" s="15" t="s">
        <v>76</v>
      </c>
      <c r="P2" s="14">
        <v>21500</v>
      </c>
      <c r="Q2" s="13">
        <v>46234.857638888891</v>
      </c>
      <c r="R2" s="15" t="s">
        <v>471</v>
      </c>
      <c r="S2" s="11" t="str">
        <f t="shared" ref="S2:S65" si="0">IF(Q2="","",TEXT(Q2,"yyyy-mm-dd"))</f>
        <v>2026-07-31</v>
      </c>
      <c r="T2" s="11">
        <f>IF($E2="","",IF(COUNTIF($E$2:$E2,$E2)=1,1,0))</f>
        <v>1</v>
      </c>
      <c r="U2" s="11">
        <f>IF(T2=1,SUM($T$2:T2),"")</f>
        <v>1</v>
      </c>
      <c r="V2" s="11">
        <f>IF(OR($R2="",$R2="-"),"",IF(COUNTIF($R$2:$R2,$R2)=1,1,0))</f>
        <v>1</v>
      </c>
      <c r="W2" s="11">
        <f>IF(V2=1,SUM($V$2:V2),"")</f>
        <v>1</v>
      </c>
      <c r="X2" s="11" t="str">
        <f t="shared" ref="X2:X65" si="1">IF(ISNUMBER(SEARCH("SHOPEE",B2)),"SHOPEE",IF(ISNUMBER(SEARCH("TOKOPEDIA",B2)),"TOKOPEDIA",IF(ISNUMBER(SEARCH("LASTANA",B2)),"LASTANA EXPRESS",IF(ISNUMBER(SEARCH("FASHION MARKETPLACE",B2)),"FASHION MARKETPLACE",IF(ISNUMBER(SEARCH("GLOBAL DIGITAL NIAGA",B2)),"GLOBAL DIGITAL NIAGA",IF(ISNUMBER(SEARCH("TOKGISTIC",B2)),"TOKGISTIC",IF(ISNUMBER(SEARCH("TOCO RAMAI",B2)),"TOCO RAMAI DIGITAL",B2)))))))</f>
        <v>SHOPEE</v>
      </c>
    </row>
    <row r="3" spans="1:24">
      <c r="A3" s="15" t="s">
        <v>79</v>
      </c>
      <c r="B3" s="15" t="s">
        <v>83</v>
      </c>
      <c r="C3" s="15" t="s">
        <v>1554</v>
      </c>
      <c r="D3" s="13">
        <v>46234.787499999999</v>
      </c>
      <c r="E3" s="15" t="s">
        <v>111</v>
      </c>
      <c r="F3" s="15" t="s">
        <v>1555</v>
      </c>
      <c r="G3" s="15" t="s">
        <v>74</v>
      </c>
      <c r="H3" s="15" t="s">
        <v>75</v>
      </c>
      <c r="I3" s="14">
        <v>12000</v>
      </c>
      <c r="J3" s="15" t="s">
        <v>1556</v>
      </c>
      <c r="K3" s="15" t="s">
        <v>24</v>
      </c>
      <c r="L3" s="15">
        <v>3</v>
      </c>
      <c r="M3" s="15">
        <v>0.3</v>
      </c>
      <c r="N3" s="15" t="s">
        <v>76</v>
      </c>
      <c r="O3" s="15" t="s">
        <v>76</v>
      </c>
      <c r="P3" s="14">
        <v>41460</v>
      </c>
      <c r="Q3" s="13">
        <v>46234.787499999999</v>
      </c>
      <c r="R3" s="15" t="s">
        <v>118</v>
      </c>
      <c r="S3" s="11" t="str">
        <f t="shared" si="0"/>
        <v>2026-07-31</v>
      </c>
      <c r="T3" s="11">
        <f>IF($E3="","",IF(COUNTIF($E$2:$E3,$E3)=1,1,0))</f>
        <v>1</v>
      </c>
      <c r="U3" s="11">
        <f>IF(T3=1,SUM($T$2:T3),"")</f>
        <v>2</v>
      </c>
      <c r="V3" s="11">
        <f>IF(OR($R3="",$R3="-"),"",IF(COUNTIF($R$2:$R3,$R3)=1,1,0))</f>
        <v>1</v>
      </c>
      <c r="W3" s="11">
        <f>IF(V3=1,SUM($V$2:V3),"")</f>
        <v>2</v>
      </c>
      <c r="X3" s="11" t="str">
        <f t="shared" si="1"/>
        <v>SHOPEE</v>
      </c>
    </row>
    <row r="4" spans="1:24">
      <c r="A4" s="15" t="s">
        <v>79</v>
      </c>
      <c r="B4" s="15" t="s">
        <v>83</v>
      </c>
      <c r="C4" s="15" t="s">
        <v>1557</v>
      </c>
      <c r="D4" s="13">
        <v>46234.743055555555</v>
      </c>
      <c r="E4" s="15" t="s">
        <v>73</v>
      </c>
      <c r="F4" s="15" t="s">
        <v>1558</v>
      </c>
      <c r="G4" s="15" t="s">
        <v>74</v>
      </c>
      <c r="H4" s="15" t="s">
        <v>75</v>
      </c>
      <c r="I4" s="14">
        <v>6000</v>
      </c>
      <c r="J4" s="15" t="s">
        <v>777</v>
      </c>
      <c r="K4" s="15" t="s">
        <v>27</v>
      </c>
      <c r="L4" s="15">
        <v>1</v>
      </c>
      <c r="M4" s="15">
        <v>0.17</v>
      </c>
      <c r="N4" s="15" t="s">
        <v>76</v>
      </c>
      <c r="O4" s="15" t="s">
        <v>76</v>
      </c>
      <c r="P4" s="15">
        <v>99</v>
      </c>
      <c r="Q4" s="13">
        <v>46234.743055555555</v>
      </c>
      <c r="R4" s="15" t="s">
        <v>978</v>
      </c>
      <c r="S4" s="11" t="str">
        <f t="shared" si="0"/>
        <v>2026-07-31</v>
      </c>
      <c r="T4" s="11">
        <f>IF($E4="","",IF(COUNTIF($E$2:$E4,$E4)=1,1,0))</f>
        <v>0</v>
      </c>
      <c r="U4" s="11" t="str">
        <f>IF(T4=1,SUM($T$2:T4),"")</f>
        <v/>
      </c>
      <c r="V4" s="11">
        <f>IF(OR($R4="",$R4="-"),"",IF(COUNTIF($R$2:$R4,$R4)=1,1,0))</f>
        <v>1</v>
      </c>
      <c r="W4" s="11">
        <f>IF(V4=1,SUM($V$2:V4),"")</f>
        <v>3</v>
      </c>
      <c r="X4" s="11" t="str">
        <f t="shared" si="1"/>
        <v>SHOPEE</v>
      </c>
    </row>
    <row r="5" spans="1:24">
      <c r="A5" s="15" t="s">
        <v>79</v>
      </c>
      <c r="B5" s="15" t="s">
        <v>83</v>
      </c>
      <c r="C5" s="15" t="s">
        <v>1557</v>
      </c>
      <c r="D5" s="13">
        <v>46234.743055555555</v>
      </c>
      <c r="E5" s="15" t="s">
        <v>73</v>
      </c>
      <c r="F5" s="15" t="s">
        <v>1559</v>
      </c>
      <c r="G5" s="15" t="s">
        <v>74</v>
      </c>
      <c r="H5" s="15" t="s">
        <v>75</v>
      </c>
      <c r="I5" s="14">
        <v>6000</v>
      </c>
      <c r="J5" s="15" t="s">
        <v>1560</v>
      </c>
      <c r="K5" s="15" t="s">
        <v>27</v>
      </c>
      <c r="L5" s="15">
        <v>1</v>
      </c>
      <c r="M5" s="15">
        <v>0.17</v>
      </c>
      <c r="N5" s="15" t="s">
        <v>76</v>
      </c>
      <c r="O5" s="15" t="s">
        <v>76</v>
      </c>
      <c r="P5" s="15">
        <v>99</v>
      </c>
      <c r="Q5" s="13">
        <v>46234.743055555555</v>
      </c>
      <c r="R5" s="15" t="s">
        <v>978</v>
      </c>
      <c r="S5" s="11" t="str">
        <f t="shared" si="0"/>
        <v>2026-07-31</v>
      </c>
      <c r="T5" s="11">
        <f>IF($E5="","",IF(COUNTIF($E$2:$E5,$E5)=1,1,0))</f>
        <v>0</v>
      </c>
      <c r="U5" s="11" t="str">
        <f>IF(T5=1,SUM($T$2:T5),"")</f>
        <v/>
      </c>
      <c r="V5" s="11">
        <f>IF(OR($R5="",$R5="-"),"",IF(COUNTIF($R$2:$R5,$R5)=1,1,0))</f>
        <v>0</v>
      </c>
      <c r="W5" s="11" t="str">
        <f>IF(V5=1,SUM($V$2:V5),"")</f>
        <v/>
      </c>
      <c r="X5" s="11" t="str">
        <f t="shared" si="1"/>
        <v>SHOPEE</v>
      </c>
    </row>
    <row r="6" spans="1:24">
      <c r="A6" s="15" t="s">
        <v>79</v>
      </c>
      <c r="B6" s="15" t="s">
        <v>83</v>
      </c>
      <c r="C6" s="15" t="s">
        <v>1561</v>
      </c>
      <c r="D6" s="13">
        <v>46234.734027777777</v>
      </c>
      <c r="E6" s="15" t="s">
        <v>73</v>
      </c>
      <c r="F6" s="15" t="s">
        <v>1562</v>
      </c>
      <c r="G6" s="15" t="s">
        <v>74</v>
      </c>
      <c r="H6" s="15" t="s">
        <v>75</v>
      </c>
      <c r="I6" s="14">
        <v>29000</v>
      </c>
      <c r="J6" s="15" t="s">
        <v>1563</v>
      </c>
      <c r="K6" s="15" t="s">
        <v>24</v>
      </c>
      <c r="L6" s="15">
        <v>2</v>
      </c>
      <c r="M6" s="15">
        <v>0.39</v>
      </c>
      <c r="N6" s="15" t="s">
        <v>76</v>
      </c>
      <c r="O6" s="15" t="s">
        <v>76</v>
      </c>
      <c r="P6" s="14">
        <v>258110</v>
      </c>
      <c r="Q6" s="13">
        <v>46234.734027777777</v>
      </c>
      <c r="R6" s="15" t="s">
        <v>1564</v>
      </c>
      <c r="S6" s="11" t="str">
        <f t="shared" si="0"/>
        <v>2026-07-31</v>
      </c>
      <c r="T6" s="11">
        <f>IF($E6="","",IF(COUNTIF($E$2:$E6,$E6)=1,1,0))</f>
        <v>0</v>
      </c>
      <c r="U6" s="11" t="str">
        <f>IF(T6=1,SUM($T$2:T6),"")</f>
        <v/>
      </c>
      <c r="V6" s="11">
        <f>IF(OR($R6="",$R6="-"),"",IF(COUNTIF($R$2:$R6,$R6)=1,1,0))</f>
        <v>1</v>
      </c>
      <c r="W6" s="11">
        <f>IF(V6=1,SUM($V$2:V6),"")</f>
        <v>4</v>
      </c>
      <c r="X6" s="11" t="str">
        <f t="shared" si="1"/>
        <v>SHOPEE</v>
      </c>
    </row>
    <row r="7" spans="1:24">
      <c r="A7" s="15" t="s">
        <v>79</v>
      </c>
      <c r="B7" s="15" t="s">
        <v>83</v>
      </c>
      <c r="C7" s="15" t="s">
        <v>1565</v>
      </c>
      <c r="D7" s="13">
        <v>46234.708333333336</v>
      </c>
      <c r="E7" s="15" t="s">
        <v>111</v>
      </c>
      <c r="F7" s="15" t="s">
        <v>1566</v>
      </c>
      <c r="G7" s="15" t="s">
        <v>74</v>
      </c>
      <c r="H7" s="15" t="s">
        <v>75</v>
      </c>
      <c r="I7" s="14">
        <v>12000</v>
      </c>
      <c r="J7" s="15" t="s">
        <v>318</v>
      </c>
      <c r="K7" s="15" t="s">
        <v>24</v>
      </c>
      <c r="L7" s="15">
        <v>1</v>
      </c>
      <c r="M7" s="15">
        <v>0.3</v>
      </c>
      <c r="N7" s="15" t="s">
        <v>76</v>
      </c>
      <c r="O7" s="15" t="s">
        <v>76</v>
      </c>
      <c r="P7" s="14">
        <v>27000</v>
      </c>
      <c r="Q7" s="13">
        <v>46234.708333333336</v>
      </c>
      <c r="R7" s="15" t="s">
        <v>91</v>
      </c>
      <c r="S7" s="11" t="str">
        <f t="shared" si="0"/>
        <v>2026-07-31</v>
      </c>
      <c r="T7" s="11">
        <f>IF($E7="","",IF(COUNTIF($E$2:$E7,$E7)=1,1,0))</f>
        <v>0</v>
      </c>
      <c r="U7" s="11" t="str">
        <f>IF(T7=1,SUM($T$2:T7),"")</f>
        <v/>
      </c>
      <c r="V7" s="11">
        <f>IF(OR($R7="",$R7="-"),"",IF(COUNTIF($R$2:$R7,$R7)=1,1,0))</f>
        <v>1</v>
      </c>
      <c r="W7" s="11">
        <f>IF(V7=1,SUM($V$2:V7),"")</f>
        <v>5</v>
      </c>
      <c r="X7" s="11" t="str">
        <f t="shared" si="1"/>
        <v>SHOPEE</v>
      </c>
    </row>
    <row r="8" spans="1:24">
      <c r="A8" s="15" t="s">
        <v>79</v>
      </c>
      <c r="B8" s="15" t="s">
        <v>83</v>
      </c>
      <c r="C8" s="15" t="s">
        <v>1565</v>
      </c>
      <c r="D8" s="13">
        <v>46234.708333333336</v>
      </c>
      <c r="E8" s="15" t="s">
        <v>111</v>
      </c>
      <c r="F8" s="15" t="s">
        <v>1567</v>
      </c>
      <c r="G8" s="15" t="s">
        <v>74</v>
      </c>
      <c r="H8" s="15" t="s">
        <v>75</v>
      </c>
      <c r="I8" s="14">
        <v>48000</v>
      </c>
      <c r="J8" s="15" t="s">
        <v>112</v>
      </c>
      <c r="K8" s="15" t="s">
        <v>24</v>
      </c>
      <c r="L8" s="15">
        <v>5</v>
      </c>
      <c r="M8" s="15">
        <v>3.6</v>
      </c>
      <c r="N8" s="15" t="s">
        <v>76</v>
      </c>
      <c r="O8" s="15" t="s">
        <v>76</v>
      </c>
      <c r="P8" s="14">
        <v>570000</v>
      </c>
      <c r="Q8" s="13">
        <v>46234.708333333336</v>
      </c>
      <c r="R8" s="15" t="s">
        <v>109</v>
      </c>
      <c r="S8" s="11" t="str">
        <f t="shared" si="0"/>
        <v>2026-07-31</v>
      </c>
      <c r="T8" s="11">
        <f>IF($E8="","",IF(COUNTIF($E$2:$E8,$E8)=1,1,0))</f>
        <v>0</v>
      </c>
      <c r="U8" s="11" t="str">
        <f>IF(T8=1,SUM($T$2:T8),"")</f>
        <v/>
      </c>
      <c r="V8" s="11">
        <f>IF(OR($R8="",$R8="-"),"",IF(COUNTIF($R$2:$R8,$R8)=1,1,0))</f>
        <v>1</v>
      </c>
      <c r="W8" s="11">
        <f>IF(V8=1,SUM($V$2:V8),"")</f>
        <v>6</v>
      </c>
      <c r="X8" s="11" t="str">
        <f t="shared" si="1"/>
        <v>SHOPEE</v>
      </c>
    </row>
    <row r="9" spans="1:24">
      <c r="A9" s="15" t="s">
        <v>1568</v>
      </c>
      <c r="B9" s="15" t="s">
        <v>250</v>
      </c>
      <c r="C9" s="15" t="s">
        <v>1565</v>
      </c>
      <c r="D9" s="13">
        <v>46234.708333333336</v>
      </c>
      <c r="E9" s="15" t="s">
        <v>111</v>
      </c>
      <c r="F9" s="15" t="s">
        <v>1569</v>
      </c>
      <c r="G9" s="15" t="s">
        <v>74</v>
      </c>
      <c r="H9" s="15" t="s">
        <v>75</v>
      </c>
      <c r="I9" s="14">
        <v>12000</v>
      </c>
      <c r="J9" s="15" t="s">
        <v>1570</v>
      </c>
      <c r="K9" s="15" t="s">
        <v>24</v>
      </c>
      <c r="L9" s="15">
        <v>1</v>
      </c>
      <c r="M9" s="15">
        <v>0.34</v>
      </c>
      <c r="N9" s="15" t="s">
        <v>76</v>
      </c>
      <c r="O9" s="15" t="s">
        <v>76</v>
      </c>
      <c r="P9" s="14">
        <v>228000</v>
      </c>
      <c r="Q9" s="13">
        <v>46234.708333333336</v>
      </c>
      <c r="R9" s="15" t="s">
        <v>1571</v>
      </c>
      <c r="S9" s="11" t="str">
        <f t="shared" si="0"/>
        <v>2026-07-31</v>
      </c>
      <c r="T9" s="11">
        <f>IF($E9="","",IF(COUNTIF($E$2:$E9,$E9)=1,1,0))</f>
        <v>0</v>
      </c>
      <c r="U9" s="11" t="str">
        <f>IF(T9=1,SUM($T$2:T9),"")</f>
        <v/>
      </c>
      <c r="V9" s="11">
        <f>IF(OR($R9="",$R9="-"),"",IF(COUNTIF($R$2:$R9,$R9)=1,1,0))</f>
        <v>1</v>
      </c>
      <c r="W9" s="11">
        <f>IF(V9=1,SUM($V$2:V9),"")</f>
        <v>7</v>
      </c>
      <c r="X9" s="11" t="str">
        <f t="shared" si="1"/>
        <v>TOKOPEDIA</v>
      </c>
    </row>
    <row r="10" spans="1:24">
      <c r="A10" s="15" t="s">
        <v>79</v>
      </c>
      <c r="B10" s="15" t="s">
        <v>83</v>
      </c>
      <c r="C10" s="15" t="s">
        <v>1565</v>
      </c>
      <c r="D10" s="13">
        <v>46234.708333333336</v>
      </c>
      <c r="E10" s="15" t="s">
        <v>111</v>
      </c>
      <c r="F10" s="15" t="s">
        <v>1572</v>
      </c>
      <c r="G10" s="15" t="s">
        <v>74</v>
      </c>
      <c r="H10" s="15" t="s">
        <v>75</v>
      </c>
      <c r="I10" s="14">
        <v>12000</v>
      </c>
      <c r="J10" s="15" t="s">
        <v>1573</v>
      </c>
      <c r="K10" s="15" t="s">
        <v>24</v>
      </c>
      <c r="L10" s="15">
        <v>1</v>
      </c>
      <c r="M10" s="15">
        <v>0.72</v>
      </c>
      <c r="N10" s="15" t="s">
        <v>76</v>
      </c>
      <c r="O10" s="15" t="s">
        <v>76</v>
      </c>
      <c r="P10" s="14">
        <v>114000</v>
      </c>
      <c r="Q10" s="13">
        <v>46234.708333333336</v>
      </c>
      <c r="R10" s="15" t="s">
        <v>109</v>
      </c>
      <c r="S10" s="11" t="str">
        <f t="shared" si="0"/>
        <v>2026-07-31</v>
      </c>
      <c r="T10" s="11">
        <f>IF($E10="","",IF(COUNTIF($E$2:$E10,$E10)=1,1,0))</f>
        <v>0</v>
      </c>
      <c r="U10" s="11" t="str">
        <f>IF(T10=1,SUM($T$2:T10),"")</f>
        <v/>
      </c>
      <c r="V10" s="11">
        <f>IF(OR($R10="",$R10="-"),"",IF(COUNTIF($R$2:$R10,$R10)=1,1,0))</f>
        <v>0</v>
      </c>
      <c r="W10" s="11" t="str">
        <f>IF(V10=1,SUM($V$2:V10),"")</f>
        <v/>
      </c>
      <c r="X10" s="11" t="str">
        <f t="shared" si="1"/>
        <v>SHOPEE</v>
      </c>
    </row>
    <row r="11" spans="1:24">
      <c r="A11" s="15" t="s">
        <v>79</v>
      </c>
      <c r="B11" s="15" t="s">
        <v>83</v>
      </c>
      <c r="C11" s="15" t="s">
        <v>1565</v>
      </c>
      <c r="D11" s="13">
        <v>46234.708333333336</v>
      </c>
      <c r="E11" s="15" t="s">
        <v>111</v>
      </c>
      <c r="F11" s="15" t="s">
        <v>1574</v>
      </c>
      <c r="G11" s="15" t="s">
        <v>74</v>
      </c>
      <c r="H11" s="15" t="s">
        <v>75</v>
      </c>
      <c r="I11" s="14">
        <v>68000</v>
      </c>
      <c r="J11" s="15" t="s">
        <v>328</v>
      </c>
      <c r="K11" s="15" t="s">
        <v>24</v>
      </c>
      <c r="L11" s="15">
        <v>20</v>
      </c>
      <c r="M11" s="15">
        <v>1.6</v>
      </c>
      <c r="N11" s="15" t="s">
        <v>76</v>
      </c>
      <c r="O11" s="15" t="s">
        <v>76</v>
      </c>
      <c r="P11" s="14">
        <v>734000</v>
      </c>
      <c r="Q11" s="13">
        <v>46234.708333333336</v>
      </c>
      <c r="R11" s="15" t="s">
        <v>109</v>
      </c>
      <c r="S11" s="11" t="str">
        <f t="shared" si="0"/>
        <v>2026-07-31</v>
      </c>
      <c r="T11" s="11">
        <f>IF($E11="","",IF(COUNTIF($E$2:$E11,$E11)=1,1,0))</f>
        <v>0</v>
      </c>
      <c r="U11" s="11" t="str">
        <f>IF(T11=1,SUM($T$2:T11),"")</f>
        <v/>
      </c>
      <c r="V11" s="11">
        <f>IF(OR($R11="",$R11="-"),"",IF(COUNTIF($R$2:$R11,$R11)=1,1,0))</f>
        <v>0</v>
      </c>
      <c r="W11" s="11" t="str">
        <f>IF(V11=1,SUM($V$2:V11),"")</f>
        <v/>
      </c>
      <c r="X11" s="11" t="str">
        <f t="shared" si="1"/>
        <v>SHOPEE</v>
      </c>
    </row>
    <row r="12" spans="1:24">
      <c r="A12" s="15" t="s">
        <v>79</v>
      </c>
      <c r="B12" s="15" t="s">
        <v>83</v>
      </c>
      <c r="C12" s="15" t="s">
        <v>1565</v>
      </c>
      <c r="D12" s="13">
        <v>46234.708333333336</v>
      </c>
      <c r="E12" s="15" t="s">
        <v>111</v>
      </c>
      <c r="F12" s="15" t="s">
        <v>1575</v>
      </c>
      <c r="G12" s="15" t="s">
        <v>74</v>
      </c>
      <c r="H12" s="15" t="s">
        <v>75</v>
      </c>
      <c r="I12" s="14">
        <v>18000</v>
      </c>
      <c r="J12" s="15" t="s">
        <v>1573</v>
      </c>
      <c r="K12" s="15" t="s">
        <v>25</v>
      </c>
      <c r="L12" s="15">
        <v>1</v>
      </c>
      <c r="M12" s="15">
        <v>0.13</v>
      </c>
      <c r="N12" s="15" t="s">
        <v>76</v>
      </c>
      <c r="O12" s="15" t="s">
        <v>76</v>
      </c>
      <c r="P12" s="14">
        <v>23620</v>
      </c>
      <c r="Q12" s="13">
        <v>46234.708333333336</v>
      </c>
      <c r="R12" s="15" t="s">
        <v>90</v>
      </c>
      <c r="S12" s="11" t="str">
        <f t="shared" si="0"/>
        <v>2026-07-31</v>
      </c>
      <c r="T12" s="11">
        <f>IF($E12="","",IF(COUNTIF($E$2:$E12,$E12)=1,1,0))</f>
        <v>0</v>
      </c>
      <c r="U12" s="11" t="str">
        <f>IF(T12=1,SUM($T$2:T12),"")</f>
        <v/>
      </c>
      <c r="V12" s="11">
        <f>IF(OR($R12="",$R12="-"),"",IF(COUNTIF($R$2:$R12,$R12)=1,1,0))</f>
        <v>1</v>
      </c>
      <c r="W12" s="11">
        <f>IF(V12=1,SUM($V$2:V12),"")</f>
        <v>8</v>
      </c>
      <c r="X12" s="11" t="str">
        <f t="shared" si="1"/>
        <v>SHOPEE</v>
      </c>
    </row>
    <row r="13" spans="1:24">
      <c r="A13" s="15" t="s">
        <v>79</v>
      </c>
      <c r="B13" s="15" t="s">
        <v>83</v>
      </c>
      <c r="C13" s="15" t="s">
        <v>1565</v>
      </c>
      <c r="D13" s="13">
        <v>46234.708333333336</v>
      </c>
      <c r="E13" s="15" t="s">
        <v>111</v>
      </c>
      <c r="F13" s="15" t="s">
        <v>1576</v>
      </c>
      <c r="G13" s="15" t="s">
        <v>74</v>
      </c>
      <c r="H13" s="15" t="s">
        <v>75</v>
      </c>
      <c r="I13" s="14">
        <v>18000</v>
      </c>
      <c r="J13" s="15" t="s">
        <v>1577</v>
      </c>
      <c r="K13" s="15" t="s">
        <v>25</v>
      </c>
      <c r="L13" s="15">
        <v>1</v>
      </c>
      <c r="M13" s="15">
        <v>0.13</v>
      </c>
      <c r="N13" s="15" t="s">
        <v>76</v>
      </c>
      <c r="O13" s="15" t="s">
        <v>76</v>
      </c>
      <c r="P13" s="14">
        <v>24000</v>
      </c>
      <c r="Q13" s="13">
        <v>46234.708333333336</v>
      </c>
      <c r="R13" s="15" t="s">
        <v>90</v>
      </c>
      <c r="S13" s="11" t="str">
        <f t="shared" si="0"/>
        <v>2026-07-31</v>
      </c>
      <c r="T13" s="11">
        <f>IF($E13="","",IF(COUNTIF($E$2:$E13,$E13)=1,1,0))</f>
        <v>0</v>
      </c>
      <c r="U13" s="11" t="str">
        <f>IF(T13=1,SUM($T$2:T13),"")</f>
        <v/>
      </c>
      <c r="V13" s="11">
        <f>IF(OR($R13="",$R13="-"),"",IF(COUNTIF($R$2:$R13,$R13)=1,1,0))</f>
        <v>0</v>
      </c>
      <c r="W13" s="11" t="str">
        <f>IF(V13=1,SUM($V$2:V13),"")</f>
        <v/>
      </c>
      <c r="X13" s="11" t="str">
        <f t="shared" si="1"/>
        <v>SHOPEE</v>
      </c>
    </row>
    <row r="14" spans="1:24">
      <c r="A14" s="15" t="s">
        <v>79</v>
      </c>
      <c r="B14" s="15" t="s">
        <v>83</v>
      </c>
      <c r="C14" s="15" t="s">
        <v>1565</v>
      </c>
      <c r="D14" s="13">
        <v>46234.708333333336</v>
      </c>
      <c r="E14" s="15" t="s">
        <v>111</v>
      </c>
      <c r="F14" s="15" t="s">
        <v>1578</v>
      </c>
      <c r="G14" s="15" t="s">
        <v>74</v>
      </c>
      <c r="H14" s="15" t="s">
        <v>75</v>
      </c>
      <c r="I14" s="14">
        <v>14000</v>
      </c>
      <c r="J14" s="15" t="s">
        <v>550</v>
      </c>
      <c r="K14" s="15" t="s">
        <v>24</v>
      </c>
      <c r="L14" s="15">
        <v>1</v>
      </c>
      <c r="M14" s="15">
        <v>0.2</v>
      </c>
      <c r="N14" s="15" t="s">
        <v>76</v>
      </c>
      <c r="O14" s="15" t="s">
        <v>76</v>
      </c>
      <c r="P14" s="14">
        <v>60000</v>
      </c>
      <c r="Q14" s="13">
        <v>46234.708333333336</v>
      </c>
      <c r="R14" s="15" t="s">
        <v>91</v>
      </c>
      <c r="S14" s="11" t="str">
        <f t="shared" si="0"/>
        <v>2026-07-31</v>
      </c>
      <c r="T14" s="11">
        <f>IF($E14="","",IF(COUNTIF($E$2:$E14,$E14)=1,1,0))</f>
        <v>0</v>
      </c>
      <c r="U14" s="11" t="str">
        <f>IF(T14=1,SUM($T$2:T14),"")</f>
        <v/>
      </c>
      <c r="V14" s="11">
        <f>IF(OR($R14="",$R14="-"),"",IF(COUNTIF($R$2:$R14,$R14)=1,1,0))</f>
        <v>0</v>
      </c>
      <c r="W14" s="11" t="str">
        <f>IF(V14=1,SUM($V$2:V14),"")</f>
        <v/>
      </c>
      <c r="X14" s="11" t="str">
        <f t="shared" si="1"/>
        <v>SHOPEE</v>
      </c>
    </row>
    <row r="15" spans="1:24">
      <c r="A15" s="15" t="s">
        <v>110</v>
      </c>
      <c r="B15" s="15" t="s">
        <v>114</v>
      </c>
      <c r="C15" s="15" t="s">
        <v>1579</v>
      </c>
      <c r="D15" s="13">
        <v>46234.688194444447</v>
      </c>
      <c r="E15" s="15" t="s">
        <v>73</v>
      </c>
      <c r="F15" s="15" t="s">
        <v>1580</v>
      </c>
      <c r="G15" s="15" t="s">
        <v>74</v>
      </c>
      <c r="H15" s="15" t="s">
        <v>75</v>
      </c>
      <c r="I15" s="14">
        <v>10000</v>
      </c>
      <c r="J15" s="15" t="s">
        <v>115</v>
      </c>
      <c r="K15" s="15" t="s">
        <v>24</v>
      </c>
      <c r="L15" s="15">
        <v>1</v>
      </c>
      <c r="M15" s="15">
        <v>1</v>
      </c>
      <c r="N15" s="15" t="s">
        <v>76</v>
      </c>
      <c r="O15" s="15" t="s">
        <v>76</v>
      </c>
      <c r="P15" s="14">
        <v>300300</v>
      </c>
      <c r="Q15" s="13">
        <v>46234.688194444447</v>
      </c>
      <c r="R15" s="15" t="s">
        <v>1581</v>
      </c>
      <c r="S15" s="11" t="str">
        <f t="shared" si="0"/>
        <v>2026-07-31</v>
      </c>
      <c r="T15" s="11">
        <f>IF($E15="","",IF(COUNTIF($E$2:$E15,$E15)=1,1,0))</f>
        <v>0</v>
      </c>
      <c r="U15" s="11" t="str">
        <f>IF(T15=1,SUM($T$2:T15),"")</f>
        <v/>
      </c>
      <c r="V15" s="11">
        <f>IF(OR($R15="",$R15="-"),"",IF(COUNTIF($R$2:$R15,$R15)=1,1,0))</f>
        <v>1</v>
      </c>
      <c r="W15" s="11">
        <f>IF(V15=1,SUM($V$2:V15),"")</f>
        <v>9</v>
      </c>
      <c r="X15" s="11" t="str">
        <f t="shared" si="1"/>
        <v>FASHION MARKETPLACE</v>
      </c>
    </row>
    <row r="16" spans="1:24">
      <c r="A16" s="15" t="s">
        <v>79</v>
      </c>
      <c r="B16" s="15" t="s">
        <v>83</v>
      </c>
      <c r="C16" s="15" t="s">
        <v>1582</v>
      </c>
      <c r="D16" s="13">
        <v>46234.658333333333</v>
      </c>
      <c r="E16" s="15" t="s">
        <v>111</v>
      </c>
      <c r="F16" s="15" t="s">
        <v>1583</v>
      </c>
      <c r="G16" s="15" t="s">
        <v>74</v>
      </c>
      <c r="H16" s="15" t="s">
        <v>75</v>
      </c>
      <c r="I16" s="14">
        <v>58000</v>
      </c>
      <c r="J16" s="15" t="s">
        <v>1584</v>
      </c>
      <c r="K16" s="15" t="s">
        <v>24</v>
      </c>
      <c r="L16" s="15">
        <v>1</v>
      </c>
      <c r="M16" s="15">
        <v>0.73</v>
      </c>
      <c r="N16" s="15" t="s">
        <v>76</v>
      </c>
      <c r="O16" s="15" t="s">
        <v>76</v>
      </c>
      <c r="P16" s="14">
        <v>256500</v>
      </c>
      <c r="Q16" s="13">
        <v>46234.658333333333</v>
      </c>
      <c r="R16" s="15" t="s">
        <v>1585</v>
      </c>
      <c r="S16" s="11" t="str">
        <f t="shared" si="0"/>
        <v>2026-07-31</v>
      </c>
      <c r="T16" s="11">
        <f>IF($E16="","",IF(COUNTIF($E$2:$E16,$E16)=1,1,0))</f>
        <v>0</v>
      </c>
      <c r="U16" s="11" t="str">
        <f>IF(T16=1,SUM($T$2:T16),"")</f>
        <v/>
      </c>
      <c r="V16" s="11">
        <f>IF(OR($R16="",$R16="-"),"",IF(COUNTIF($R$2:$R16,$R16)=1,1,0))</f>
        <v>1</v>
      </c>
      <c r="W16" s="11">
        <f>IF(V16=1,SUM($V$2:V16),"")</f>
        <v>10</v>
      </c>
      <c r="X16" s="11" t="str">
        <f t="shared" si="1"/>
        <v>SHOPEE</v>
      </c>
    </row>
    <row r="17" spans="1:24">
      <c r="A17" s="15" t="s">
        <v>79</v>
      </c>
      <c r="B17" s="15" t="s">
        <v>83</v>
      </c>
      <c r="C17" s="15" t="s">
        <v>1586</v>
      </c>
      <c r="D17" s="13">
        <v>46234.611805555556</v>
      </c>
      <c r="E17" s="15" t="s">
        <v>111</v>
      </c>
      <c r="F17" s="15" t="s">
        <v>1587</v>
      </c>
      <c r="G17" s="15" t="s">
        <v>74</v>
      </c>
      <c r="H17" s="15" t="s">
        <v>75</v>
      </c>
      <c r="I17" s="14">
        <v>18000</v>
      </c>
      <c r="J17" s="15" t="s">
        <v>192</v>
      </c>
      <c r="K17" s="15" t="s">
        <v>25</v>
      </c>
      <c r="L17" s="15">
        <v>1</v>
      </c>
      <c r="M17" s="15">
        <v>0.26</v>
      </c>
      <c r="N17" s="15" t="s">
        <v>76</v>
      </c>
      <c r="O17" s="15" t="s">
        <v>76</v>
      </c>
      <c r="P17" s="14">
        <v>170000</v>
      </c>
      <c r="Q17" s="13">
        <v>46234.612500000003</v>
      </c>
      <c r="R17" s="15" t="s">
        <v>276</v>
      </c>
      <c r="S17" s="11" t="str">
        <f t="shared" si="0"/>
        <v>2026-07-31</v>
      </c>
      <c r="T17" s="11">
        <f>IF($E17="","",IF(COUNTIF($E$2:$E17,$E17)=1,1,0))</f>
        <v>0</v>
      </c>
      <c r="U17" s="11" t="str">
        <f>IF(T17=1,SUM($T$2:T17),"")</f>
        <v/>
      </c>
      <c r="V17" s="11">
        <f>IF(OR($R17="",$R17="-"),"",IF(COUNTIF($R$2:$R17,$R17)=1,1,0))</f>
        <v>1</v>
      </c>
      <c r="W17" s="11">
        <f>IF(V17=1,SUM($V$2:V17),"")</f>
        <v>11</v>
      </c>
      <c r="X17" s="11" t="str">
        <f t="shared" si="1"/>
        <v>SHOPEE</v>
      </c>
    </row>
    <row r="18" spans="1:24">
      <c r="A18" s="15" t="s">
        <v>1588</v>
      </c>
      <c r="B18" s="15" t="s">
        <v>116</v>
      </c>
      <c r="C18" s="15" t="s">
        <v>1589</v>
      </c>
      <c r="D18" s="13">
        <v>46234.586805555555</v>
      </c>
      <c r="E18" s="15" t="s">
        <v>73</v>
      </c>
      <c r="F18" s="15" t="s">
        <v>1590</v>
      </c>
      <c r="G18" s="15" t="s">
        <v>74</v>
      </c>
      <c r="H18" s="15" t="s">
        <v>75</v>
      </c>
      <c r="I18" s="14">
        <v>78000</v>
      </c>
      <c r="J18" s="15" t="s">
        <v>246</v>
      </c>
      <c r="K18" s="15" t="s">
        <v>26</v>
      </c>
      <c r="L18" s="15">
        <v>1</v>
      </c>
      <c r="M18" s="15">
        <v>11.44</v>
      </c>
      <c r="N18" s="15" t="s">
        <v>76</v>
      </c>
      <c r="O18" s="15" t="s">
        <v>76</v>
      </c>
      <c r="P18" s="14">
        <v>319800</v>
      </c>
      <c r="Q18" s="13">
        <v>46234.587500000001</v>
      </c>
      <c r="R18" s="15" t="s">
        <v>1588</v>
      </c>
      <c r="S18" s="11" t="str">
        <f t="shared" si="0"/>
        <v>2026-07-31</v>
      </c>
      <c r="T18" s="11">
        <f>IF($E18="","",IF(COUNTIF($E$2:$E18,$E18)=1,1,0))</f>
        <v>0</v>
      </c>
      <c r="U18" s="11" t="str">
        <f>IF(T18=1,SUM($T$2:T18),"")</f>
        <v/>
      </c>
      <c r="V18" s="11">
        <f>IF(OR($R18="",$R18="-"),"",IF(COUNTIF($R$2:$R18,$R18)=1,1,0))</f>
        <v>1</v>
      </c>
      <c r="W18" s="11">
        <f>IF(V18=1,SUM($V$2:V18),"")</f>
        <v>12</v>
      </c>
      <c r="X18" s="11" t="str">
        <f t="shared" si="1"/>
        <v>SHOPEE</v>
      </c>
    </row>
    <row r="19" spans="1:24">
      <c r="A19" s="15" t="s">
        <v>79</v>
      </c>
      <c r="B19" s="15" t="s">
        <v>83</v>
      </c>
      <c r="C19" s="15" t="s">
        <v>1591</v>
      </c>
      <c r="D19" s="13">
        <v>46234.518750000003</v>
      </c>
      <c r="E19" s="15" t="s">
        <v>95</v>
      </c>
      <c r="F19" s="15" t="s">
        <v>1592</v>
      </c>
      <c r="G19" s="15" t="s">
        <v>74</v>
      </c>
      <c r="H19" s="15" t="s">
        <v>75</v>
      </c>
      <c r="I19" s="14">
        <v>12000</v>
      </c>
      <c r="J19" s="15" t="s">
        <v>201</v>
      </c>
      <c r="K19" s="15" t="s">
        <v>24</v>
      </c>
      <c r="L19" s="15">
        <v>1</v>
      </c>
      <c r="M19" s="15">
        <v>0.1</v>
      </c>
      <c r="N19" s="15" t="s">
        <v>76</v>
      </c>
      <c r="O19" s="15" t="s">
        <v>76</v>
      </c>
      <c r="P19" s="14">
        <v>60000</v>
      </c>
      <c r="Q19" s="13">
        <v>46234.518750000003</v>
      </c>
      <c r="R19" s="15" t="s">
        <v>177</v>
      </c>
      <c r="S19" s="11" t="str">
        <f t="shared" si="0"/>
        <v>2026-07-31</v>
      </c>
      <c r="T19" s="11">
        <f>IF($E19="","",IF(COUNTIF($E$2:$E19,$E19)=1,1,0))</f>
        <v>1</v>
      </c>
      <c r="U19" s="11">
        <f>IF(T19=1,SUM($T$2:T19),"")</f>
        <v>3</v>
      </c>
      <c r="V19" s="11">
        <f>IF(OR($R19="",$R19="-"),"",IF(COUNTIF($R$2:$R19,$R19)=1,1,0))</f>
        <v>1</v>
      </c>
      <c r="W19" s="11">
        <f>IF(V19=1,SUM($V$2:V19),"")</f>
        <v>13</v>
      </c>
      <c r="X19" s="11" t="str">
        <f t="shared" si="1"/>
        <v>SHOPEE</v>
      </c>
    </row>
    <row r="20" spans="1:24">
      <c r="A20" s="15" t="s">
        <v>79</v>
      </c>
      <c r="B20" s="15" t="s">
        <v>83</v>
      </c>
      <c r="C20" s="15" t="s">
        <v>1593</v>
      </c>
      <c r="D20" s="13">
        <v>46234.48333333333</v>
      </c>
      <c r="E20" s="15" t="s">
        <v>95</v>
      </c>
      <c r="F20" s="15" t="s">
        <v>1594</v>
      </c>
      <c r="G20" s="15" t="s">
        <v>74</v>
      </c>
      <c r="H20" s="15" t="s">
        <v>75</v>
      </c>
      <c r="I20" s="14">
        <v>21000</v>
      </c>
      <c r="J20" s="15" t="s">
        <v>1595</v>
      </c>
      <c r="K20" s="15" t="s">
        <v>24</v>
      </c>
      <c r="L20" s="15">
        <v>1</v>
      </c>
      <c r="M20" s="15">
        <v>1</v>
      </c>
      <c r="N20" s="15" t="s">
        <v>76</v>
      </c>
      <c r="O20" s="15" t="s">
        <v>76</v>
      </c>
      <c r="P20" s="15">
        <v>99</v>
      </c>
      <c r="Q20" s="13">
        <v>46234.484027777777</v>
      </c>
      <c r="R20" s="15" t="s">
        <v>175</v>
      </c>
      <c r="S20" s="11" t="str">
        <f t="shared" si="0"/>
        <v>2026-07-31</v>
      </c>
      <c r="T20" s="11">
        <f>IF($E20="","",IF(COUNTIF($E$2:$E20,$E20)=1,1,0))</f>
        <v>0</v>
      </c>
      <c r="U20" s="11" t="str">
        <f>IF(T20=1,SUM($T$2:T20),"")</f>
        <v/>
      </c>
      <c r="V20" s="11">
        <f>IF(OR($R20="",$R20="-"),"",IF(COUNTIF($R$2:$R20,$R20)=1,1,0))</f>
        <v>1</v>
      </c>
      <c r="W20" s="11">
        <f>IF(V20=1,SUM($V$2:V20),"")</f>
        <v>14</v>
      </c>
      <c r="X20" s="11" t="str">
        <f t="shared" si="1"/>
        <v>SHOPEE</v>
      </c>
    </row>
    <row r="21" spans="1:24">
      <c r="A21" s="15" t="s">
        <v>79</v>
      </c>
      <c r="B21" s="15" t="s">
        <v>80</v>
      </c>
      <c r="C21" s="15" t="s">
        <v>1596</v>
      </c>
      <c r="D21" s="13">
        <v>46234.375</v>
      </c>
      <c r="E21" s="15" t="s">
        <v>95</v>
      </c>
      <c r="F21" s="15" t="s">
        <v>1597</v>
      </c>
      <c r="G21" s="15" t="s">
        <v>74</v>
      </c>
      <c r="H21" s="15" t="s">
        <v>75</v>
      </c>
      <c r="I21" s="14">
        <v>12000</v>
      </c>
      <c r="J21" s="15" t="s">
        <v>97</v>
      </c>
      <c r="K21" s="15" t="s">
        <v>24</v>
      </c>
      <c r="L21" s="15">
        <v>1</v>
      </c>
      <c r="M21" s="15">
        <v>0.73</v>
      </c>
      <c r="N21" s="15" t="s">
        <v>76</v>
      </c>
      <c r="O21" s="15" t="s">
        <v>76</v>
      </c>
      <c r="P21" s="14">
        <v>239800</v>
      </c>
      <c r="Q21" s="13">
        <v>46234.375</v>
      </c>
      <c r="R21" s="15" t="s">
        <v>1598</v>
      </c>
      <c r="S21" s="11" t="str">
        <f t="shared" si="0"/>
        <v>2026-07-31</v>
      </c>
      <c r="T21" s="11">
        <f>IF($E21="","",IF(COUNTIF($E$2:$E21,$E21)=1,1,0))</f>
        <v>0</v>
      </c>
      <c r="U21" s="11" t="str">
        <f>IF(T21=1,SUM($T$2:T21),"")</f>
        <v/>
      </c>
      <c r="V21" s="11">
        <f>IF(OR($R21="",$R21="-"),"",IF(COUNTIF($R$2:$R21,$R21)=1,1,0))</f>
        <v>1</v>
      </c>
      <c r="W21" s="11">
        <f>IF(V21=1,SUM($V$2:V21),"")</f>
        <v>15</v>
      </c>
      <c r="X21" s="11" t="str">
        <f t="shared" si="1"/>
        <v>SHOPEE</v>
      </c>
    </row>
    <row r="22" spans="1:24">
      <c r="A22" s="15" t="s">
        <v>79</v>
      </c>
      <c r="B22" s="15" t="s">
        <v>83</v>
      </c>
      <c r="C22" s="15" t="s">
        <v>1599</v>
      </c>
      <c r="D22" s="13">
        <v>46233.885416666664</v>
      </c>
      <c r="E22" s="15" t="s">
        <v>73</v>
      </c>
      <c r="F22" s="15" t="s">
        <v>1600</v>
      </c>
      <c r="G22" s="15" t="s">
        <v>74</v>
      </c>
      <c r="H22" s="15" t="s">
        <v>75</v>
      </c>
      <c r="I22" s="14">
        <v>24000</v>
      </c>
      <c r="J22" s="15" t="s">
        <v>228</v>
      </c>
      <c r="K22" s="15" t="s">
        <v>24</v>
      </c>
      <c r="L22" s="15">
        <v>2</v>
      </c>
      <c r="M22" s="15">
        <v>2</v>
      </c>
      <c r="N22" s="15" t="s">
        <v>76</v>
      </c>
      <c r="O22" s="15" t="s">
        <v>76</v>
      </c>
      <c r="P22" s="14">
        <v>75500</v>
      </c>
      <c r="Q22" s="13">
        <v>46233.885416666664</v>
      </c>
      <c r="R22" s="15" t="s">
        <v>147</v>
      </c>
      <c r="S22" s="11" t="str">
        <f t="shared" si="0"/>
        <v>2026-07-30</v>
      </c>
      <c r="T22" s="11">
        <f>IF($E22="","",IF(COUNTIF($E$2:$E22,$E22)=1,1,0))</f>
        <v>0</v>
      </c>
      <c r="U22" s="11" t="str">
        <f>IF(T22=1,SUM($T$2:T22),"")</f>
        <v/>
      </c>
      <c r="V22" s="11">
        <f>IF(OR($R22="",$R22="-"),"",IF(COUNTIF($R$2:$R22,$R22)=1,1,0))</f>
        <v>1</v>
      </c>
      <c r="W22" s="11">
        <f>IF(V22=1,SUM($V$2:V22),"")</f>
        <v>16</v>
      </c>
      <c r="X22" s="11" t="str">
        <f t="shared" si="1"/>
        <v>SHOPEE</v>
      </c>
    </row>
    <row r="23" spans="1:24">
      <c r="A23" s="15" t="s">
        <v>79</v>
      </c>
      <c r="B23" s="15" t="s">
        <v>83</v>
      </c>
      <c r="C23" s="15" t="s">
        <v>1601</v>
      </c>
      <c r="D23" s="13">
        <v>46233.874305555553</v>
      </c>
      <c r="E23" s="15" t="s">
        <v>73</v>
      </c>
      <c r="F23" s="15" t="s">
        <v>1602</v>
      </c>
      <c r="G23" s="15" t="s">
        <v>74</v>
      </c>
      <c r="H23" s="15" t="s">
        <v>75</v>
      </c>
      <c r="I23" s="14">
        <v>12000</v>
      </c>
      <c r="J23" s="15" t="s">
        <v>1603</v>
      </c>
      <c r="K23" s="15" t="s">
        <v>24</v>
      </c>
      <c r="L23" s="15">
        <v>3</v>
      </c>
      <c r="M23" s="15">
        <v>0.3</v>
      </c>
      <c r="N23" s="15" t="s">
        <v>76</v>
      </c>
      <c r="O23" s="15" t="s">
        <v>76</v>
      </c>
      <c r="P23" s="14">
        <v>129000</v>
      </c>
      <c r="Q23" s="13">
        <v>46233.879861111112</v>
      </c>
      <c r="R23" s="15" t="s">
        <v>118</v>
      </c>
      <c r="S23" s="11" t="str">
        <f t="shared" si="0"/>
        <v>2026-07-30</v>
      </c>
      <c r="T23" s="11">
        <f>IF($E23="","",IF(COUNTIF($E$2:$E23,$E23)=1,1,0))</f>
        <v>0</v>
      </c>
      <c r="U23" s="11" t="str">
        <f>IF(T23=1,SUM($T$2:T23),"")</f>
        <v/>
      </c>
      <c r="V23" s="11">
        <f>IF(OR($R23="",$R23="-"),"",IF(COUNTIF($R$2:$R23,$R23)=1,1,0))</f>
        <v>0</v>
      </c>
      <c r="W23" s="11" t="str">
        <f>IF(V23=1,SUM($V$2:V23),"")</f>
        <v/>
      </c>
      <c r="X23" s="11" t="str">
        <f t="shared" si="1"/>
        <v>SHOPEE</v>
      </c>
    </row>
    <row r="24" spans="1:24">
      <c r="A24" s="15" t="s">
        <v>71</v>
      </c>
      <c r="B24" s="15" t="s">
        <v>72</v>
      </c>
      <c r="C24" s="15" t="s">
        <v>1601</v>
      </c>
      <c r="D24" s="13">
        <v>46233.874305555553</v>
      </c>
      <c r="E24" s="15" t="s">
        <v>73</v>
      </c>
      <c r="F24" s="15" t="s">
        <v>1604</v>
      </c>
      <c r="G24" s="15" t="s">
        <v>74</v>
      </c>
      <c r="H24" s="15" t="s">
        <v>75</v>
      </c>
      <c r="I24" s="14">
        <v>14000</v>
      </c>
      <c r="J24" s="15" t="s">
        <v>202</v>
      </c>
      <c r="K24" s="15" t="s">
        <v>24</v>
      </c>
      <c r="L24" s="15">
        <v>1</v>
      </c>
      <c r="M24" s="15">
        <v>0.05</v>
      </c>
      <c r="N24" s="15" t="s">
        <v>74</v>
      </c>
      <c r="O24" s="15" t="s">
        <v>76</v>
      </c>
      <c r="P24" s="14">
        <v>12000</v>
      </c>
      <c r="Q24" s="13">
        <v>46233.879861111112</v>
      </c>
      <c r="R24" s="15" t="s">
        <v>78</v>
      </c>
      <c r="S24" s="11" t="str">
        <f t="shared" si="0"/>
        <v>2026-07-30</v>
      </c>
      <c r="T24" s="11">
        <f>IF($E24="","",IF(COUNTIF($E$2:$E24,$E24)=1,1,0))</f>
        <v>0</v>
      </c>
      <c r="U24" s="11" t="str">
        <f>IF(T24=1,SUM($T$2:T24),"")</f>
        <v/>
      </c>
      <c r="V24" s="11">
        <f>IF(OR($R24="",$R24="-"),"",IF(COUNTIF($R$2:$R24,$R24)=1,1,0))</f>
        <v>1</v>
      </c>
      <c r="W24" s="11">
        <f>IF(V24=1,SUM($V$2:V24),"")</f>
        <v>17</v>
      </c>
      <c r="X24" s="11" t="str">
        <f t="shared" si="1"/>
        <v>TOKOPEDIA</v>
      </c>
    </row>
    <row r="25" spans="1:24">
      <c r="A25" s="15" t="s">
        <v>79</v>
      </c>
      <c r="B25" s="15" t="s">
        <v>83</v>
      </c>
      <c r="C25" s="15" t="s">
        <v>1605</v>
      </c>
      <c r="D25" s="13">
        <v>46233.799305555556</v>
      </c>
      <c r="E25" s="15" t="s">
        <v>95</v>
      </c>
      <c r="F25" s="15" t="s">
        <v>1606</v>
      </c>
      <c r="G25" s="15" t="s">
        <v>74</v>
      </c>
      <c r="H25" s="15" t="s">
        <v>75</v>
      </c>
      <c r="I25" s="14">
        <v>31000</v>
      </c>
      <c r="J25" s="15" t="s">
        <v>1607</v>
      </c>
      <c r="K25" s="15" t="s">
        <v>24</v>
      </c>
      <c r="L25" s="15">
        <v>1</v>
      </c>
      <c r="M25" s="15">
        <v>1</v>
      </c>
      <c r="N25" s="15" t="s">
        <v>76</v>
      </c>
      <c r="O25" s="15" t="s">
        <v>76</v>
      </c>
      <c r="P25" s="14">
        <v>200000</v>
      </c>
      <c r="Q25" s="13">
        <v>46233.8</v>
      </c>
      <c r="R25" s="15" t="s">
        <v>184</v>
      </c>
      <c r="S25" s="11" t="str">
        <f t="shared" si="0"/>
        <v>2026-07-30</v>
      </c>
      <c r="T25" s="11">
        <f>IF($E25="","",IF(COUNTIF($E$2:$E25,$E25)=1,1,0))</f>
        <v>0</v>
      </c>
      <c r="U25" s="11" t="str">
        <f>IF(T25=1,SUM($T$2:T25),"")</f>
        <v/>
      </c>
      <c r="V25" s="11">
        <f>IF(OR($R25="",$R25="-"),"",IF(COUNTIF($R$2:$R25,$R25)=1,1,0))</f>
        <v>1</v>
      </c>
      <c r="W25" s="11">
        <f>IF(V25=1,SUM($V$2:V25),"")</f>
        <v>18</v>
      </c>
      <c r="X25" s="11" t="str">
        <f t="shared" si="1"/>
        <v>SHOPEE</v>
      </c>
    </row>
    <row r="26" spans="1:24">
      <c r="A26" s="15" t="s">
        <v>79</v>
      </c>
      <c r="B26" s="15" t="s">
        <v>83</v>
      </c>
      <c r="C26" s="15" t="s">
        <v>1608</v>
      </c>
      <c r="D26" s="13">
        <v>46233.798611111109</v>
      </c>
      <c r="E26" s="15" t="s">
        <v>95</v>
      </c>
      <c r="F26" s="15" t="s">
        <v>1609</v>
      </c>
      <c r="G26" s="15" t="s">
        <v>74</v>
      </c>
      <c r="H26" s="15" t="s">
        <v>75</v>
      </c>
      <c r="I26" s="14">
        <v>12000</v>
      </c>
      <c r="J26" s="15" t="s">
        <v>524</v>
      </c>
      <c r="K26" s="15" t="s">
        <v>24</v>
      </c>
      <c r="L26" s="15">
        <v>1</v>
      </c>
      <c r="M26" s="15">
        <v>1</v>
      </c>
      <c r="N26" s="15" t="s">
        <v>76</v>
      </c>
      <c r="O26" s="15" t="s">
        <v>76</v>
      </c>
      <c r="P26" s="14">
        <v>230000</v>
      </c>
      <c r="Q26" s="13">
        <v>46233.799305555556</v>
      </c>
      <c r="R26" s="15" t="s">
        <v>184</v>
      </c>
      <c r="S26" s="11" t="str">
        <f t="shared" si="0"/>
        <v>2026-07-30</v>
      </c>
      <c r="T26" s="11">
        <f>IF($E26="","",IF(COUNTIF($E$2:$E26,$E26)=1,1,0))</f>
        <v>0</v>
      </c>
      <c r="U26" s="11" t="str">
        <f>IF(T26=1,SUM($T$2:T26),"")</f>
        <v/>
      </c>
      <c r="V26" s="11">
        <f>IF(OR($R26="",$R26="-"),"",IF(COUNTIF($R$2:$R26,$R26)=1,1,0))</f>
        <v>0</v>
      </c>
      <c r="W26" s="11" t="str">
        <f>IF(V26=1,SUM($V$2:V26),"")</f>
        <v/>
      </c>
      <c r="X26" s="11" t="str">
        <f t="shared" si="1"/>
        <v>SHOPEE</v>
      </c>
    </row>
    <row r="27" spans="1:24">
      <c r="A27" s="15" t="s">
        <v>79</v>
      </c>
      <c r="B27" s="15" t="s">
        <v>83</v>
      </c>
      <c r="C27" s="15" t="s">
        <v>1610</v>
      </c>
      <c r="D27" s="13">
        <v>46233.798611111109</v>
      </c>
      <c r="E27" s="15" t="s">
        <v>95</v>
      </c>
      <c r="F27" s="15" t="s">
        <v>1611</v>
      </c>
      <c r="G27" s="15" t="s">
        <v>74</v>
      </c>
      <c r="H27" s="15" t="s">
        <v>75</v>
      </c>
      <c r="I27" s="14">
        <v>23000</v>
      </c>
      <c r="J27" s="15" t="s">
        <v>1612</v>
      </c>
      <c r="K27" s="15" t="s">
        <v>24</v>
      </c>
      <c r="L27" s="15">
        <v>1</v>
      </c>
      <c r="M27" s="15">
        <v>1</v>
      </c>
      <c r="N27" s="15" t="s">
        <v>76</v>
      </c>
      <c r="O27" s="15" t="s">
        <v>76</v>
      </c>
      <c r="P27" s="14">
        <v>98000</v>
      </c>
      <c r="Q27" s="13">
        <v>46233.798611111109</v>
      </c>
      <c r="R27" s="15" t="s">
        <v>184</v>
      </c>
      <c r="S27" s="11" t="str">
        <f t="shared" si="0"/>
        <v>2026-07-30</v>
      </c>
      <c r="T27" s="11">
        <f>IF($E27="","",IF(COUNTIF($E$2:$E27,$E27)=1,1,0))</f>
        <v>0</v>
      </c>
      <c r="U27" s="11" t="str">
        <f>IF(T27=1,SUM($T$2:T27),"")</f>
        <v/>
      </c>
      <c r="V27" s="11">
        <f>IF(OR($R27="",$R27="-"),"",IF(COUNTIF($R$2:$R27,$R27)=1,1,0))</f>
        <v>0</v>
      </c>
      <c r="W27" s="11" t="str">
        <f>IF(V27=1,SUM($V$2:V27),"")</f>
        <v/>
      </c>
      <c r="X27" s="11" t="str">
        <f t="shared" si="1"/>
        <v>SHOPEE</v>
      </c>
    </row>
    <row r="28" spans="1:24">
      <c r="A28" s="15" t="s">
        <v>1613</v>
      </c>
      <c r="B28" s="15" t="s">
        <v>116</v>
      </c>
      <c r="C28" s="15" t="s">
        <v>1614</v>
      </c>
      <c r="D28" s="13">
        <v>46233.79791666667</v>
      </c>
      <c r="E28" s="15" t="s">
        <v>111</v>
      </c>
      <c r="F28" s="15" t="s">
        <v>1615</v>
      </c>
      <c r="G28" s="15" t="s">
        <v>74</v>
      </c>
      <c r="H28" s="15" t="s">
        <v>75</v>
      </c>
      <c r="I28" s="14">
        <v>58500</v>
      </c>
      <c r="J28" s="15" t="s">
        <v>81</v>
      </c>
      <c r="K28" s="15" t="s">
        <v>26</v>
      </c>
      <c r="L28" s="15">
        <v>1</v>
      </c>
      <c r="M28" s="15">
        <v>12</v>
      </c>
      <c r="N28" s="15" t="s">
        <v>76</v>
      </c>
      <c r="O28" s="15" t="s">
        <v>76</v>
      </c>
      <c r="P28" s="14">
        <v>283000</v>
      </c>
      <c r="Q28" s="13">
        <v>46233.798611111109</v>
      </c>
      <c r="R28" s="15" t="s">
        <v>1613</v>
      </c>
      <c r="S28" s="11" t="str">
        <f t="shared" si="0"/>
        <v>2026-07-30</v>
      </c>
      <c r="T28" s="11">
        <f>IF($E28="","",IF(COUNTIF($E$2:$E28,$E28)=1,1,0))</f>
        <v>0</v>
      </c>
      <c r="U28" s="11" t="str">
        <f>IF(T28=1,SUM($T$2:T28),"")</f>
        <v/>
      </c>
      <c r="V28" s="11">
        <f>IF(OR($R28="",$R28="-"),"",IF(COUNTIF($R$2:$R28,$R28)=1,1,0))</f>
        <v>1</v>
      </c>
      <c r="W28" s="11">
        <f>IF(V28=1,SUM($V$2:V28),"")</f>
        <v>19</v>
      </c>
      <c r="X28" s="11" t="str">
        <f t="shared" si="1"/>
        <v>SHOPEE</v>
      </c>
    </row>
    <row r="29" spans="1:24">
      <c r="A29" s="15" t="s">
        <v>79</v>
      </c>
      <c r="B29" s="15" t="s">
        <v>83</v>
      </c>
      <c r="C29" s="15" t="s">
        <v>1616</v>
      </c>
      <c r="D29" s="13">
        <v>46233.781944444447</v>
      </c>
      <c r="E29" s="15" t="s">
        <v>111</v>
      </c>
      <c r="F29" s="15" t="s">
        <v>1617</v>
      </c>
      <c r="G29" s="15" t="s">
        <v>74</v>
      </c>
      <c r="H29" s="15" t="s">
        <v>75</v>
      </c>
      <c r="I29" s="14">
        <v>12000</v>
      </c>
      <c r="J29" s="15" t="s">
        <v>1573</v>
      </c>
      <c r="K29" s="15" t="s">
        <v>24</v>
      </c>
      <c r="L29" s="15">
        <v>1</v>
      </c>
      <c r="M29" s="15">
        <v>0.45</v>
      </c>
      <c r="N29" s="15" t="s">
        <v>76</v>
      </c>
      <c r="O29" s="15" t="s">
        <v>76</v>
      </c>
      <c r="P29" s="14">
        <v>369000</v>
      </c>
      <c r="Q29" s="13">
        <v>46233.781944444447</v>
      </c>
      <c r="R29" s="15" t="s">
        <v>1618</v>
      </c>
      <c r="S29" s="11" t="str">
        <f t="shared" si="0"/>
        <v>2026-07-30</v>
      </c>
      <c r="T29" s="11">
        <f>IF($E29="","",IF(COUNTIF($E$2:$E29,$E29)=1,1,0))</f>
        <v>0</v>
      </c>
      <c r="U29" s="11" t="str">
        <f>IF(T29=1,SUM($T$2:T29),"")</f>
        <v/>
      </c>
      <c r="V29" s="11">
        <f>IF(OR($R29="",$R29="-"),"",IF(COUNTIF($R$2:$R29,$R29)=1,1,0))</f>
        <v>1</v>
      </c>
      <c r="W29" s="11">
        <f>IF(V29=1,SUM($V$2:V29),"")</f>
        <v>20</v>
      </c>
      <c r="X29" s="11" t="str">
        <f t="shared" si="1"/>
        <v>SHOPEE</v>
      </c>
    </row>
    <row r="30" spans="1:24">
      <c r="A30" s="15" t="s">
        <v>79</v>
      </c>
      <c r="B30" s="15" t="s">
        <v>83</v>
      </c>
      <c r="C30" s="15" t="s">
        <v>1619</v>
      </c>
      <c r="D30" s="13">
        <v>46233.744444444441</v>
      </c>
      <c r="E30" s="15" t="s">
        <v>95</v>
      </c>
      <c r="F30" s="15" t="s">
        <v>1620</v>
      </c>
      <c r="G30" s="15" t="s">
        <v>74</v>
      </c>
      <c r="H30" s="15" t="s">
        <v>75</v>
      </c>
      <c r="I30" s="14">
        <v>27000</v>
      </c>
      <c r="J30" s="15" t="s">
        <v>1621</v>
      </c>
      <c r="K30" s="15" t="s">
        <v>26</v>
      </c>
      <c r="L30" s="15">
        <v>1</v>
      </c>
      <c r="M30" s="15">
        <v>4.5</v>
      </c>
      <c r="N30" s="15" t="s">
        <v>76</v>
      </c>
      <c r="O30" s="15" t="s">
        <v>76</v>
      </c>
      <c r="P30" s="14">
        <v>339000</v>
      </c>
      <c r="Q30" s="13">
        <v>46233.744444444441</v>
      </c>
      <c r="R30" s="15" t="s">
        <v>102</v>
      </c>
      <c r="S30" s="11" t="str">
        <f t="shared" si="0"/>
        <v>2026-07-30</v>
      </c>
      <c r="T30" s="11">
        <f>IF($E30="","",IF(COUNTIF($E$2:$E30,$E30)=1,1,0))</f>
        <v>0</v>
      </c>
      <c r="U30" s="11" t="str">
        <f>IF(T30=1,SUM($T$2:T30),"")</f>
        <v/>
      </c>
      <c r="V30" s="11">
        <f>IF(OR($R30="",$R30="-"),"",IF(COUNTIF($R$2:$R30,$R30)=1,1,0))</f>
        <v>1</v>
      </c>
      <c r="W30" s="11">
        <f>IF(V30=1,SUM($V$2:V30),"")</f>
        <v>21</v>
      </c>
      <c r="X30" s="11" t="str">
        <f t="shared" si="1"/>
        <v>SHOPEE</v>
      </c>
    </row>
    <row r="31" spans="1:24">
      <c r="A31" s="15" t="s">
        <v>79</v>
      </c>
      <c r="B31" s="15" t="s">
        <v>83</v>
      </c>
      <c r="C31" s="15" t="s">
        <v>1622</v>
      </c>
      <c r="D31" s="13">
        <v>46233.730555555558</v>
      </c>
      <c r="E31" s="15" t="s">
        <v>111</v>
      </c>
      <c r="F31" s="15" t="s">
        <v>1623</v>
      </c>
      <c r="G31" s="15" t="s">
        <v>74</v>
      </c>
      <c r="H31" s="15" t="s">
        <v>75</v>
      </c>
      <c r="I31" s="14">
        <v>12000</v>
      </c>
      <c r="J31" s="15" t="s">
        <v>145</v>
      </c>
      <c r="K31" s="15" t="s">
        <v>24</v>
      </c>
      <c r="L31" s="15">
        <v>2</v>
      </c>
      <c r="M31" s="15">
        <v>0.1</v>
      </c>
      <c r="N31" s="15" t="s">
        <v>76</v>
      </c>
      <c r="O31" s="15" t="s">
        <v>76</v>
      </c>
      <c r="P31" s="14">
        <v>17000</v>
      </c>
      <c r="Q31" s="13">
        <v>46233.731249999997</v>
      </c>
      <c r="R31" s="15" t="s">
        <v>457</v>
      </c>
      <c r="S31" s="11" t="str">
        <f t="shared" si="0"/>
        <v>2026-07-30</v>
      </c>
      <c r="T31" s="11">
        <f>IF($E31="","",IF(COUNTIF($E$2:$E31,$E31)=1,1,0))</f>
        <v>0</v>
      </c>
      <c r="U31" s="11" t="str">
        <f>IF(T31=1,SUM($T$2:T31),"")</f>
        <v/>
      </c>
      <c r="V31" s="11">
        <f>IF(OR($R31="",$R31="-"),"",IF(COUNTIF($R$2:$R31,$R31)=1,1,0))</f>
        <v>1</v>
      </c>
      <c r="W31" s="11">
        <f>IF(V31=1,SUM($V$2:V31),"")</f>
        <v>22</v>
      </c>
      <c r="X31" s="11" t="str">
        <f t="shared" si="1"/>
        <v>SHOPEE</v>
      </c>
    </row>
    <row r="32" spans="1:24">
      <c r="A32" s="15" t="s">
        <v>79</v>
      </c>
      <c r="B32" s="15" t="s">
        <v>83</v>
      </c>
      <c r="C32" s="15" t="s">
        <v>1622</v>
      </c>
      <c r="D32" s="13">
        <v>46233.730555555558</v>
      </c>
      <c r="E32" s="15" t="s">
        <v>111</v>
      </c>
      <c r="F32" s="15" t="s">
        <v>1624</v>
      </c>
      <c r="G32" s="15" t="s">
        <v>74</v>
      </c>
      <c r="H32" s="15" t="s">
        <v>75</v>
      </c>
      <c r="I32" s="14">
        <v>20000</v>
      </c>
      <c r="J32" s="15" t="s">
        <v>1178</v>
      </c>
      <c r="K32" s="15" t="s">
        <v>24</v>
      </c>
      <c r="L32" s="15">
        <v>3</v>
      </c>
      <c r="M32" s="15">
        <v>0.15</v>
      </c>
      <c r="N32" s="15" t="s">
        <v>76</v>
      </c>
      <c r="O32" s="15" t="s">
        <v>76</v>
      </c>
      <c r="P32" s="14">
        <v>38271</v>
      </c>
      <c r="Q32" s="13">
        <v>46233.731249999997</v>
      </c>
      <c r="R32" s="15" t="s">
        <v>457</v>
      </c>
      <c r="S32" s="11" t="str">
        <f t="shared" si="0"/>
        <v>2026-07-30</v>
      </c>
      <c r="T32" s="11">
        <f>IF($E32="","",IF(COUNTIF($E$2:$E32,$E32)=1,1,0))</f>
        <v>0</v>
      </c>
      <c r="U32" s="11" t="str">
        <f>IF(T32=1,SUM($T$2:T32),"")</f>
        <v/>
      </c>
      <c r="V32" s="11">
        <f>IF(OR($R32="",$R32="-"),"",IF(COUNTIF($R$2:$R32,$R32)=1,1,0))</f>
        <v>0</v>
      </c>
      <c r="W32" s="11" t="str">
        <f>IF(V32=1,SUM($V$2:V32),"")</f>
        <v/>
      </c>
      <c r="X32" s="11" t="str">
        <f t="shared" si="1"/>
        <v>SHOPEE</v>
      </c>
    </row>
    <row r="33" spans="1:24">
      <c r="A33" s="15" t="s">
        <v>79</v>
      </c>
      <c r="B33" s="15" t="s">
        <v>83</v>
      </c>
      <c r="C33" s="15" t="s">
        <v>1622</v>
      </c>
      <c r="D33" s="13">
        <v>46233.730555555558</v>
      </c>
      <c r="E33" s="15" t="s">
        <v>111</v>
      </c>
      <c r="F33" s="15" t="s">
        <v>1625</v>
      </c>
      <c r="G33" s="15" t="s">
        <v>74</v>
      </c>
      <c r="H33" s="15" t="s">
        <v>75</v>
      </c>
      <c r="I33" s="14">
        <v>12000</v>
      </c>
      <c r="J33" s="15" t="s">
        <v>277</v>
      </c>
      <c r="K33" s="15" t="s">
        <v>24</v>
      </c>
      <c r="L33" s="15">
        <v>4</v>
      </c>
      <c r="M33" s="15">
        <v>0.08</v>
      </c>
      <c r="N33" s="15" t="s">
        <v>76</v>
      </c>
      <c r="O33" s="15" t="s">
        <v>76</v>
      </c>
      <c r="P33" s="14">
        <v>54204</v>
      </c>
      <c r="Q33" s="13">
        <v>46233.731249999997</v>
      </c>
      <c r="R33" s="15" t="s">
        <v>457</v>
      </c>
      <c r="S33" s="11" t="str">
        <f t="shared" si="0"/>
        <v>2026-07-30</v>
      </c>
      <c r="T33" s="11">
        <f>IF($E33="","",IF(COUNTIF($E$2:$E33,$E33)=1,1,0))</f>
        <v>0</v>
      </c>
      <c r="U33" s="11" t="str">
        <f>IF(T33=1,SUM($T$2:T33),"")</f>
        <v/>
      </c>
      <c r="V33" s="11">
        <f>IF(OR($R33="",$R33="-"),"",IF(COUNTIF($R$2:$R33,$R33)=1,1,0))</f>
        <v>0</v>
      </c>
      <c r="W33" s="11" t="str">
        <f>IF(V33=1,SUM($V$2:V33),"")</f>
        <v/>
      </c>
      <c r="X33" s="11" t="str">
        <f t="shared" si="1"/>
        <v>SHOPEE</v>
      </c>
    </row>
    <row r="34" spans="1:24">
      <c r="A34" s="15" t="s">
        <v>79</v>
      </c>
      <c r="B34" s="15" t="s">
        <v>83</v>
      </c>
      <c r="C34" s="15" t="s">
        <v>1626</v>
      </c>
      <c r="D34" s="13">
        <v>46233.703472222223</v>
      </c>
      <c r="E34" s="15" t="s">
        <v>73</v>
      </c>
      <c r="F34" s="15" t="s">
        <v>1627</v>
      </c>
      <c r="G34" s="15" t="s">
        <v>74</v>
      </c>
      <c r="H34" s="15" t="s">
        <v>75</v>
      </c>
      <c r="I34" s="14">
        <v>12000</v>
      </c>
      <c r="J34" s="15" t="s">
        <v>145</v>
      </c>
      <c r="K34" s="15" t="s">
        <v>24</v>
      </c>
      <c r="L34" s="15">
        <v>1</v>
      </c>
      <c r="M34" s="15">
        <v>0.35</v>
      </c>
      <c r="N34" s="15" t="s">
        <v>76</v>
      </c>
      <c r="O34" s="15" t="s">
        <v>76</v>
      </c>
      <c r="P34" s="14">
        <v>8500</v>
      </c>
      <c r="Q34" s="13">
        <v>46233.852083333331</v>
      </c>
      <c r="R34" s="15" t="s">
        <v>193</v>
      </c>
      <c r="S34" s="11" t="str">
        <f t="shared" si="0"/>
        <v>2026-07-30</v>
      </c>
      <c r="T34" s="11">
        <f>IF($E34="","",IF(COUNTIF($E$2:$E34,$E34)=1,1,0))</f>
        <v>0</v>
      </c>
      <c r="U34" s="11" t="str">
        <f>IF(T34=1,SUM($T$2:T34),"")</f>
        <v/>
      </c>
      <c r="V34" s="11">
        <f>IF(OR($R34="",$R34="-"),"",IF(COUNTIF($R$2:$R34,$R34)=1,1,0))</f>
        <v>1</v>
      </c>
      <c r="W34" s="11">
        <f>IF(V34=1,SUM($V$2:V34),"")</f>
        <v>23</v>
      </c>
      <c r="X34" s="11" t="str">
        <f t="shared" si="1"/>
        <v>SHOPEE</v>
      </c>
    </row>
    <row r="35" spans="1:24">
      <c r="A35" s="15" t="s">
        <v>79</v>
      </c>
      <c r="B35" s="15" t="s">
        <v>83</v>
      </c>
      <c r="C35" s="15" t="s">
        <v>1626</v>
      </c>
      <c r="D35" s="13">
        <v>46233.703472222223</v>
      </c>
      <c r="E35" s="15" t="s">
        <v>73</v>
      </c>
      <c r="F35" s="15" t="s">
        <v>1628</v>
      </c>
      <c r="G35" s="15" t="s">
        <v>74</v>
      </c>
      <c r="H35" s="15" t="s">
        <v>75</v>
      </c>
      <c r="I35" s="14">
        <v>21000</v>
      </c>
      <c r="J35" s="15" t="s">
        <v>1629</v>
      </c>
      <c r="K35" s="15" t="s">
        <v>24</v>
      </c>
      <c r="L35" s="15">
        <v>1</v>
      </c>
      <c r="M35" s="15">
        <v>0.65</v>
      </c>
      <c r="N35" s="15" t="s">
        <v>76</v>
      </c>
      <c r="O35" s="15" t="s">
        <v>76</v>
      </c>
      <c r="P35" s="14">
        <v>16000</v>
      </c>
      <c r="Q35" s="13">
        <v>46233.852083333331</v>
      </c>
      <c r="R35" s="15" t="s">
        <v>193</v>
      </c>
      <c r="S35" s="11" t="str">
        <f t="shared" si="0"/>
        <v>2026-07-30</v>
      </c>
      <c r="T35" s="11">
        <f>IF($E35="","",IF(COUNTIF($E$2:$E35,$E35)=1,1,0))</f>
        <v>0</v>
      </c>
      <c r="U35" s="11" t="str">
        <f>IF(T35=1,SUM($T$2:T35),"")</f>
        <v/>
      </c>
      <c r="V35" s="11">
        <f>IF(OR($R35="",$R35="-"),"",IF(COUNTIF($R$2:$R35,$R35)=1,1,0))</f>
        <v>0</v>
      </c>
      <c r="W35" s="11" t="str">
        <f>IF(V35=1,SUM($V$2:V35),"")</f>
        <v/>
      </c>
      <c r="X35" s="11" t="str">
        <f t="shared" si="1"/>
        <v>SHOPEE</v>
      </c>
    </row>
    <row r="36" spans="1:24">
      <c r="A36" s="15" t="s">
        <v>79</v>
      </c>
      <c r="B36" s="15" t="s">
        <v>83</v>
      </c>
      <c r="C36" s="15" t="s">
        <v>1630</v>
      </c>
      <c r="D36" s="13">
        <v>46233.7</v>
      </c>
      <c r="E36" s="15" t="s">
        <v>73</v>
      </c>
      <c r="F36" s="15" t="s">
        <v>1631</v>
      </c>
      <c r="G36" s="15" t="s">
        <v>74</v>
      </c>
      <c r="H36" s="15" t="s">
        <v>75</v>
      </c>
      <c r="I36" s="14">
        <v>11000</v>
      </c>
      <c r="J36" s="15" t="s">
        <v>1632</v>
      </c>
      <c r="K36" s="15" t="s">
        <v>27</v>
      </c>
      <c r="L36" s="15">
        <v>1</v>
      </c>
      <c r="M36" s="15">
        <v>0.3</v>
      </c>
      <c r="N36" s="15" t="s">
        <v>76</v>
      </c>
      <c r="O36" s="15" t="s">
        <v>76</v>
      </c>
      <c r="P36" s="14">
        <v>189000</v>
      </c>
      <c r="Q36" s="13">
        <v>46233.7</v>
      </c>
      <c r="R36" s="15" t="s">
        <v>308</v>
      </c>
      <c r="S36" s="11" t="str">
        <f t="shared" si="0"/>
        <v>2026-07-30</v>
      </c>
      <c r="T36" s="11">
        <f>IF($E36="","",IF(COUNTIF($E$2:$E36,$E36)=1,1,0))</f>
        <v>0</v>
      </c>
      <c r="U36" s="11" t="str">
        <f>IF(T36=1,SUM($T$2:T36),"")</f>
        <v/>
      </c>
      <c r="V36" s="11">
        <f>IF(OR($R36="",$R36="-"),"",IF(COUNTIF($R$2:$R36,$R36)=1,1,0))</f>
        <v>1</v>
      </c>
      <c r="W36" s="11">
        <f>IF(V36=1,SUM($V$2:V36),"")</f>
        <v>24</v>
      </c>
      <c r="X36" s="11" t="str">
        <f t="shared" si="1"/>
        <v>SHOPEE</v>
      </c>
    </row>
    <row r="37" spans="1:24">
      <c r="A37" s="15" t="s">
        <v>79</v>
      </c>
      <c r="B37" s="15" t="s">
        <v>83</v>
      </c>
      <c r="C37" s="15" t="s">
        <v>1630</v>
      </c>
      <c r="D37" s="13">
        <v>46233.7</v>
      </c>
      <c r="E37" s="15" t="s">
        <v>73</v>
      </c>
      <c r="F37" s="15" t="s">
        <v>1633</v>
      </c>
      <c r="G37" s="15" t="s">
        <v>74</v>
      </c>
      <c r="H37" s="15" t="s">
        <v>75</v>
      </c>
      <c r="I37" s="14">
        <v>24000</v>
      </c>
      <c r="J37" s="15" t="s">
        <v>1634</v>
      </c>
      <c r="K37" s="15" t="s">
        <v>24</v>
      </c>
      <c r="L37" s="15">
        <v>1</v>
      </c>
      <c r="M37" s="15">
        <v>0.3</v>
      </c>
      <c r="N37" s="15" t="s">
        <v>76</v>
      </c>
      <c r="O37" s="15" t="s">
        <v>76</v>
      </c>
      <c r="P37" s="14">
        <v>189000</v>
      </c>
      <c r="Q37" s="13">
        <v>46233.7</v>
      </c>
      <c r="R37" s="15" t="s">
        <v>308</v>
      </c>
      <c r="S37" s="11" t="str">
        <f t="shared" si="0"/>
        <v>2026-07-30</v>
      </c>
      <c r="T37" s="11">
        <f>IF($E37="","",IF(COUNTIF($E$2:$E37,$E37)=1,1,0))</f>
        <v>0</v>
      </c>
      <c r="U37" s="11" t="str">
        <f>IF(T37=1,SUM($T$2:T37),"")</f>
        <v/>
      </c>
      <c r="V37" s="11">
        <f>IF(OR($R37="",$R37="-"),"",IF(COUNTIF($R$2:$R37,$R37)=1,1,0))</f>
        <v>0</v>
      </c>
      <c r="W37" s="11" t="str">
        <f>IF(V37=1,SUM($V$2:V37),"")</f>
        <v/>
      </c>
      <c r="X37" s="11" t="str">
        <f t="shared" si="1"/>
        <v>SHOPEE</v>
      </c>
    </row>
    <row r="38" spans="1:24">
      <c r="A38" s="15" t="s">
        <v>79</v>
      </c>
      <c r="B38" s="15" t="s">
        <v>83</v>
      </c>
      <c r="C38" s="15" t="s">
        <v>1630</v>
      </c>
      <c r="D38" s="13">
        <v>46233.7</v>
      </c>
      <c r="E38" s="15" t="s">
        <v>73</v>
      </c>
      <c r="F38" s="15" t="s">
        <v>1635</v>
      </c>
      <c r="G38" s="15" t="s">
        <v>74</v>
      </c>
      <c r="H38" s="15" t="s">
        <v>75</v>
      </c>
      <c r="I38" s="14">
        <v>6000</v>
      </c>
      <c r="J38" s="15" t="s">
        <v>1636</v>
      </c>
      <c r="K38" s="15" t="s">
        <v>27</v>
      </c>
      <c r="L38" s="15">
        <v>1</v>
      </c>
      <c r="M38" s="15">
        <v>0.3</v>
      </c>
      <c r="N38" s="15" t="s">
        <v>76</v>
      </c>
      <c r="O38" s="15" t="s">
        <v>76</v>
      </c>
      <c r="P38" s="14">
        <v>189000</v>
      </c>
      <c r="Q38" s="13">
        <v>46233.7</v>
      </c>
      <c r="R38" s="15" t="s">
        <v>308</v>
      </c>
      <c r="S38" s="11" t="str">
        <f t="shared" si="0"/>
        <v>2026-07-30</v>
      </c>
      <c r="T38" s="11">
        <f>IF($E38="","",IF(COUNTIF($E$2:$E38,$E38)=1,1,0))</f>
        <v>0</v>
      </c>
      <c r="U38" s="11" t="str">
        <f>IF(T38=1,SUM($T$2:T38),"")</f>
        <v/>
      </c>
      <c r="V38" s="11">
        <f>IF(OR($R38="",$R38="-"),"",IF(COUNTIF($R$2:$R38,$R38)=1,1,0))</f>
        <v>0</v>
      </c>
      <c r="W38" s="11" t="str">
        <f>IF(V38=1,SUM($V$2:V38),"")</f>
        <v/>
      </c>
      <c r="X38" s="11" t="str">
        <f t="shared" si="1"/>
        <v>SHOPEE</v>
      </c>
    </row>
    <row r="39" spans="1:24">
      <c r="A39" s="15" t="s">
        <v>79</v>
      </c>
      <c r="B39" s="15" t="s">
        <v>83</v>
      </c>
      <c r="C39" s="15" t="s">
        <v>1630</v>
      </c>
      <c r="D39" s="13">
        <v>46233.7</v>
      </c>
      <c r="E39" s="15" t="s">
        <v>73</v>
      </c>
      <c r="F39" s="15" t="s">
        <v>1637</v>
      </c>
      <c r="G39" s="15" t="s">
        <v>74</v>
      </c>
      <c r="H39" s="15" t="s">
        <v>75</v>
      </c>
      <c r="I39" s="14">
        <v>12000</v>
      </c>
      <c r="J39" s="15" t="s">
        <v>230</v>
      </c>
      <c r="K39" s="15" t="s">
        <v>24</v>
      </c>
      <c r="L39" s="15">
        <v>1</v>
      </c>
      <c r="M39" s="15">
        <v>0.3</v>
      </c>
      <c r="N39" s="15" t="s">
        <v>76</v>
      </c>
      <c r="O39" s="15" t="s">
        <v>76</v>
      </c>
      <c r="P39" s="14">
        <v>189000</v>
      </c>
      <c r="Q39" s="13">
        <v>46233.7</v>
      </c>
      <c r="R39" s="15" t="s">
        <v>308</v>
      </c>
      <c r="S39" s="11" t="str">
        <f t="shared" si="0"/>
        <v>2026-07-30</v>
      </c>
      <c r="T39" s="11">
        <f>IF($E39="","",IF(COUNTIF($E$2:$E39,$E39)=1,1,0))</f>
        <v>0</v>
      </c>
      <c r="U39" s="11" t="str">
        <f>IF(T39=1,SUM($T$2:T39),"")</f>
        <v/>
      </c>
      <c r="V39" s="11">
        <f>IF(OR($R39="",$R39="-"),"",IF(COUNTIF($R$2:$R39,$R39)=1,1,0))</f>
        <v>0</v>
      </c>
      <c r="W39" s="11" t="str">
        <f>IF(V39=1,SUM($V$2:V39),"")</f>
        <v/>
      </c>
      <c r="X39" s="11" t="str">
        <f t="shared" si="1"/>
        <v>SHOPEE</v>
      </c>
    </row>
    <row r="40" spans="1:24">
      <c r="A40" s="15" t="s">
        <v>79</v>
      </c>
      <c r="B40" s="15" t="s">
        <v>83</v>
      </c>
      <c r="C40" s="15" t="s">
        <v>1638</v>
      </c>
      <c r="D40" s="13">
        <v>46233.675000000003</v>
      </c>
      <c r="E40" s="15" t="s">
        <v>111</v>
      </c>
      <c r="F40" s="15" t="s">
        <v>1639</v>
      </c>
      <c r="G40" s="15" t="s">
        <v>74</v>
      </c>
      <c r="H40" s="15" t="s">
        <v>75</v>
      </c>
      <c r="I40" s="14">
        <v>18000</v>
      </c>
      <c r="J40" s="15" t="s">
        <v>1640</v>
      </c>
      <c r="K40" s="15" t="s">
        <v>25</v>
      </c>
      <c r="L40" s="15">
        <v>3</v>
      </c>
      <c r="M40" s="15">
        <v>1.02</v>
      </c>
      <c r="N40" s="15" t="s">
        <v>76</v>
      </c>
      <c r="O40" s="15" t="s">
        <v>76</v>
      </c>
      <c r="P40" s="14">
        <v>217503</v>
      </c>
      <c r="Q40" s="13">
        <v>46233.675694444442</v>
      </c>
      <c r="R40" s="15" t="s">
        <v>143</v>
      </c>
      <c r="S40" s="11" t="str">
        <f t="shared" si="0"/>
        <v>2026-07-30</v>
      </c>
      <c r="T40" s="11">
        <f>IF($E40="","",IF(COUNTIF($E$2:$E40,$E40)=1,1,0))</f>
        <v>0</v>
      </c>
      <c r="U40" s="11" t="str">
        <f>IF(T40=1,SUM($T$2:T40),"")</f>
        <v/>
      </c>
      <c r="V40" s="11">
        <f>IF(OR($R40="",$R40="-"),"",IF(COUNTIF($R$2:$R40,$R40)=1,1,0))</f>
        <v>1</v>
      </c>
      <c r="W40" s="11">
        <f>IF(V40=1,SUM($V$2:V40),"")</f>
        <v>25</v>
      </c>
      <c r="X40" s="11" t="str">
        <f t="shared" si="1"/>
        <v>SHOPEE</v>
      </c>
    </row>
    <row r="41" spans="1:24">
      <c r="A41" s="15" t="s">
        <v>79</v>
      </c>
      <c r="B41" s="15" t="s">
        <v>83</v>
      </c>
      <c r="C41" s="15" t="s">
        <v>1638</v>
      </c>
      <c r="D41" s="13">
        <v>46233.675000000003</v>
      </c>
      <c r="E41" s="15" t="s">
        <v>111</v>
      </c>
      <c r="F41" s="15" t="s">
        <v>1641</v>
      </c>
      <c r="G41" s="15" t="s">
        <v>74</v>
      </c>
      <c r="H41" s="15" t="s">
        <v>75</v>
      </c>
      <c r="I41" s="14">
        <v>24000</v>
      </c>
      <c r="J41" s="15" t="s">
        <v>1642</v>
      </c>
      <c r="K41" s="15" t="s">
        <v>24</v>
      </c>
      <c r="L41" s="15">
        <v>2</v>
      </c>
      <c r="M41" s="15">
        <v>0.24</v>
      </c>
      <c r="N41" s="15" t="s">
        <v>76</v>
      </c>
      <c r="O41" s="15" t="s">
        <v>76</v>
      </c>
      <c r="P41" s="14">
        <v>464000</v>
      </c>
      <c r="Q41" s="13">
        <v>46233.675694444442</v>
      </c>
      <c r="R41" s="15" t="s">
        <v>109</v>
      </c>
      <c r="S41" s="11" t="str">
        <f t="shared" si="0"/>
        <v>2026-07-30</v>
      </c>
      <c r="T41" s="11">
        <f>IF($E41="","",IF(COUNTIF($E$2:$E41,$E41)=1,1,0))</f>
        <v>0</v>
      </c>
      <c r="U41" s="11" t="str">
        <f>IF(T41=1,SUM($T$2:T41),"")</f>
        <v/>
      </c>
      <c r="V41" s="11">
        <f>IF(OR($R41="",$R41="-"),"",IF(COUNTIF($R$2:$R41,$R41)=1,1,0))</f>
        <v>0</v>
      </c>
      <c r="W41" s="11" t="str">
        <f>IF(V41=1,SUM($V$2:V41),"")</f>
        <v/>
      </c>
      <c r="X41" s="11" t="str">
        <f t="shared" si="1"/>
        <v>SHOPEE</v>
      </c>
    </row>
    <row r="42" spans="1:24">
      <c r="A42" s="15" t="s">
        <v>79</v>
      </c>
      <c r="B42" s="15" t="s">
        <v>83</v>
      </c>
      <c r="C42" s="15" t="s">
        <v>1638</v>
      </c>
      <c r="D42" s="13">
        <v>46233.675000000003</v>
      </c>
      <c r="E42" s="15" t="s">
        <v>111</v>
      </c>
      <c r="F42" s="15" t="s">
        <v>1643</v>
      </c>
      <c r="G42" s="15" t="s">
        <v>74</v>
      </c>
      <c r="H42" s="15" t="s">
        <v>75</v>
      </c>
      <c r="I42" s="14">
        <v>27000</v>
      </c>
      <c r="J42" s="15" t="s">
        <v>1644</v>
      </c>
      <c r="K42" s="15" t="s">
        <v>24</v>
      </c>
      <c r="L42" s="15">
        <v>1</v>
      </c>
      <c r="M42" s="15">
        <v>0.08</v>
      </c>
      <c r="N42" s="15" t="s">
        <v>76</v>
      </c>
      <c r="O42" s="15" t="s">
        <v>76</v>
      </c>
      <c r="P42" s="14">
        <v>36700</v>
      </c>
      <c r="Q42" s="13">
        <v>46233.675694444442</v>
      </c>
      <c r="R42" s="15" t="s">
        <v>109</v>
      </c>
      <c r="S42" s="11" t="str">
        <f t="shared" si="0"/>
        <v>2026-07-30</v>
      </c>
      <c r="T42" s="11">
        <f>IF($E42="","",IF(COUNTIF($E$2:$E42,$E42)=1,1,0))</f>
        <v>0</v>
      </c>
      <c r="U42" s="11" t="str">
        <f>IF(T42=1,SUM($T$2:T42),"")</f>
        <v/>
      </c>
      <c r="V42" s="11">
        <f>IF(OR($R42="",$R42="-"),"",IF(COUNTIF($R$2:$R42,$R42)=1,1,0))</f>
        <v>0</v>
      </c>
      <c r="W42" s="11" t="str">
        <f>IF(V42=1,SUM($V$2:V42),"")</f>
        <v/>
      </c>
      <c r="X42" s="11" t="str">
        <f t="shared" si="1"/>
        <v>SHOPEE</v>
      </c>
    </row>
    <row r="43" spans="1:24">
      <c r="A43" s="15" t="s">
        <v>79</v>
      </c>
      <c r="B43" s="15" t="s">
        <v>83</v>
      </c>
      <c r="C43" s="15" t="s">
        <v>1645</v>
      </c>
      <c r="D43" s="13">
        <v>46233.669444444444</v>
      </c>
      <c r="E43" s="15" t="s">
        <v>95</v>
      </c>
      <c r="F43" s="15" t="s">
        <v>1646</v>
      </c>
      <c r="G43" s="15" t="s">
        <v>74</v>
      </c>
      <c r="H43" s="15" t="s">
        <v>75</v>
      </c>
      <c r="I43" s="14">
        <v>12000</v>
      </c>
      <c r="J43" s="15" t="s">
        <v>243</v>
      </c>
      <c r="K43" s="15" t="s">
        <v>24</v>
      </c>
      <c r="L43" s="15">
        <v>1</v>
      </c>
      <c r="M43" s="15">
        <v>0.2</v>
      </c>
      <c r="N43" s="15" t="s">
        <v>76</v>
      </c>
      <c r="O43" s="15" t="s">
        <v>76</v>
      </c>
      <c r="P43" s="14">
        <v>450000</v>
      </c>
      <c r="Q43" s="13">
        <v>46233.670138888891</v>
      </c>
      <c r="R43" s="15" t="s">
        <v>138</v>
      </c>
      <c r="S43" s="11" t="str">
        <f t="shared" si="0"/>
        <v>2026-07-30</v>
      </c>
      <c r="T43" s="11">
        <f>IF($E43="","",IF(COUNTIF($E$2:$E43,$E43)=1,1,0))</f>
        <v>0</v>
      </c>
      <c r="U43" s="11" t="str">
        <f>IF(T43=1,SUM($T$2:T43),"")</f>
        <v/>
      </c>
      <c r="V43" s="11">
        <f>IF(OR($R43="",$R43="-"),"",IF(COUNTIF($R$2:$R43,$R43)=1,1,0))</f>
        <v>1</v>
      </c>
      <c r="W43" s="11">
        <f>IF(V43=1,SUM($V$2:V43),"")</f>
        <v>26</v>
      </c>
      <c r="X43" s="11" t="str">
        <f t="shared" si="1"/>
        <v>SHOPEE</v>
      </c>
    </row>
    <row r="44" spans="1:24">
      <c r="A44" s="15" t="s">
        <v>79</v>
      </c>
      <c r="B44" s="15" t="s">
        <v>83</v>
      </c>
      <c r="C44" s="15" t="s">
        <v>1647</v>
      </c>
      <c r="D44" s="13">
        <v>46233.652777777781</v>
      </c>
      <c r="E44" s="15" t="s">
        <v>95</v>
      </c>
      <c r="F44" s="15" t="s">
        <v>1648</v>
      </c>
      <c r="G44" s="15" t="s">
        <v>74</v>
      </c>
      <c r="H44" s="15" t="s">
        <v>75</v>
      </c>
      <c r="I44" s="14">
        <v>60000</v>
      </c>
      <c r="J44" s="15" t="s">
        <v>532</v>
      </c>
      <c r="K44" s="15" t="s">
        <v>24</v>
      </c>
      <c r="L44" s="15">
        <v>10</v>
      </c>
      <c r="M44" s="15">
        <v>5</v>
      </c>
      <c r="N44" s="15" t="s">
        <v>76</v>
      </c>
      <c r="O44" s="15" t="s">
        <v>76</v>
      </c>
      <c r="P44" s="14">
        <v>600000</v>
      </c>
      <c r="Q44" s="13">
        <v>46233.652777777781</v>
      </c>
      <c r="R44" s="15" t="s">
        <v>168</v>
      </c>
      <c r="S44" s="11" t="str">
        <f t="shared" si="0"/>
        <v>2026-07-30</v>
      </c>
      <c r="T44" s="11">
        <f>IF($E44="","",IF(COUNTIF($E$2:$E44,$E44)=1,1,0))</f>
        <v>0</v>
      </c>
      <c r="U44" s="11" t="str">
        <f>IF(T44=1,SUM($T$2:T44),"")</f>
        <v/>
      </c>
      <c r="V44" s="11">
        <f>IF(OR($R44="",$R44="-"),"",IF(COUNTIF($R$2:$R44,$R44)=1,1,0))</f>
        <v>1</v>
      </c>
      <c r="W44" s="11">
        <f>IF(V44=1,SUM($V$2:V44),"")</f>
        <v>27</v>
      </c>
      <c r="X44" s="11" t="str">
        <f t="shared" si="1"/>
        <v>SHOPEE</v>
      </c>
    </row>
    <row r="45" spans="1:24">
      <c r="A45" s="15" t="s">
        <v>79</v>
      </c>
      <c r="B45" s="15" t="s">
        <v>83</v>
      </c>
      <c r="C45" s="15" t="s">
        <v>1649</v>
      </c>
      <c r="D45" s="13">
        <v>46233.652083333334</v>
      </c>
      <c r="E45" s="15" t="s">
        <v>95</v>
      </c>
      <c r="F45" s="15" t="s">
        <v>1650</v>
      </c>
      <c r="G45" s="15" t="s">
        <v>74</v>
      </c>
      <c r="H45" s="15" t="s">
        <v>75</v>
      </c>
      <c r="I45" s="14">
        <v>34000</v>
      </c>
      <c r="J45" s="15" t="s">
        <v>1651</v>
      </c>
      <c r="K45" s="15" t="s">
        <v>24</v>
      </c>
      <c r="L45" s="15">
        <v>4</v>
      </c>
      <c r="M45" s="15">
        <v>2</v>
      </c>
      <c r="N45" s="15" t="s">
        <v>76</v>
      </c>
      <c r="O45" s="15" t="s">
        <v>76</v>
      </c>
      <c r="P45" s="14">
        <v>240000</v>
      </c>
      <c r="Q45" s="13">
        <v>46233.652777777781</v>
      </c>
      <c r="R45" s="15" t="s">
        <v>168</v>
      </c>
      <c r="S45" s="11" t="str">
        <f t="shared" si="0"/>
        <v>2026-07-30</v>
      </c>
      <c r="T45" s="11">
        <f>IF($E45="","",IF(COUNTIF($E$2:$E45,$E45)=1,1,0))</f>
        <v>0</v>
      </c>
      <c r="U45" s="11" t="str">
        <f>IF(T45=1,SUM($T$2:T45),"")</f>
        <v/>
      </c>
      <c r="V45" s="11">
        <f>IF(OR($R45="",$R45="-"),"",IF(COUNTIF($R$2:$R45,$R45)=1,1,0))</f>
        <v>0</v>
      </c>
      <c r="W45" s="11" t="str">
        <f>IF(V45=1,SUM($V$2:V45),"")</f>
        <v/>
      </c>
      <c r="X45" s="11" t="str">
        <f t="shared" si="1"/>
        <v>SHOPEE</v>
      </c>
    </row>
    <row r="46" spans="1:24">
      <c r="A46" s="15" t="s">
        <v>79</v>
      </c>
      <c r="B46" s="15" t="s">
        <v>83</v>
      </c>
      <c r="C46" s="15" t="s">
        <v>1652</v>
      </c>
      <c r="D46" s="13">
        <v>46233.648611111108</v>
      </c>
      <c r="E46" s="15" t="s">
        <v>95</v>
      </c>
      <c r="F46" s="15" t="s">
        <v>1653</v>
      </c>
      <c r="G46" s="15" t="s">
        <v>74</v>
      </c>
      <c r="H46" s="15" t="s">
        <v>75</v>
      </c>
      <c r="I46" s="14">
        <v>24000</v>
      </c>
      <c r="J46" s="15" t="s">
        <v>1654</v>
      </c>
      <c r="K46" s="15" t="s">
        <v>24</v>
      </c>
      <c r="L46" s="15">
        <v>1</v>
      </c>
      <c r="M46" s="15">
        <v>0.3</v>
      </c>
      <c r="N46" s="15" t="s">
        <v>76</v>
      </c>
      <c r="O46" s="15" t="s">
        <v>76</v>
      </c>
      <c r="P46" s="14">
        <v>150000</v>
      </c>
      <c r="Q46" s="13">
        <v>46233.649305555555</v>
      </c>
      <c r="R46" s="15" t="s">
        <v>1655</v>
      </c>
      <c r="S46" s="11" t="str">
        <f t="shared" si="0"/>
        <v>2026-07-30</v>
      </c>
      <c r="T46" s="11">
        <f>IF($E46="","",IF(COUNTIF($E$2:$E46,$E46)=1,1,0))</f>
        <v>0</v>
      </c>
      <c r="U46" s="11" t="str">
        <f>IF(T46=1,SUM($T$2:T46),"")</f>
        <v/>
      </c>
      <c r="V46" s="11">
        <f>IF(OR($R46="",$R46="-"),"",IF(COUNTIF($R$2:$R46,$R46)=1,1,0))</f>
        <v>1</v>
      </c>
      <c r="W46" s="11">
        <f>IF(V46=1,SUM($V$2:V46),"")</f>
        <v>28</v>
      </c>
      <c r="X46" s="11" t="str">
        <f t="shared" si="1"/>
        <v>SHOPEE</v>
      </c>
    </row>
    <row r="47" spans="1:24">
      <c r="A47" s="15" t="s">
        <v>79</v>
      </c>
      <c r="B47" s="15" t="s">
        <v>80</v>
      </c>
      <c r="C47" s="15" t="s">
        <v>1656</v>
      </c>
      <c r="D47" s="13">
        <v>46233.635416666664</v>
      </c>
      <c r="E47" s="15" t="s">
        <v>111</v>
      </c>
      <c r="F47" s="15" t="s">
        <v>1657</v>
      </c>
      <c r="G47" s="15" t="s">
        <v>74</v>
      </c>
      <c r="H47" s="15" t="s">
        <v>75</v>
      </c>
      <c r="I47" s="14">
        <v>21000</v>
      </c>
      <c r="J47" s="15" t="s">
        <v>1029</v>
      </c>
      <c r="K47" s="15" t="s">
        <v>24</v>
      </c>
      <c r="L47" s="15">
        <v>1</v>
      </c>
      <c r="M47" s="15">
        <v>0.48</v>
      </c>
      <c r="N47" s="15" t="s">
        <v>76</v>
      </c>
      <c r="O47" s="15" t="s">
        <v>76</v>
      </c>
      <c r="P47" s="14">
        <v>229900</v>
      </c>
      <c r="Q47" s="13">
        <v>46233.635416666664</v>
      </c>
      <c r="R47" s="15" t="s">
        <v>428</v>
      </c>
      <c r="S47" s="11" t="str">
        <f t="shared" si="0"/>
        <v>2026-07-30</v>
      </c>
      <c r="T47" s="11">
        <f>IF($E47="","",IF(COUNTIF($E$2:$E47,$E47)=1,1,0))</f>
        <v>0</v>
      </c>
      <c r="U47" s="11" t="str">
        <f>IF(T47=1,SUM($T$2:T47),"")</f>
        <v/>
      </c>
      <c r="V47" s="11">
        <f>IF(OR($R47="",$R47="-"),"",IF(COUNTIF($R$2:$R47,$R47)=1,1,0))</f>
        <v>1</v>
      </c>
      <c r="W47" s="11">
        <f>IF(V47=1,SUM($V$2:V47),"")</f>
        <v>29</v>
      </c>
      <c r="X47" s="11" t="str">
        <f t="shared" si="1"/>
        <v>SHOPEE</v>
      </c>
    </row>
    <row r="48" spans="1:24">
      <c r="A48" s="15" t="s">
        <v>79</v>
      </c>
      <c r="B48" s="15" t="s">
        <v>80</v>
      </c>
      <c r="C48" s="15" t="s">
        <v>1658</v>
      </c>
      <c r="D48" s="13">
        <v>46233.623611111114</v>
      </c>
      <c r="E48" s="15" t="s">
        <v>95</v>
      </c>
      <c r="F48" s="15" t="s">
        <v>1659</v>
      </c>
      <c r="G48" s="15" t="s">
        <v>74</v>
      </c>
      <c r="H48" s="15" t="s">
        <v>75</v>
      </c>
      <c r="I48" s="14">
        <v>32000</v>
      </c>
      <c r="J48" s="15" t="s">
        <v>842</v>
      </c>
      <c r="K48" s="15" t="s">
        <v>24</v>
      </c>
      <c r="L48" s="15">
        <v>5</v>
      </c>
      <c r="M48" s="15">
        <v>1.5</v>
      </c>
      <c r="N48" s="15" t="s">
        <v>76</v>
      </c>
      <c r="O48" s="15" t="s">
        <v>76</v>
      </c>
      <c r="P48" s="14">
        <v>161125</v>
      </c>
      <c r="Q48" s="13">
        <v>46233.623611111114</v>
      </c>
      <c r="R48" s="15" t="s">
        <v>1058</v>
      </c>
      <c r="S48" s="11" t="str">
        <f t="shared" si="0"/>
        <v>2026-07-30</v>
      </c>
      <c r="T48" s="11">
        <f>IF($E48="","",IF(COUNTIF($E$2:$E48,$E48)=1,1,0))</f>
        <v>0</v>
      </c>
      <c r="U48" s="11" t="str">
        <f>IF(T48=1,SUM($T$2:T48),"")</f>
        <v/>
      </c>
      <c r="V48" s="11">
        <f>IF(OR($R48="",$R48="-"),"",IF(COUNTIF($R$2:$R48,$R48)=1,1,0))</f>
        <v>1</v>
      </c>
      <c r="W48" s="11">
        <f>IF(V48=1,SUM($V$2:V48),"")</f>
        <v>30</v>
      </c>
      <c r="X48" s="11" t="str">
        <f t="shared" si="1"/>
        <v>SHOPEE</v>
      </c>
    </row>
    <row r="49" spans="1:24">
      <c r="A49" s="15" t="s">
        <v>79</v>
      </c>
      <c r="B49" s="15" t="s">
        <v>83</v>
      </c>
      <c r="C49" s="15" t="s">
        <v>1660</v>
      </c>
      <c r="D49" s="13">
        <v>46233.613888888889</v>
      </c>
      <c r="E49" s="15" t="s">
        <v>95</v>
      </c>
      <c r="F49" s="15" t="s">
        <v>1661</v>
      </c>
      <c r="G49" s="15" t="s">
        <v>74</v>
      </c>
      <c r="H49" s="15" t="s">
        <v>75</v>
      </c>
      <c r="I49" s="14">
        <v>12000</v>
      </c>
      <c r="J49" s="15" t="s">
        <v>337</v>
      </c>
      <c r="K49" s="15" t="s">
        <v>24</v>
      </c>
      <c r="L49" s="15">
        <v>1</v>
      </c>
      <c r="M49" s="15">
        <v>0.01</v>
      </c>
      <c r="N49" s="15" t="s">
        <v>76</v>
      </c>
      <c r="O49" s="15" t="s">
        <v>76</v>
      </c>
      <c r="P49" s="14">
        <v>110000</v>
      </c>
      <c r="Q49" s="13">
        <v>46233.615972222222</v>
      </c>
      <c r="R49" s="15" t="s">
        <v>1662</v>
      </c>
      <c r="S49" s="11" t="str">
        <f t="shared" si="0"/>
        <v>2026-07-30</v>
      </c>
      <c r="T49" s="11">
        <f>IF($E49="","",IF(COUNTIF($E$2:$E49,$E49)=1,1,0))</f>
        <v>0</v>
      </c>
      <c r="U49" s="11" t="str">
        <f>IF(T49=1,SUM($T$2:T49),"")</f>
        <v/>
      </c>
      <c r="V49" s="11">
        <f>IF(OR($R49="",$R49="-"),"",IF(COUNTIF($R$2:$R49,$R49)=1,1,0))</f>
        <v>1</v>
      </c>
      <c r="W49" s="11">
        <f>IF(V49=1,SUM($V$2:V49),"")</f>
        <v>31</v>
      </c>
      <c r="X49" s="11" t="str">
        <f t="shared" si="1"/>
        <v>SHOPEE</v>
      </c>
    </row>
    <row r="50" spans="1:24">
      <c r="A50" s="15" t="s">
        <v>79</v>
      </c>
      <c r="B50" s="15" t="s">
        <v>83</v>
      </c>
      <c r="C50" s="15" t="s">
        <v>1663</v>
      </c>
      <c r="D50" s="13">
        <v>46233.580555555556</v>
      </c>
      <c r="E50" s="15" t="s">
        <v>95</v>
      </c>
      <c r="F50" s="15" t="s">
        <v>1664</v>
      </c>
      <c r="G50" s="15" t="s">
        <v>74</v>
      </c>
      <c r="H50" s="15" t="s">
        <v>75</v>
      </c>
      <c r="I50" s="14">
        <v>17000</v>
      </c>
      <c r="J50" s="15" t="s">
        <v>1665</v>
      </c>
      <c r="K50" s="15" t="s">
        <v>24</v>
      </c>
      <c r="L50" s="15">
        <v>1</v>
      </c>
      <c r="M50" s="15">
        <v>0.01</v>
      </c>
      <c r="N50" s="15" t="s">
        <v>76</v>
      </c>
      <c r="O50" s="15" t="s">
        <v>76</v>
      </c>
      <c r="P50" s="14">
        <v>2940</v>
      </c>
      <c r="Q50" s="13">
        <v>46233.584027777775</v>
      </c>
      <c r="R50" s="15" t="s">
        <v>1666</v>
      </c>
      <c r="S50" s="11" t="str">
        <f t="shared" si="0"/>
        <v>2026-07-30</v>
      </c>
      <c r="T50" s="11">
        <f>IF($E50="","",IF(COUNTIF($E$2:$E50,$E50)=1,1,0))</f>
        <v>0</v>
      </c>
      <c r="U50" s="11" t="str">
        <f>IF(T50=1,SUM($T$2:T50),"")</f>
        <v/>
      </c>
      <c r="V50" s="11">
        <f>IF(OR($R50="",$R50="-"),"",IF(COUNTIF($R$2:$R50,$R50)=1,1,0))</f>
        <v>1</v>
      </c>
      <c r="W50" s="11">
        <f>IF(V50=1,SUM($V$2:V50),"")</f>
        <v>32</v>
      </c>
      <c r="X50" s="11" t="str">
        <f t="shared" si="1"/>
        <v>SHOPEE</v>
      </c>
    </row>
    <row r="51" spans="1:24">
      <c r="A51" s="15" t="s">
        <v>79</v>
      </c>
      <c r="B51" s="15" t="s">
        <v>83</v>
      </c>
      <c r="C51" s="15" t="s">
        <v>1663</v>
      </c>
      <c r="D51" s="13">
        <v>46233.580555555556</v>
      </c>
      <c r="E51" s="15" t="s">
        <v>95</v>
      </c>
      <c r="F51" s="15" t="s">
        <v>1667</v>
      </c>
      <c r="G51" s="15" t="s">
        <v>74</v>
      </c>
      <c r="H51" s="15" t="s">
        <v>75</v>
      </c>
      <c r="I51" s="14">
        <v>24000</v>
      </c>
      <c r="J51" s="15" t="s">
        <v>1668</v>
      </c>
      <c r="K51" s="15" t="s">
        <v>24</v>
      </c>
      <c r="L51" s="15">
        <v>1</v>
      </c>
      <c r="M51" s="15">
        <v>0.02</v>
      </c>
      <c r="N51" s="15" t="s">
        <v>76</v>
      </c>
      <c r="O51" s="15" t="s">
        <v>76</v>
      </c>
      <c r="P51" s="14">
        <v>2940</v>
      </c>
      <c r="Q51" s="13">
        <v>46233.584027777775</v>
      </c>
      <c r="R51" s="15" t="s">
        <v>1666</v>
      </c>
      <c r="S51" s="11" t="str">
        <f t="shared" si="0"/>
        <v>2026-07-30</v>
      </c>
      <c r="T51" s="11">
        <f>IF($E51="","",IF(COUNTIF($E$2:$E51,$E51)=1,1,0))</f>
        <v>0</v>
      </c>
      <c r="U51" s="11" t="str">
        <f>IF(T51=1,SUM($T$2:T51),"")</f>
        <v/>
      </c>
      <c r="V51" s="11">
        <f>IF(OR($R51="",$R51="-"),"",IF(COUNTIF($R$2:$R51,$R51)=1,1,0))</f>
        <v>0</v>
      </c>
      <c r="W51" s="11" t="str">
        <f>IF(V51=1,SUM($V$2:V51),"")</f>
        <v/>
      </c>
      <c r="X51" s="11" t="str">
        <f t="shared" si="1"/>
        <v>SHOPEE</v>
      </c>
    </row>
    <row r="52" spans="1:24">
      <c r="A52" s="15" t="s">
        <v>79</v>
      </c>
      <c r="B52" s="15" t="s">
        <v>80</v>
      </c>
      <c r="C52" s="15" t="s">
        <v>1669</v>
      </c>
      <c r="D52" s="13">
        <v>46233.537499999999</v>
      </c>
      <c r="E52" s="15" t="s">
        <v>111</v>
      </c>
      <c r="F52" s="15" t="s">
        <v>1670</v>
      </c>
      <c r="G52" s="15" t="s">
        <v>74</v>
      </c>
      <c r="H52" s="15" t="s">
        <v>75</v>
      </c>
      <c r="I52" s="14">
        <v>12000</v>
      </c>
      <c r="J52" s="15" t="s">
        <v>879</v>
      </c>
      <c r="K52" s="15" t="s">
        <v>24</v>
      </c>
      <c r="L52" s="15">
        <v>1</v>
      </c>
      <c r="M52" s="15">
        <v>0.05</v>
      </c>
      <c r="N52" s="15" t="s">
        <v>76</v>
      </c>
      <c r="O52" s="15" t="s">
        <v>76</v>
      </c>
      <c r="P52" s="14">
        <v>6614</v>
      </c>
      <c r="Q52" s="13">
        <v>46233.537499999999</v>
      </c>
      <c r="R52" s="15" t="s">
        <v>127</v>
      </c>
      <c r="S52" s="11" t="str">
        <f t="shared" si="0"/>
        <v>2026-07-30</v>
      </c>
      <c r="T52" s="11">
        <f>IF($E52="","",IF(COUNTIF($E$2:$E52,$E52)=1,1,0))</f>
        <v>0</v>
      </c>
      <c r="U52" s="11" t="str">
        <f>IF(T52=1,SUM($T$2:T52),"")</f>
        <v/>
      </c>
      <c r="V52" s="11">
        <f>IF(OR($R52="",$R52="-"),"",IF(COUNTIF($R$2:$R52,$R52)=1,1,0))</f>
        <v>1</v>
      </c>
      <c r="W52" s="11">
        <f>IF(V52=1,SUM($V$2:V52),"")</f>
        <v>33</v>
      </c>
      <c r="X52" s="11" t="str">
        <f t="shared" si="1"/>
        <v>SHOPEE</v>
      </c>
    </row>
    <row r="53" spans="1:24">
      <c r="A53" s="15" t="s">
        <v>79</v>
      </c>
      <c r="B53" s="15" t="s">
        <v>83</v>
      </c>
      <c r="C53" s="15" t="s">
        <v>1671</v>
      </c>
      <c r="D53" s="13">
        <v>46233.53125</v>
      </c>
      <c r="E53" s="15" t="s">
        <v>95</v>
      </c>
      <c r="F53" s="15" t="s">
        <v>1672</v>
      </c>
      <c r="G53" s="15" t="s">
        <v>74</v>
      </c>
      <c r="H53" s="15" t="s">
        <v>75</v>
      </c>
      <c r="I53" s="14">
        <v>25000</v>
      </c>
      <c r="J53" s="15" t="s">
        <v>1673</v>
      </c>
      <c r="K53" s="15" t="s">
        <v>27</v>
      </c>
      <c r="L53" s="15">
        <v>1</v>
      </c>
      <c r="M53" s="15">
        <v>0.14000000000000001</v>
      </c>
      <c r="N53" s="15" t="s">
        <v>76</v>
      </c>
      <c r="O53" s="15" t="s">
        <v>76</v>
      </c>
      <c r="P53" s="14">
        <v>135400</v>
      </c>
      <c r="Q53" s="13">
        <v>46233.53125</v>
      </c>
      <c r="R53" s="15" t="s">
        <v>1674</v>
      </c>
      <c r="S53" s="11" t="str">
        <f t="shared" si="0"/>
        <v>2026-07-30</v>
      </c>
      <c r="T53" s="11">
        <f>IF($E53="","",IF(COUNTIF($E$2:$E53,$E53)=1,1,0))</f>
        <v>0</v>
      </c>
      <c r="U53" s="11" t="str">
        <f>IF(T53=1,SUM($T$2:T53),"")</f>
        <v/>
      </c>
      <c r="V53" s="11">
        <f>IF(OR($R53="",$R53="-"),"",IF(COUNTIF($R$2:$R53,$R53)=1,1,0))</f>
        <v>1</v>
      </c>
      <c r="W53" s="11">
        <f>IF(V53=1,SUM($V$2:V53),"")</f>
        <v>34</v>
      </c>
      <c r="X53" s="11" t="str">
        <f t="shared" si="1"/>
        <v>SHOPEE</v>
      </c>
    </row>
    <row r="54" spans="1:24">
      <c r="A54" s="15" t="s">
        <v>79</v>
      </c>
      <c r="B54" s="15" t="s">
        <v>83</v>
      </c>
      <c r="C54" s="15" t="s">
        <v>1675</v>
      </c>
      <c r="D54" s="13">
        <v>46233.511111111111</v>
      </c>
      <c r="E54" s="15" t="s">
        <v>95</v>
      </c>
      <c r="F54" s="15" t="s">
        <v>1676</v>
      </c>
      <c r="G54" s="15" t="s">
        <v>74</v>
      </c>
      <c r="H54" s="15" t="s">
        <v>75</v>
      </c>
      <c r="I54" s="14">
        <v>10000</v>
      </c>
      <c r="J54" s="15" t="s">
        <v>1677</v>
      </c>
      <c r="K54" s="15" t="s">
        <v>30</v>
      </c>
      <c r="L54" s="15">
        <v>1</v>
      </c>
      <c r="M54" s="15">
        <v>0.57999999999999996</v>
      </c>
      <c r="N54" s="15" t="s">
        <v>76</v>
      </c>
      <c r="O54" s="15" t="s">
        <v>76</v>
      </c>
      <c r="P54" s="14">
        <v>162500</v>
      </c>
      <c r="Q54" s="13">
        <v>46233.511111111111</v>
      </c>
      <c r="R54" s="15" t="s">
        <v>1678</v>
      </c>
      <c r="S54" s="11" t="str">
        <f t="shared" si="0"/>
        <v>2026-07-30</v>
      </c>
      <c r="T54" s="11">
        <f>IF($E54="","",IF(COUNTIF($E$2:$E54,$E54)=1,1,0))</f>
        <v>0</v>
      </c>
      <c r="U54" s="11" t="str">
        <f>IF(T54=1,SUM($T$2:T54),"")</f>
        <v/>
      </c>
      <c r="V54" s="11">
        <f>IF(OR($R54="",$R54="-"),"",IF(COUNTIF($R$2:$R54,$R54)=1,1,0))</f>
        <v>1</v>
      </c>
      <c r="W54" s="11">
        <f>IF(V54=1,SUM($V$2:V54),"")</f>
        <v>35</v>
      </c>
      <c r="X54" s="11" t="str">
        <f t="shared" si="1"/>
        <v>SHOPEE</v>
      </c>
    </row>
    <row r="55" spans="1:24">
      <c r="A55" s="15" t="s">
        <v>1679</v>
      </c>
      <c r="B55" s="15" t="s">
        <v>191</v>
      </c>
      <c r="C55" s="15" t="s">
        <v>1680</v>
      </c>
      <c r="D55" s="13">
        <v>46233.4</v>
      </c>
      <c r="E55" s="15" t="s">
        <v>265</v>
      </c>
      <c r="F55" s="15" t="s">
        <v>1681</v>
      </c>
      <c r="G55" s="15" t="s">
        <v>74</v>
      </c>
      <c r="H55" s="15" t="s">
        <v>75</v>
      </c>
      <c r="I55" s="14">
        <v>12000</v>
      </c>
      <c r="J55" s="15" t="s">
        <v>1682</v>
      </c>
      <c r="K55" s="15" t="s">
        <v>24</v>
      </c>
      <c r="L55" s="15">
        <v>1</v>
      </c>
      <c r="M55" s="15">
        <v>0.6</v>
      </c>
      <c r="N55" s="15" t="s">
        <v>76</v>
      </c>
      <c r="O55" s="15" t="s">
        <v>76</v>
      </c>
      <c r="P55" s="14">
        <v>120000</v>
      </c>
      <c r="Q55" s="13">
        <v>46233.400694444441</v>
      </c>
      <c r="R55" s="15" t="s">
        <v>1683</v>
      </c>
      <c r="S55" s="11" t="str">
        <f t="shared" si="0"/>
        <v>2026-07-30</v>
      </c>
      <c r="T55" s="11">
        <f>IF($E55="","",IF(COUNTIF($E$2:$E55,$E55)=1,1,0))</f>
        <v>1</v>
      </c>
      <c r="U55" s="11">
        <f>IF(T55=1,SUM($T$2:T55),"")</f>
        <v>4</v>
      </c>
      <c r="V55" s="11">
        <f>IF(OR($R55="",$R55="-"),"",IF(COUNTIF($R$2:$R55,$R55)=1,1,0))</f>
        <v>1</v>
      </c>
      <c r="W55" s="11">
        <f>IF(V55=1,SUM($V$2:V55),"")</f>
        <v>36</v>
      </c>
      <c r="X55" s="11" t="str">
        <f t="shared" si="1"/>
        <v>TOKGISTIC</v>
      </c>
    </row>
    <row r="56" spans="1:24">
      <c r="A56" s="15" t="s">
        <v>79</v>
      </c>
      <c r="B56" s="15" t="s">
        <v>80</v>
      </c>
      <c r="C56" s="15" t="s">
        <v>1684</v>
      </c>
      <c r="D56" s="13">
        <v>46233.37777777778</v>
      </c>
      <c r="E56" s="15" t="s">
        <v>265</v>
      </c>
      <c r="F56" s="15" t="s">
        <v>1685</v>
      </c>
      <c r="G56" s="15" t="s">
        <v>74</v>
      </c>
      <c r="H56" s="15" t="s">
        <v>75</v>
      </c>
      <c r="I56" s="14">
        <v>12000</v>
      </c>
      <c r="J56" s="15" t="s">
        <v>172</v>
      </c>
      <c r="K56" s="15" t="s">
        <v>24</v>
      </c>
      <c r="L56" s="15">
        <v>1</v>
      </c>
      <c r="M56" s="15">
        <v>0.35</v>
      </c>
      <c r="N56" s="15" t="s">
        <v>76</v>
      </c>
      <c r="O56" s="15" t="s">
        <v>76</v>
      </c>
      <c r="P56" s="14">
        <v>119000</v>
      </c>
      <c r="Q56" s="13">
        <v>46233.37777777778</v>
      </c>
      <c r="R56" s="15" t="s">
        <v>1598</v>
      </c>
      <c r="S56" s="11" t="str">
        <f t="shared" si="0"/>
        <v>2026-07-30</v>
      </c>
      <c r="T56" s="11">
        <f>IF($E56="","",IF(COUNTIF($E$2:$E56,$E56)=1,1,0))</f>
        <v>0</v>
      </c>
      <c r="U56" s="11" t="str">
        <f>IF(T56=1,SUM($T$2:T56),"")</f>
        <v/>
      </c>
      <c r="V56" s="11">
        <f>IF(OR($R56="",$R56="-"),"",IF(COUNTIF($R$2:$R56,$R56)=1,1,0))</f>
        <v>0</v>
      </c>
      <c r="W56" s="11" t="str">
        <f>IF(V56=1,SUM($V$2:V56),"")</f>
        <v/>
      </c>
      <c r="X56" s="11" t="str">
        <f t="shared" si="1"/>
        <v>SHOPEE</v>
      </c>
    </row>
    <row r="57" spans="1:24">
      <c r="A57" s="15" t="s">
        <v>79</v>
      </c>
      <c r="B57" s="15" t="s">
        <v>80</v>
      </c>
      <c r="C57" s="15" t="s">
        <v>1684</v>
      </c>
      <c r="D57" s="13">
        <v>46233.37777777778</v>
      </c>
      <c r="E57" s="15" t="s">
        <v>265</v>
      </c>
      <c r="F57" s="15" t="s">
        <v>1686</v>
      </c>
      <c r="G57" s="15" t="s">
        <v>74</v>
      </c>
      <c r="H57" s="15" t="s">
        <v>75</v>
      </c>
      <c r="I57" s="14">
        <v>12000</v>
      </c>
      <c r="J57" s="15" t="s">
        <v>97</v>
      </c>
      <c r="K57" s="15" t="s">
        <v>24</v>
      </c>
      <c r="L57" s="15">
        <v>1</v>
      </c>
      <c r="M57" s="15">
        <v>0.73</v>
      </c>
      <c r="N57" s="15" t="s">
        <v>76</v>
      </c>
      <c r="O57" s="15" t="s">
        <v>76</v>
      </c>
      <c r="P57" s="14">
        <v>218800</v>
      </c>
      <c r="Q57" s="13">
        <v>46233.37777777778</v>
      </c>
      <c r="R57" s="15" t="s">
        <v>1598</v>
      </c>
      <c r="S57" s="11" t="str">
        <f t="shared" si="0"/>
        <v>2026-07-30</v>
      </c>
      <c r="T57" s="11">
        <f>IF($E57="","",IF(COUNTIF($E$2:$E57,$E57)=1,1,0))</f>
        <v>0</v>
      </c>
      <c r="U57" s="11" t="str">
        <f>IF(T57=1,SUM($T$2:T57),"")</f>
        <v/>
      </c>
      <c r="V57" s="11">
        <f>IF(OR($R57="",$R57="-"),"",IF(COUNTIF($R$2:$R57,$R57)=1,1,0))</f>
        <v>0</v>
      </c>
      <c r="W57" s="11" t="str">
        <f>IF(V57=1,SUM($V$2:V57),"")</f>
        <v/>
      </c>
      <c r="X57" s="11" t="str">
        <f t="shared" si="1"/>
        <v>SHOPEE</v>
      </c>
    </row>
    <row r="58" spans="1:24">
      <c r="A58" s="15" t="s">
        <v>79</v>
      </c>
      <c r="B58" s="15" t="s">
        <v>80</v>
      </c>
      <c r="C58" s="15" t="s">
        <v>1684</v>
      </c>
      <c r="D58" s="13">
        <v>46233.37777777778</v>
      </c>
      <c r="E58" s="15" t="s">
        <v>265</v>
      </c>
      <c r="F58" s="15" t="s">
        <v>1687</v>
      </c>
      <c r="G58" s="15" t="s">
        <v>74</v>
      </c>
      <c r="H58" s="15" t="s">
        <v>75</v>
      </c>
      <c r="I58" s="14">
        <v>14000</v>
      </c>
      <c r="J58" s="15" t="s">
        <v>1688</v>
      </c>
      <c r="K58" s="15" t="s">
        <v>24</v>
      </c>
      <c r="L58" s="15">
        <v>1</v>
      </c>
      <c r="M58" s="15">
        <v>0.3</v>
      </c>
      <c r="N58" s="15" t="s">
        <v>76</v>
      </c>
      <c r="O58" s="15" t="s">
        <v>76</v>
      </c>
      <c r="P58" s="14">
        <v>168500</v>
      </c>
      <c r="Q58" s="13">
        <v>46233.37777777778</v>
      </c>
      <c r="R58" s="15" t="s">
        <v>1598</v>
      </c>
      <c r="S58" s="11" t="str">
        <f t="shared" si="0"/>
        <v>2026-07-30</v>
      </c>
      <c r="T58" s="11">
        <f>IF($E58="","",IF(COUNTIF($E$2:$E58,$E58)=1,1,0))</f>
        <v>0</v>
      </c>
      <c r="U58" s="11" t="str">
        <f>IF(T58=1,SUM($T$2:T58),"")</f>
        <v/>
      </c>
      <c r="V58" s="11">
        <f>IF(OR($R58="",$R58="-"),"",IF(COUNTIF($R$2:$R58,$R58)=1,1,0))</f>
        <v>0</v>
      </c>
      <c r="W58" s="11" t="str">
        <f>IF(V58=1,SUM($V$2:V58),"")</f>
        <v/>
      </c>
      <c r="X58" s="11" t="str">
        <f t="shared" si="1"/>
        <v>SHOPEE</v>
      </c>
    </row>
    <row r="59" spans="1:24">
      <c r="A59" s="15" t="s">
        <v>779</v>
      </c>
      <c r="B59" s="15" t="s">
        <v>116</v>
      </c>
      <c r="C59" s="15" t="s">
        <v>1689</v>
      </c>
      <c r="D59" s="13">
        <v>46233.339583333334</v>
      </c>
      <c r="E59" s="15" t="s">
        <v>265</v>
      </c>
      <c r="F59" s="15" t="s">
        <v>1690</v>
      </c>
      <c r="G59" s="15" t="s">
        <v>74</v>
      </c>
      <c r="H59" s="15" t="s">
        <v>75</v>
      </c>
      <c r="I59" s="14">
        <v>27000</v>
      </c>
      <c r="J59" s="15" t="s">
        <v>81</v>
      </c>
      <c r="K59" s="15" t="s">
        <v>26</v>
      </c>
      <c r="L59" s="15">
        <v>5</v>
      </c>
      <c r="M59" s="15">
        <v>5</v>
      </c>
      <c r="N59" s="15" t="s">
        <v>76</v>
      </c>
      <c r="O59" s="15" t="s">
        <v>76</v>
      </c>
      <c r="P59" s="14">
        <v>124995</v>
      </c>
      <c r="Q59" s="13">
        <v>46233.339583333334</v>
      </c>
      <c r="R59" s="15" t="s">
        <v>779</v>
      </c>
      <c r="S59" s="11" t="str">
        <f t="shared" si="0"/>
        <v>2026-07-30</v>
      </c>
      <c r="T59" s="11">
        <f>IF($E59="","",IF(COUNTIF($E$2:$E59,$E59)=1,1,0))</f>
        <v>0</v>
      </c>
      <c r="U59" s="11" t="str">
        <f>IF(T59=1,SUM($T$2:T59),"")</f>
        <v/>
      </c>
      <c r="V59" s="11">
        <f>IF(OR($R59="",$R59="-"),"",IF(COUNTIF($R$2:$R59,$R59)=1,1,0))</f>
        <v>1</v>
      </c>
      <c r="W59" s="11">
        <f>IF(V59=1,SUM($V$2:V59),"")</f>
        <v>37</v>
      </c>
      <c r="X59" s="11" t="str">
        <f t="shared" si="1"/>
        <v>SHOPEE</v>
      </c>
    </row>
    <row r="60" spans="1:24">
      <c r="A60" s="15" t="s">
        <v>79</v>
      </c>
      <c r="B60" s="15" t="s">
        <v>80</v>
      </c>
      <c r="C60" s="15" t="s">
        <v>1691</v>
      </c>
      <c r="D60" s="13">
        <v>46232.873611111114</v>
      </c>
      <c r="E60" s="15" t="s">
        <v>265</v>
      </c>
      <c r="F60" s="15" t="s">
        <v>1692</v>
      </c>
      <c r="G60" s="15" t="s">
        <v>74</v>
      </c>
      <c r="H60" s="15" t="s">
        <v>75</v>
      </c>
      <c r="I60" s="14">
        <v>12000</v>
      </c>
      <c r="J60" s="15" t="s">
        <v>1351</v>
      </c>
      <c r="K60" s="15" t="s">
        <v>24</v>
      </c>
      <c r="L60" s="15">
        <v>1</v>
      </c>
      <c r="M60" s="15">
        <v>0.38</v>
      </c>
      <c r="N60" s="15" t="s">
        <v>76</v>
      </c>
      <c r="O60" s="15" t="s">
        <v>76</v>
      </c>
      <c r="P60" s="14">
        <v>33000</v>
      </c>
      <c r="Q60" s="13">
        <v>46232.873611111114</v>
      </c>
      <c r="R60" s="15" t="s">
        <v>1693</v>
      </c>
      <c r="S60" s="11" t="str">
        <f t="shared" si="0"/>
        <v>2026-07-29</v>
      </c>
      <c r="T60" s="11">
        <f>IF($E60="","",IF(COUNTIF($E$2:$E60,$E60)=1,1,0))</f>
        <v>0</v>
      </c>
      <c r="U60" s="11" t="str">
        <f>IF(T60=1,SUM($T$2:T60),"")</f>
        <v/>
      </c>
      <c r="V60" s="11">
        <f>IF(OR($R60="",$R60="-"),"",IF(COUNTIF($R$2:$R60,$R60)=1,1,0))</f>
        <v>1</v>
      </c>
      <c r="W60" s="11">
        <f>IF(V60=1,SUM($V$2:V60),"")</f>
        <v>38</v>
      </c>
      <c r="X60" s="11" t="str">
        <f t="shared" si="1"/>
        <v>SHOPEE</v>
      </c>
    </row>
    <row r="61" spans="1:24">
      <c r="A61" s="15" t="s">
        <v>79</v>
      </c>
      <c r="B61" s="15" t="s">
        <v>83</v>
      </c>
      <c r="C61" s="15" t="s">
        <v>1694</v>
      </c>
      <c r="D61" s="13">
        <v>46232.797222222223</v>
      </c>
      <c r="E61" s="15" t="s">
        <v>111</v>
      </c>
      <c r="F61" s="15" t="s">
        <v>1695</v>
      </c>
      <c r="G61" s="15" t="s">
        <v>74</v>
      </c>
      <c r="H61" s="15" t="s">
        <v>75</v>
      </c>
      <c r="I61" s="14">
        <v>72000</v>
      </c>
      <c r="J61" s="15" t="s">
        <v>1696</v>
      </c>
      <c r="K61" s="15" t="s">
        <v>24</v>
      </c>
      <c r="L61" s="15">
        <v>50</v>
      </c>
      <c r="M61" s="15">
        <v>2.86</v>
      </c>
      <c r="N61" s="15" t="s">
        <v>76</v>
      </c>
      <c r="O61" s="15" t="s">
        <v>76</v>
      </c>
      <c r="P61" s="14">
        <v>47500</v>
      </c>
      <c r="Q61" s="13">
        <v>46232.797222222223</v>
      </c>
      <c r="R61" s="15" t="s">
        <v>133</v>
      </c>
      <c r="S61" s="11" t="str">
        <f t="shared" si="0"/>
        <v>2026-07-29</v>
      </c>
      <c r="T61" s="11">
        <f>IF($E61="","",IF(COUNTIF($E$2:$E61,$E61)=1,1,0))</f>
        <v>0</v>
      </c>
      <c r="U61" s="11" t="str">
        <f>IF(T61=1,SUM($T$2:T61),"")</f>
        <v/>
      </c>
      <c r="V61" s="11">
        <f>IF(OR($R61="",$R61="-"),"",IF(COUNTIF($R$2:$R61,$R61)=1,1,0))</f>
        <v>1</v>
      </c>
      <c r="W61" s="11">
        <f>IF(V61=1,SUM($V$2:V61),"")</f>
        <v>39</v>
      </c>
      <c r="X61" s="11" t="str">
        <f t="shared" si="1"/>
        <v>SHOPEE</v>
      </c>
    </row>
    <row r="62" spans="1:24">
      <c r="A62" s="15" t="s">
        <v>79</v>
      </c>
      <c r="B62" s="15" t="s">
        <v>83</v>
      </c>
      <c r="C62" s="15" t="s">
        <v>1694</v>
      </c>
      <c r="D62" s="13">
        <v>46232.797222222223</v>
      </c>
      <c r="E62" s="15" t="s">
        <v>111</v>
      </c>
      <c r="F62" s="15" t="s">
        <v>1697</v>
      </c>
      <c r="G62" s="15" t="s">
        <v>74</v>
      </c>
      <c r="H62" s="15" t="s">
        <v>75</v>
      </c>
      <c r="I62" s="14">
        <v>85500</v>
      </c>
      <c r="J62" s="15" t="s">
        <v>101</v>
      </c>
      <c r="K62" s="15" t="s">
        <v>26</v>
      </c>
      <c r="L62" s="15">
        <v>1</v>
      </c>
      <c r="M62" s="15">
        <v>17.61</v>
      </c>
      <c r="N62" s="15" t="s">
        <v>76</v>
      </c>
      <c r="O62" s="15" t="s">
        <v>76</v>
      </c>
      <c r="P62" s="14">
        <v>99900</v>
      </c>
      <c r="Q62" s="13">
        <v>46232.797222222223</v>
      </c>
      <c r="R62" s="15" t="s">
        <v>102</v>
      </c>
      <c r="S62" s="11" t="str">
        <f t="shared" si="0"/>
        <v>2026-07-29</v>
      </c>
      <c r="T62" s="11">
        <f>IF($E62="","",IF(COUNTIF($E$2:$E62,$E62)=1,1,0))</f>
        <v>0</v>
      </c>
      <c r="U62" s="11" t="str">
        <f>IF(T62=1,SUM($T$2:T62),"")</f>
        <v/>
      </c>
      <c r="V62" s="11">
        <f>IF(OR($R62="",$R62="-"),"",IF(COUNTIF($R$2:$R62,$R62)=1,1,0))</f>
        <v>0</v>
      </c>
      <c r="W62" s="11" t="str">
        <f>IF(V62=1,SUM($V$2:V62),"")</f>
        <v/>
      </c>
      <c r="X62" s="11" t="str">
        <f t="shared" si="1"/>
        <v>SHOPEE</v>
      </c>
    </row>
    <row r="63" spans="1:24">
      <c r="A63" s="15" t="s">
        <v>79</v>
      </c>
      <c r="B63" s="15" t="s">
        <v>83</v>
      </c>
      <c r="C63" s="15" t="s">
        <v>1698</v>
      </c>
      <c r="D63" s="13">
        <v>46232.748611111114</v>
      </c>
      <c r="E63" s="15" t="s">
        <v>111</v>
      </c>
      <c r="F63" s="15" t="s">
        <v>1699</v>
      </c>
      <c r="G63" s="15" t="s">
        <v>74</v>
      </c>
      <c r="H63" s="15" t="s">
        <v>75</v>
      </c>
      <c r="I63" s="14">
        <v>45000</v>
      </c>
      <c r="J63" s="15" t="s">
        <v>1700</v>
      </c>
      <c r="K63" s="15" t="s">
        <v>24</v>
      </c>
      <c r="L63" s="15">
        <v>1</v>
      </c>
      <c r="M63" s="15">
        <v>1</v>
      </c>
      <c r="N63" s="15" t="s">
        <v>76</v>
      </c>
      <c r="O63" s="15" t="s">
        <v>76</v>
      </c>
      <c r="P63" s="14">
        <v>2580000</v>
      </c>
      <c r="Q63" s="13">
        <v>46232.748611111114</v>
      </c>
      <c r="R63" s="15" t="s">
        <v>86</v>
      </c>
      <c r="S63" s="11" t="str">
        <f t="shared" si="0"/>
        <v>2026-07-29</v>
      </c>
      <c r="T63" s="11">
        <f>IF($E63="","",IF(COUNTIF($E$2:$E63,$E63)=1,1,0))</f>
        <v>0</v>
      </c>
      <c r="U63" s="11" t="str">
        <f>IF(T63=1,SUM($T$2:T63),"")</f>
        <v/>
      </c>
      <c r="V63" s="11">
        <f>IF(OR($R63="",$R63="-"),"",IF(COUNTIF($R$2:$R63,$R63)=1,1,0))</f>
        <v>1</v>
      </c>
      <c r="W63" s="11">
        <f>IF(V63=1,SUM($V$2:V63),"")</f>
        <v>40</v>
      </c>
      <c r="X63" s="11" t="str">
        <f t="shared" si="1"/>
        <v>SHOPEE</v>
      </c>
    </row>
    <row r="64" spans="1:24">
      <c r="A64" s="15" t="s">
        <v>79</v>
      </c>
      <c r="B64" s="15" t="s">
        <v>83</v>
      </c>
      <c r="C64" s="15" t="s">
        <v>1701</v>
      </c>
      <c r="D64" s="13">
        <v>46232.703472222223</v>
      </c>
      <c r="E64" s="15" t="s">
        <v>265</v>
      </c>
      <c r="F64" s="15" t="s">
        <v>1702</v>
      </c>
      <c r="G64" s="15" t="s">
        <v>74</v>
      </c>
      <c r="H64" s="15" t="s">
        <v>75</v>
      </c>
      <c r="I64" s="14">
        <v>21000</v>
      </c>
      <c r="J64" s="15" t="s">
        <v>1703</v>
      </c>
      <c r="K64" s="15" t="s">
        <v>24</v>
      </c>
      <c r="L64" s="15">
        <v>2</v>
      </c>
      <c r="M64" s="15">
        <v>0.6</v>
      </c>
      <c r="N64" s="15" t="s">
        <v>76</v>
      </c>
      <c r="O64" s="15" t="s">
        <v>76</v>
      </c>
      <c r="P64" s="14">
        <v>378000</v>
      </c>
      <c r="Q64" s="13">
        <v>46232.703472222223</v>
      </c>
      <c r="R64" s="15" t="s">
        <v>308</v>
      </c>
      <c r="S64" s="11" t="str">
        <f t="shared" si="0"/>
        <v>2026-07-29</v>
      </c>
      <c r="T64" s="11">
        <f>IF($E64="","",IF(COUNTIF($E$2:$E64,$E64)=1,1,0))</f>
        <v>0</v>
      </c>
      <c r="U64" s="11" t="str">
        <f>IF(T64=1,SUM($T$2:T64),"")</f>
        <v/>
      </c>
      <c r="V64" s="11">
        <f>IF(OR($R64="",$R64="-"),"",IF(COUNTIF($R$2:$R64,$R64)=1,1,0))</f>
        <v>0</v>
      </c>
      <c r="W64" s="11" t="str">
        <f>IF(V64=1,SUM($V$2:V64),"")</f>
        <v/>
      </c>
      <c r="X64" s="11" t="str">
        <f t="shared" si="1"/>
        <v>SHOPEE</v>
      </c>
    </row>
    <row r="65" spans="1:24">
      <c r="A65" s="15" t="s">
        <v>79</v>
      </c>
      <c r="B65" s="15" t="s">
        <v>83</v>
      </c>
      <c r="C65" s="15" t="s">
        <v>1701</v>
      </c>
      <c r="D65" s="13">
        <v>46232.703472222223</v>
      </c>
      <c r="E65" s="15" t="s">
        <v>265</v>
      </c>
      <c r="F65" s="15" t="s">
        <v>1704</v>
      </c>
      <c r="G65" s="15" t="s">
        <v>74</v>
      </c>
      <c r="H65" s="15" t="s">
        <v>75</v>
      </c>
      <c r="I65" s="14">
        <v>12000</v>
      </c>
      <c r="J65" s="15" t="s">
        <v>1705</v>
      </c>
      <c r="K65" s="15" t="s">
        <v>24</v>
      </c>
      <c r="L65" s="15">
        <v>1</v>
      </c>
      <c r="M65" s="15">
        <v>0.3</v>
      </c>
      <c r="N65" s="15" t="s">
        <v>76</v>
      </c>
      <c r="O65" s="15" t="s">
        <v>76</v>
      </c>
      <c r="P65" s="14">
        <v>189000</v>
      </c>
      <c r="Q65" s="13">
        <v>46232.703472222223</v>
      </c>
      <c r="R65" s="15" t="s">
        <v>308</v>
      </c>
      <c r="S65" s="11" t="str">
        <f t="shared" si="0"/>
        <v>2026-07-29</v>
      </c>
      <c r="T65" s="11">
        <f>IF($E65="","",IF(COUNTIF($E$2:$E65,$E65)=1,1,0))</f>
        <v>0</v>
      </c>
      <c r="U65" s="11" t="str">
        <f>IF(T65=1,SUM($T$2:T65),"")</f>
        <v/>
      </c>
      <c r="V65" s="11">
        <f>IF(OR($R65="",$R65="-"),"",IF(COUNTIF($R$2:$R65,$R65)=1,1,0))</f>
        <v>0</v>
      </c>
      <c r="W65" s="11" t="str">
        <f>IF(V65=1,SUM($V$2:V65),"")</f>
        <v/>
      </c>
      <c r="X65" s="11" t="str">
        <f t="shared" si="1"/>
        <v>SHOPEE</v>
      </c>
    </row>
    <row r="66" spans="1:24">
      <c r="A66" s="15" t="s">
        <v>79</v>
      </c>
      <c r="B66" s="15" t="s">
        <v>83</v>
      </c>
      <c r="C66" s="15" t="s">
        <v>1701</v>
      </c>
      <c r="D66" s="13">
        <v>46232.703472222223</v>
      </c>
      <c r="E66" s="15" t="s">
        <v>265</v>
      </c>
      <c r="F66" s="15" t="s">
        <v>1706</v>
      </c>
      <c r="G66" s="15" t="s">
        <v>74</v>
      </c>
      <c r="H66" s="15" t="s">
        <v>75</v>
      </c>
      <c r="I66" s="14">
        <v>12000</v>
      </c>
      <c r="J66" s="15" t="s">
        <v>161</v>
      </c>
      <c r="K66" s="15" t="s">
        <v>24</v>
      </c>
      <c r="L66" s="15">
        <v>1</v>
      </c>
      <c r="M66" s="15">
        <v>0.3</v>
      </c>
      <c r="N66" s="15" t="s">
        <v>76</v>
      </c>
      <c r="O66" s="15" t="s">
        <v>76</v>
      </c>
      <c r="P66" s="14">
        <v>199000</v>
      </c>
      <c r="Q66" s="13">
        <v>46232.703472222223</v>
      </c>
      <c r="R66" s="15" t="s">
        <v>308</v>
      </c>
      <c r="S66" s="11" t="str">
        <f t="shared" ref="S66:S129" si="2">IF(Q66="","",TEXT(Q66,"yyyy-mm-dd"))</f>
        <v>2026-07-29</v>
      </c>
      <c r="T66" s="11">
        <f>IF($E66="","",IF(COUNTIF($E$2:$E66,$E66)=1,1,0))</f>
        <v>0</v>
      </c>
      <c r="U66" s="11" t="str">
        <f>IF(T66=1,SUM($T$2:T66),"")</f>
        <v/>
      </c>
      <c r="V66" s="11">
        <f>IF(OR($R66="",$R66="-"),"",IF(COUNTIF($R$2:$R66,$R66)=1,1,0))</f>
        <v>0</v>
      </c>
      <c r="W66" s="11" t="str">
        <f>IF(V66=1,SUM($V$2:V66),"")</f>
        <v/>
      </c>
      <c r="X66" s="11" t="str">
        <f t="shared" ref="X66:X129" si="3">IF(ISNUMBER(SEARCH("SHOPEE",B66)),"SHOPEE",IF(ISNUMBER(SEARCH("TOKOPEDIA",B66)),"TOKOPEDIA",IF(ISNUMBER(SEARCH("LASTANA",B66)),"LASTANA EXPRESS",IF(ISNUMBER(SEARCH("FASHION MARKETPLACE",B66)),"FASHION MARKETPLACE",IF(ISNUMBER(SEARCH("GLOBAL DIGITAL NIAGA",B66)),"GLOBAL DIGITAL NIAGA",IF(ISNUMBER(SEARCH("TOKGISTIC",B66)),"TOKGISTIC",IF(ISNUMBER(SEARCH("TOCO RAMAI",B66)),"TOCO RAMAI DIGITAL",B66)))))))</f>
        <v>SHOPEE</v>
      </c>
    </row>
    <row r="67" spans="1:24">
      <c r="A67" s="15" t="s">
        <v>79</v>
      </c>
      <c r="B67" s="15" t="s">
        <v>83</v>
      </c>
      <c r="C67" s="15" t="s">
        <v>1701</v>
      </c>
      <c r="D67" s="13">
        <v>46232.703472222223</v>
      </c>
      <c r="E67" s="15" t="s">
        <v>265</v>
      </c>
      <c r="F67" s="15" t="s">
        <v>1707</v>
      </c>
      <c r="G67" s="15" t="s">
        <v>74</v>
      </c>
      <c r="H67" s="15" t="s">
        <v>75</v>
      </c>
      <c r="I67" s="14">
        <v>8500</v>
      </c>
      <c r="J67" s="15" t="s">
        <v>1708</v>
      </c>
      <c r="K67" s="15" t="s">
        <v>27</v>
      </c>
      <c r="L67" s="15">
        <v>1</v>
      </c>
      <c r="M67" s="15">
        <v>0.3</v>
      </c>
      <c r="N67" s="15" t="s">
        <v>76</v>
      </c>
      <c r="O67" s="15" t="s">
        <v>76</v>
      </c>
      <c r="P67" s="14">
        <v>189000</v>
      </c>
      <c r="Q67" s="13">
        <v>46232.703472222223</v>
      </c>
      <c r="R67" s="15" t="s">
        <v>308</v>
      </c>
      <c r="S67" s="11" t="str">
        <f t="shared" si="2"/>
        <v>2026-07-29</v>
      </c>
      <c r="T67" s="11">
        <f>IF($E67="","",IF(COUNTIF($E$2:$E67,$E67)=1,1,0))</f>
        <v>0</v>
      </c>
      <c r="U67" s="11" t="str">
        <f>IF(T67=1,SUM($T$2:T67),"")</f>
        <v/>
      </c>
      <c r="V67" s="11">
        <f>IF(OR($R67="",$R67="-"),"",IF(COUNTIF($R$2:$R67,$R67)=1,1,0))</f>
        <v>0</v>
      </c>
      <c r="W67" s="11" t="str">
        <f>IF(V67=1,SUM($V$2:V67),"")</f>
        <v/>
      </c>
      <c r="X67" s="11" t="str">
        <f t="shared" si="3"/>
        <v>SHOPEE</v>
      </c>
    </row>
    <row r="68" spans="1:24">
      <c r="A68" s="15" t="s">
        <v>79</v>
      </c>
      <c r="B68" s="15" t="s">
        <v>83</v>
      </c>
      <c r="C68" s="15" t="s">
        <v>1701</v>
      </c>
      <c r="D68" s="13">
        <v>46232.703472222223</v>
      </c>
      <c r="E68" s="15" t="s">
        <v>265</v>
      </c>
      <c r="F68" s="15" t="s">
        <v>1709</v>
      </c>
      <c r="G68" s="15" t="s">
        <v>74</v>
      </c>
      <c r="H68" s="15" t="s">
        <v>75</v>
      </c>
      <c r="I68" s="14">
        <v>24000</v>
      </c>
      <c r="J68" s="15" t="s">
        <v>1710</v>
      </c>
      <c r="K68" s="15" t="s">
        <v>24</v>
      </c>
      <c r="L68" s="15">
        <v>1</v>
      </c>
      <c r="M68" s="15">
        <v>0.3</v>
      </c>
      <c r="N68" s="15" t="s">
        <v>76</v>
      </c>
      <c r="O68" s="15" t="s">
        <v>76</v>
      </c>
      <c r="P68" s="14">
        <v>189000</v>
      </c>
      <c r="Q68" s="13">
        <v>46232.703472222223</v>
      </c>
      <c r="R68" s="15" t="s">
        <v>308</v>
      </c>
      <c r="S68" s="11" t="str">
        <f t="shared" si="2"/>
        <v>2026-07-29</v>
      </c>
      <c r="T68" s="11">
        <f>IF($E68="","",IF(COUNTIF($E$2:$E68,$E68)=1,1,0))</f>
        <v>0</v>
      </c>
      <c r="U68" s="11" t="str">
        <f>IF(T68=1,SUM($T$2:T68),"")</f>
        <v/>
      </c>
      <c r="V68" s="11">
        <f>IF(OR($R68="",$R68="-"),"",IF(COUNTIF($R$2:$R68,$R68)=1,1,0))</f>
        <v>0</v>
      </c>
      <c r="W68" s="11" t="str">
        <f>IF(V68=1,SUM($V$2:V68),"")</f>
        <v/>
      </c>
      <c r="X68" s="11" t="str">
        <f t="shared" si="3"/>
        <v>SHOPEE</v>
      </c>
    </row>
    <row r="69" spans="1:24">
      <c r="A69" s="15" t="s">
        <v>79</v>
      </c>
      <c r="B69" s="15" t="s">
        <v>83</v>
      </c>
      <c r="C69" s="15" t="s">
        <v>1701</v>
      </c>
      <c r="D69" s="13">
        <v>46232.703472222223</v>
      </c>
      <c r="E69" s="15" t="s">
        <v>265</v>
      </c>
      <c r="F69" s="15" t="s">
        <v>1711</v>
      </c>
      <c r="G69" s="15" t="s">
        <v>74</v>
      </c>
      <c r="H69" s="15" t="s">
        <v>75</v>
      </c>
      <c r="I69" s="14">
        <v>12000</v>
      </c>
      <c r="J69" s="15" t="s">
        <v>136</v>
      </c>
      <c r="K69" s="15" t="s">
        <v>24</v>
      </c>
      <c r="L69" s="15">
        <v>1</v>
      </c>
      <c r="M69" s="15">
        <v>0.3</v>
      </c>
      <c r="N69" s="15" t="s">
        <v>76</v>
      </c>
      <c r="O69" s="15" t="s">
        <v>76</v>
      </c>
      <c r="P69" s="14">
        <v>189000</v>
      </c>
      <c r="Q69" s="13">
        <v>46232.703472222223</v>
      </c>
      <c r="R69" s="15" t="s">
        <v>308</v>
      </c>
      <c r="S69" s="11" t="str">
        <f t="shared" si="2"/>
        <v>2026-07-29</v>
      </c>
      <c r="T69" s="11">
        <f>IF($E69="","",IF(COUNTIF($E$2:$E69,$E69)=1,1,0))</f>
        <v>0</v>
      </c>
      <c r="U69" s="11" t="str">
        <f>IF(T69=1,SUM($T$2:T69),"")</f>
        <v/>
      </c>
      <c r="V69" s="11">
        <f>IF(OR($R69="",$R69="-"),"",IF(COUNTIF($R$2:$R69,$R69)=1,1,0))</f>
        <v>0</v>
      </c>
      <c r="W69" s="11" t="str">
        <f>IF(V69=1,SUM($V$2:V69),"")</f>
        <v/>
      </c>
      <c r="X69" s="11" t="str">
        <f t="shared" si="3"/>
        <v>SHOPEE</v>
      </c>
    </row>
    <row r="70" spans="1:24">
      <c r="A70" s="15" t="s">
        <v>79</v>
      </c>
      <c r="B70" s="15" t="s">
        <v>83</v>
      </c>
      <c r="C70" s="15" t="s">
        <v>1701</v>
      </c>
      <c r="D70" s="13">
        <v>46232.703472222223</v>
      </c>
      <c r="E70" s="15" t="s">
        <v>265</v>
      </c>
      <c r="F70" s="15" t="s">
        <v>1712</v>
      </c>
      <c r="G70" s="15" t="s">
        <v>74</v>
      </c>
      <c r="H70" s="15" t="s">
        <v>75</v>
      </c>
      <c r="I70" s="14">
        <v>12000</v>
      </c>
      <c r="J70" s="15" t="s">
        <v>194</v>
      </c>
      <c r="K70" s="15" t="s">
        <v>24</v>
      </c>
      <c r="L70" s="15">
        <v>1</v>
      </c>
      <c r="M70" s="15">
        <v>0.3</v>
      </c>
      <c r="N70" s="15" t="s">
        <v>76</v>
      </c>
      <c r="O70" s="15" t="s">
        <v>76</v>
      </c>
      <c r="P70" s="14">
        <v>189000</v>
      </c>
      <c r="Q70" s="13">
        <v>46232.703472222223</v>
      </c>
      <c r="R70" s="15" t="s">
        <v>308</v>
      </c>
      <c r="S70" s="11" t="str">
        <f t="shared" si="2"/>
        <v>2026-07-29</v>
      </c>
      <c r="T70" s="11">
        <f>IF($E70="","",IF(COUNTIF($E$2:$E70,$E70)=1,1,0))</f>
        <v>0</v>
      </c>
      <c r="U70" s="11" t="str">
        <f>IF(T70=1,SUM($T$2:T70),"")</f>
        <v/>
      </c>
      <c r="V70" s="11">
        <f>IF(OR($R70="",$R70="-"),"",IF(COUNTIF($R$2:$R70,$R70)=1,1,0))</f>
        <v>0</v>
      </c>
      <c r="W70" s="11" t="str">
        <f>IF(V70=1,SUM($V$2:V70),"")</f>
        <v/>
      </c>
      <c r="X70" s="11" t="str">
        <f t="shared" si="3"/>
        <v>SHOPEE</v>
      </c>
    </row>
    <row r="71" spans="1:24">
      <c r="A71" s="15" t="s">
        <v>79</v>
      </c>
      <c r="B71" s="15" t="s">
        <v>83</v>
      </c>
      <c r="C71" s="15" t="s">
        <v>1701</v>
      </c>
      <c r="D71" s="13">
        <v>46232.703472222223</v>
      </c>
      <c r="E71" s="15" t="s">
        <v>265</v>
      </c>
      <c r="F71" s="15" t="s">
        <v>1713</v>
      </c>
      <c r="G71" s="15" t="s">
        <v>74</v>
      </c>
      <c r="H71" s="15" t="s">
        <v>75</v>
      </c>
      <c r="I71" s="14">
        <v>14000</v>
      </c>
      <c r="J71" s="15" t="s">
        <v>1714</v>
      </c>
      <c r="K71" s="15" t="s">
        <v>27</v>
      </c>
      <c r="L71" s="15">
        <v>1</v>
      </c>
      <c r="M71" s="15">
        <v>0.3</v>
      </c>
      <c r="N71" s="15" t="s">
        <v>76</v>
      </c>
      <c r="O71" s="15" t="s">
        <v>76</v>
      </c>
      <c r="P71" s="14">
        <v>189000</v>
      </c>
      <c r="Q71" s="13">
        <v>46232.703472222223</v>
      </c>
      <c r="R71" s="15" t="s">
        <v>308</v>
      </c>
      <c r="S71" s="11" t="str">
        <f t="shared" si="2"/>
        <v>2026-07-29</v>
      </c>
      <c r="T71" s="11">
        <f>IF($E71="","",IF(COUNTIF($E$2:$E71,$E71)=1,1,0))</f>
        <v>0</v>
      </c>
      <c r="U71" s="11" t="str">
        <f>IF(T71=1,SUM($T$2:T71),"")</f>
        <v/>
      </c>
      <c r="V71" s="11">
        <f>IF(OR($R71="",$R71="-"),"",IF(COUNTIF($R$2:$R71,$R71)=1,1,0))</f>
        <v>0</v>
      </c>
      <c r="W71" s="11" t="str">
        <f>IF(V71=1,SUM($V$2:V71),"")</f>
        <v/>
      </c>
      <c r="X71" s="11" t="str">
        <f t="shared" si="3"/>
        <v>SHOPEE</v>
      </c>
    </row>
    <row r="72" spans="1:24">
      <c r="A72" s="15" t="s">
        <v>79</v>
      </c>
      <c r="B72" s="15" t="s">
        <v>83</v>
      </c>
      <c r="C72" s="15" t="s">
        <v>1701</v>
      </c>
      <c r="D72" s="13">
        <v>46232.703472222223</v>
      </c>
      <c r="E72" s="15" t="s">
        <v>265</v>
      </c>
      <c r="F72" s="15" t="s">
        <v>1715</v>
      </c>
      <c r="G72" s="15" t="s">
        <v>74</v>
      </c>
      <c r="H72" s="15" t="s">
        <v>75</v>
      </c>
      <c r="I72" s="14">
        <v>34000</v>
      </c>
      <c r="J72" s="15" t="s">
        <v>1716</v>
      </c>
      <c r="K72" s="15" t="s">
        <v>24</v>
      </c>
      <c r="L72" s="15">
        <v>1</v>
      </c>
      <c r="M72" s="15">
        <v>0.3</v>
      </c>
      <c r="N72" s="15" t="s">
        <v>76</v>
      </c>
      <c r="O72" s="15" t="s">
        <v>76</v>
      </c>
      <c r="P72" s="14">
        <v>189000</v>
      </c>
      <c r="Q72" s="13">
        <v>46232.703472222223</v>
      </c>
      <c r="R72" s="15" t="s">
        <v>308</v>
      </c>
      <c r="S72" s="11" t="str">
        <f t="shared" si="2"/>
        <v>2026-07-29</v>
      </c>
      <c r="T72" s="11">
        <f>IF($E72="","",IF(COUNTIF($E$2:$E72,$E72)=1,1,0))</f>
        <v>0</v>
      </c>
      <c r="U72" s="11" t="str">
        <f>IF(T72=1,SUM($T$2:T72),"")</f>
        <v/>
      </c>
      <c r="V72" s="11">
        <f>IF(OR($R72="",$R72="-"),"",IF(COUNTIF($R$2:$R72,$R72)=1,1,0))</f>
        <v>0</v>
      </c>
      <c r="W72" s="11" t="str">
        <f>IF(V72=1,SUM($V$2:V72),"")</f>
        <v/>
      </c>
      <c r="X72" s="11" t="str">
        <f t="shared" si="3"/>
        <v>SHOPEE</v>
      </c>
    </row>
    <row r="73" spans="1:24">
      <c r="A73" s="15" t="s">
        <v>79</v>
      </c>
      <c r="B73" s="15" t="s">
        <v>83</v>
      </c>
      <c r="C73" s="15" t="s">
        <v>1717</v>
      </c>
      <c r="D73" s="13">
        <v>46232.702777777777</v>
      </c>
      <c r="E73" s="15" t="s">
        <v>265</v>
      </c>
      <c r="F73" s="15" t="s">
        <v>1718</v>
      </c>
      <c r="G73" s="15" t="s">
        <v>74</v>
      </c>
      <c r="H73" s="15" t="s">
        <v>75</v>
      </c>
      <c r="I73" s="14">
        <v>24000</v>
      </c>
      <c r="J73" s="15" t="s">
        <v>1719</v>
      </c>
      <c r="K73" s="15" t="s">
        <v>24</v>
      </c>
      <c r="L73" s="15">
        <v>1</v>
      </c>
      <c r="M73" s="15">
        <v>0.3</v>
      </c>
      <c r="N73" s="15" t="s">
        <v>76</v>
      </c>
      <c r="O73" s="15" t="s">
        <v>76</v>
      </c>
      <c r="P73" s="14">
        <v>189000</v>
      </c>
      <c r="Q73" s="13">
        <v>46232.703472222223</v>
      </c>
      <c r="R73" s="15" t="s">
        <v>308</v>
      </c>
      <c r="S73" s="11" t="str">
        <f t="shared" si="2"/>
        <v>2026-07-29</v>
      </c>
      <c r="T73" s="11">
        <f>IF($E73="","",IF(COUNTIF($E$2:$E73,$E73)=1,1,0))</f>
        <v>0</v>
      </c>
      <c r="U73" s="11" t="str">
        <f>IF(T73=1,SUM($T$2:T73),"")</f>
        <v/>
      </c>
      <c r="V73" s="11">
        <f>IF(OR($R73="",$R73="-"),"",IF(COUNTIF($R$2:$R73,$R73)=1,1,0))</f>
        <v>0</v>
      </c>
      <c r="W73" s="11" t="str">
        <f>IF(V73=1,SUM($V$2:V73),"")</f>
        <v/>
      </c>
      <c r="X73" s="11" t="str">
        <f t="shared" si="3"/>
        <v>SHOPEE</v>
      </c>
    </row>
    <row r="74" spans="1:24">
      <c r="A74" s="15" t="s">
        <v>79</v>
      </c>
      <c r="B74" s="15" t="s">
        <v>83</v>
      </c>
      <c r="C74" s="15" t="s">
        <v>1717</v>
      </c>
      <c r="D74" s="13">
        <v>46232.702777777777</v>
      </c>
      <c r="E74" s="15" t="s">
        <v>265</v>
      </c>
      <c r="F74" s="15" t="s">
        <v>1720</v>
      </c>
      <c r="G74" s="15" t="s">
        <v>74</v>
      </c>
      <c r="H74" s="15" t="s">
        <v>75</v>
      </c>
      <c r="I74" s="14">
        <v>19500</v>
      </c>
      <c r="J74" s="15" t="s">
        <v>1721</v>
      </c>
      <c r="K74" s="15" t="s">
        <v>27</v>
      </c>
      <c r="L74" s="15">
        <v>1</v>
      </c>
      <c r="M74" s="15">
        <v>0.3</v>
      </c>
      <c r="N74" s="15" t="s">
        <v>76</v>
      </c>
      <c r="O74" s="15" t="s">
        <v>76</v>
      </c>
      <c r="P74" s="14">
        <v>189000</v>
      </c>
      <c r="Q74" s="13">
        <v>46232.703472222223</v>
      </c>
      <c r="R74" s="15" t="s">
        <v>308</v>
      </c>
      <c r="S74" s="11" t="str">
        <f t="shared" si="2"/>
        <v>2026-07-29</v>
      </c>
      <c r="T74" s="11">
        <f>IF($E74="","",IF(COUNTIF($E$2:$E74,$E74)=1,1,0))</f>
        <v>0</v>
      </c>
      <c r="U74" s="11" t="str">
        <f>IF(T74=1,SUM($T$2:T74),"")</f>
        <v/>
      </c>
      <c r="V74" s="11">
        <f>IF(OR($R74="",$R74="-"),"",IF(COUNTIF($R$2:$R74,$R74)=1,1,0))</f>
        <v>0</v>
      </c>
      <c r="W74" s="11" t="str">
        <f>IF(V74=1,SUM($V$2:V74),"")</f>
        <v/>
      </c>
      <c r="X74" s="11" t="str">
        <f t="shared" si="3"/>
        <v>SHOPEE</v>
      </c>
    </row>
    <row r="75" spans="1:24">
      <c r="A75" s="15" t="s">
        <v>79</v>
      </c>
      <c r="B75" s="15" t="s">
        <v>83</v>
      </c>
      <c r="C75" s="15" t="s">
        <v>1717</v>
      </c>
      <c r="D75" s="13">
        <v>46232.702777777777</v>
      </c>
      <c r="E75" s="15" t="s">
        <v>265</v>
      </c>
      <c r="F75" s="15" t="s">
        <v>1722</v>
      </c>
      <c r="G75" s="15" t="s">
        <v>74</v>
      </c>
      <c r="H75" s="15" t="s">
        <v>75</v>
      </c>
      <c r="I75" s="14">
        <v>12000</v>
      </c>
      <c r="J75" s="15" t="s">
        <v>1723</v>
      </c>
      <c r="K75" s="15" t="s">
        <v>24</v>
      </c>
      <c r="L75" s="15">
        <v>1</v>
      </c>
      <c r="M75" s="15">
        <v>0.3</v>
      </c>
      <c r="N75" s="15" t="s">
        <v>76</v>
      </c>
      <c r="O75" s="15" t="s">
        <v>76</v>
      </c>
      <c r="P75" s="14">
        <v>189000</v>
      </c>
      <c r="Q75" s="13">
        <v>46232.703472222223</v>
      </c>
      <c r="R75" s="15" t="s">
        <v>308</v>
      </c>
      <c r="S75" s="11" t="str">
        <f t="shared" si="2"/>
        <v>2026-07-29</v>
      </c>
      <c r="T75" s="11">
        <f>IF($E75="","",IF(COUNTIF($E$2:$E75,$E75)=1,1,0))</f>
        <v>0</v>
      </c>
      <c r="U75" s="11" t="str">
        <f>IF(T75=1,SUM($T$2:T75),"")</f>
        <v/>
      </c>
      <c r="V75" s="11">
        <f>IF(OR($R75="",$R75="-"),"",IF(COUNTIF($R$2:$R75,$R75)=1,1,0))</f>
        <v>0</v>
      </c>
      <c r="W75" s="11" t="str">
        <f>IF(V75=1,SUM($V$2:V75),"")</f>
        <v/>
      </c>
      <c r="X75" s="11" t="str">
        <f t="shared" si="3"/>
        <v>SHOPEE</v>
      </c>
    </row>
    <row r="76" spans="1:24">
      <c r="A76" s="15" t="s">
        <v>79</v>
      </c>
      <c r="B76" s="15" t="s">
        <v>83</v>
      </c>
      <c r="C76" s="15" t="s">
        <v>1717</v>
      </c>
      <c r="D76" s="13">
        <v>46232.702777777777</v>
      </c>
      <c r="E76" s="15" t="s">
        <v>265</v>
      </c>
      <c r="F76" s="15" t="s">
        <v>1724</v>
      </c>
      <c r="G76" s="15" t="s">
        <v>74</v>
      </c>
      <c r="H76" s="15" t="s">
        <v>75</v>
      </c>
      <c r="I76" s="14">
        <v>24000</v>
      </c>
      <c r="J76" s="15" t="s">
        <v>1725</v>
      </c>
      <c r="K76" s="15" t="s">
        <v>27</v>
      </c>
      <c r="L76" s="15">
        <v>1</v>
      </c>
      <c r="M76" s="15">
        <v>0.3</v>
      </c>
      <c r="N76" s="15" t="s">
        <v>76</v>
      </c>
      <c r="O76" s="15" t="s">
        <v>76</v>
      </c>
      <c r="P76" s="14">
        <v>189000</v>
      </c>
      <c r="Q76" s="13">
        <v>46232.703472222223</v>
      </c>
      <c r="R76" s="15" t="s">
        <v>308</v>
      </c>
      <c r="S76" s="11" t="str">
        <f t="shared" si="2"/>
        <v>2026-07-29</v>
      </c>
      <c r="T76" s="11">
        <f>IF($E76="","",IF(COUNTIF($E$2:$E76,$E76)=1,1,0))</f>
        <v>0</v>
      </c>
      <c r="U76" s="11" t="str">
        <f>IF(T76=1,SUM($T$2:T76),"")</f>
        <v/>
      </c>
      <c r="V76" s="11">
        <f>IF(OR($R76="",$R76="-"),"",IF(COUNTIF($R$2:$R76,$R76)=1,1,0))</f>
        <v>0</v>
      </c>
      <c r="W76" s="11" t="str">
        <f>IF(V76=1,SUM($V$2:V76),"")</f>
        <v/>
      </c>
      <c r="X76" s="11" t="str">
        <f t="shared" si="3"/>
        <v>SHOPEE</v>
      </c>
    </row>
    <row r="77" spans="1:24">
      <c r="A77" s="15" t="s">
        <v>79</v>
      </c>
      <c r="B77" s="15" t="s">
        <v>83</v>
      </c>
      <c r="C77" s="15" t="s">
        <v>1717</v>
      </c>
      <c r="D77" s="13">
        <v>46232.702777777777</v>
      </c>
      <c r="E77" s="15" t="s">
        <v>265</v>
      </c>
      <c r="F77" s="15" t="s">
        <v>1726</v>
      </c>
      <c r="G77" s="15" t="s">
        <v>74</v>
      </c>
      <c r="H77" s="15" t="s">
        <v>75</v>
      </c>
      <c r="I77" s="14">
        <v>18000</v>
      </c>
      <c r="J77" s="15" t="s">
        <v>1727</v>
      </c>
      <c r="K77" s="15" t="s">
        <v>24</v>
      </c>
      <c r="L77" s="15">
        <v>1</v>
      </c>
      <c r="M77" s="15">
        <v>0.3</v>
      </c>
      <c r="N77" s="15" t="s">
        <v>76</v>
      </c>
      <c r="O77" s="15" t="s">
        <v>76</v>
      </c>
      <c r="P77" s="14">
        <v>189000</v>
      </c>
      <c r="Q77" s="13">
        <v>46232.703472222223</v>
      </c>
      <c r="R77" s="15" t="s">
        <v>308</v>
      </c>
      <c r="S77" s="11" t="str">
        <f t="shared" si="2"/>
        <v>2026-07-29</v>
      </c>
      <c r="T77" s="11">
        <f>IF($E77="","",IF(COUNTIF($E$2:$E77,$E77)=1,1,0))</f>
        <v>0</v>
      </c>
      <c r="U77" s="11" t="str">
        <f>IF(T77=1,SUM($T$2:T77),"")</f>
        <v/>
      </c>
      <c r="V77" s="11">
        <f>IF(OR($R77="",$R77="-"),"",IF(COUNTIF($R$2:$R77,$R77)=1,1,0))</f>
        <v>0</v>
      </c>
      <c r="W77" s="11" t="str">
        <f>IF(V77=1,SUM($V$2:V77),"")</f>
        <v/>
      </c>
      <c r="X77" s="11" t="str">
        <f t="shared" si="3"/>
        <v>SHOPEE</v>
      </c>
    </row>
    <row r="78" spans="1:24">
      <c r="A78" s="15" t="s">
        <v>79</v>
      </c>
      <c r="B78" s="15" t="s">
        <v>83</v>
      </c>
      <c r="C78" s="15" t="s">
        <v>1717</v>
      </c>
      <c r="D78" s="13">
        <v>46232.702777777777</v>
      </c>
      <c r="E78" s="15" t="s">
        <v>265</v>
      </c>
      <c r="F78" s="15" t="s">
        <v>1728</v>
      </c>
      <c r="G78" s="15" t="s">
        <v>74</v>
      </c>
      <c r="H78" s="15" t="s">
        <v>75</v>
      </c>
      <c r="I78" s="14">
        <v>21000</v>
      </c>
      <c r="J78" s="15" t="s">
        <v>1729</v>
      </c>
      <c r="K78" s="15" t="s">
        <v>24</v>
      </c>
      <c r="L78" s="15">
        <v>1</v>
      </c>
      <c r="M78" s="15">
        <v>0.3</v>
      </c>
      <c r="N78" s="15" t="s">
        <v>76</v>
      </c>
      <c r="O78" s="15" t="s">
        <v>76</v>
      </c>
      <c r="P78" s="14">
        <v>189000</v>
      </c>
      <c r="Q78" s="13">
        <v>46232.703472222223</v>
      </c>
      <c r="R78" s="15" t="s">
        <v>308</v>
      </c>
      <c r="S78" s="11" t="str">
        <f t="shared" si="2"/>
        <v>2026-07-29</v>
      </c>
      <c r="T78" s="11">
        <f>IF($E78="","",IF(COUNTIF($E$2:$E78,$E78)=1,1,0))</f>
        <v>0</v>
      </c>
      <c r="U78" s="11" t="str">
        <f>IF(T78=1,SUM($T$2:T78),"")</f>
        <v/>
      </c>
      <c r="V78" s="11">
        <f>IF(OR($R78="",$R78="-"),"",IF(COUNTIF($R$2:$R78,$R78)=1,1,0))</f>
        <v>0</v>
      </c>
      <c r="W78" s="11" t="str">
        <f>IF(V78=1,SUM($V$2:V78),"")</f>
        <v/>
      </c>
      <c r="X78" s="11" t="str">
        <f t="shared" si="3"/>
        <v>SHOPEE</v>
      </c>
    </row>
    <row r="79" spans="1:24">
      <c r="A79" s="15" t="s">
        <v>79</v>
      </c>
      <c r="B79" s="15" t="s">
        <v>83</v>
      </c>
      <c r="C79" s="15" t="s">
        <v>1717</v>
      </c>
      <c r="D79" s="13">
        <v>46232.702777777777</v>
      </c>
      <c r="E79" s="15" t="s">
        <v>265</v>
      </c>
      <c r="F79" s="15" t="s">
        <v>1730</v>
      </c>
      <c r="G79" s="15" t="s">
        <v>74</v>
      </c>
      <c r="H79" s="15" t="s">
        <v>75</v>
      </c>
      <c r="I79" s="14">
        <v>12000</v>
      </c>
      <c r="J79" s="15" t="s">
        <v>232</v>
      </c>
      <c r="K79" s="15" t="s">
        <v>24</v>
      </c>
      <c r="L79" s="15">
        <v>1</v>
      </c>
      <c r="M79" s="15">
        <v>0.3</v>
      </c>
      <c r="N79" s="15" t="s">
        <v>76</v>
      </c>
      <c r="O79" s="15" t="s">
        <v>76</v>
      </c>
      <c r="P79" s="14">
        <v>189000</v>
      </c>
      <c r="Q79" s="13">
        <v>46232.703472222223</v>
      </c>
      <c r="R79" s="15" t="s">
        <v>308</v>
      </c>
      <c r="S79" s="11" t="str">
        <f t="shared" si="2"/>
        <v>2026-07-29</v>
      </c>
      <c r="T79" s="11">
        <f>IF($E79="","",IF(COUNTIF($E$2:$E79,$E79)=1,1,0))</f>
        <v>0</v>
      </c>
      <c r="U79" s="11" t="str">
        <f>IF(T79=1,SUM($T$2:T79),"")</f>
        <v/>
      </c>
      <c r="V79" s="11">
        <f>IF(OR($R79="",$R79="-"),"",IF(COUNTIF($R$2:$R79,$R79)=1,1,0))</f>
        <v>0</v>
      </c>
      <c r="W79" s="11" t="str">
        <f>IF(V79=1,SUM($V$2:V79),"")</f>
        <v/>
      </c>
      <c r="X79" s="11" t="str">
        <f t="shared" si="3"/>
        <v>SHOPEE</v>
      </c>
    </row>
    <row r="80" spans="1:24">
      <c r="A80" s="15" t="s">
        <v>79</v>
      </c>
      <c r="B80" s="15" t="s">
        <v>83</v>
      </c>
      <c r="C80" s="15" t="s">
        <v>1717</v>
      </c>
      <c r="D80" s="13">
        <v>46232.702777777777</v>
      </c>
      <c r="E80" s="15" t="s">
        <v>265</v>
      </c>
      <c r="F80" s="15" t="s">
        <v>1731</v>
      </c>
      <c r="G80" s="15" t="s">
        <v>74</v>
      </c>
      <c r="H80" s="15" t="s">
        <v>75</v>
      </c>
      <c r="I80" s="14">
        <v>44000</v>
      </c>
      <c r="J80" s="15" t="s">
        <v>1732</v>
      </c>
      <c r="K80" s="15" t="s">
        <v>27</v>
      </c>
      <c r="L80" s="15">
        <v>1</v>
      </c>
      <c r="M80" s="15">
        <v>0.3</v>
      </c>
      <c r="N80" s="15" t="s">
        <v>76</v>
      </c>
      <c r="O80" s="15" t="s">
        <v>76</v>
      </c>
      <c r="P80" s="14">
        <v>189000</v>
      </c>
      <c r="Q80" s="13">
        <v>46232.703472222223</v>
      </c>
      <c r="R80" s="15" t="s">
        <v>308</v>
      </c>
      <c r="S80" s="11" t="str">
        <f t="shared" si="2"/>
        <v>2026-07-29</v>
      </c>
      <c r="T80" s="11">
        <f>IF($E80="","",IF(COUNTIF($E$2:$E80,$E80)=1,1,0))</f>
        <v>0</v>
      </c>
      <c r="U80" s="11" t="str">
        <f>IF(T80=1,SUM($T$2:T80),"")</f>
        <v/>
      </c>
      <c r="V80" s="11">
        <f>IF(OR($R80="",$R80="-"),"",IF(COUNTIF($R$2:$R80,$R80)=1,1,0))</f>
        <v>0</v>
      </c>
      <c r="W80" s="11" t="str">
        <f>IF(V80=1,SUM($V$2:V80),"")</f>
        <v/>
      </c>
      <c r="X80" s="11" t="str">
        <f t="shared" si="3"/>
        <v>SHOPEE</v>
      </c>
    </row>
    <row r="81" spans="1:24">
      <c r="A81" s="15" t="s">
        <v>79</v>
      </c>
      <c r="B81" s="15" t="s">
        <v>83</v>
      </c>
      <c r="C81" s="15" t="s">
        <v>1733</v>
      </c>
      <c r="D81" s="13">
        <v>46232.70208333333</v>
      </c>
      <c r="E81" s="15" t="s">
        <v>265</v>
      </c>
      <c r="F81" s="15" t="s">
        <v>1734</v>
      </c>
      <c r="G81" s="15" t="s">
        <v>74</v>
      </c>
      <c r="H81" s="15" t="s">
        <v>75</v>
      </c>
      <c r="I81" s="14">
        <v>18000</v>
      </c>
      <c r="J81" s="15" t="s">
        <v>1735</v>
      </c>
      <c r="K81" s="15" t="s">
        <v>24</v>
      </c>
      <c r="L81" s="15">
        <v>1</v>
      </c>
      <c r="M81" s="15">
        <v>0.3</v>
      </c>
      <c r="N81" s="15" t="s">
        <v>76</v>
      </c>
      <c r="O81" s="15" t="s">
        <v>76</v>
      </c>
      <c r="P81" s="14">
        <v>189000</v>
      </c>
      <c r="Q81" s="13">
        <v>46232.702777777777</v>
      </c>
      <c r="R81" s="15" t="s">
        <v>308</v>
      </c>
      <c r="S81" s="11" t="str">
        <f t="shared" si="2"/>
        <v>2026-07-29</v>
      </c>
      <c r="T81" s="11">
        <f>IF($E81="","",IF(COUNTIF($E$2:$E81,$E81)=1,1,0))</f>
        <v>0</v>
      </c>
      <c r="U81" s="11" t="str">
        <f>IF(T81=1,SUM($T$2:T81),"")</f>
        <v/>
      </c>
      <c r="V81" s="11">
        <f>IF(OR($R81="",$R81="-"),"",IF(COUNTIF($R$2:$R81,$R81)=1,1,0))</f>
        <v>0</v>
      </c>
      <c r="W81" s="11" t="str">
        <f>IF(V81=1,SUM($V$2:V81),"")</f>
        <v/>
      </c>
      <c r="X81" s="11" t="str">
        <f t="shared" si="3"/>
        <v>SHOPEE</v>
      </c>
    </row>
    <row r="82" spans="1:24">
      <c r="A82" s="15" t="s">
        <v>79</v>
      </c>
      <c r="B82" s="15" t="s">
        <v>83</v>
      </c>
      <c r="C82" s="15" t="s">
        <v>1733</v>
      </c>
      <c r="D82" s="13">
        <v>46232.70208333333</v>
      </c>
      <c r="E82" s="15" t="s">
        <v>265</v>
      </c>
      <c r="F82" s="15" t="s">
        <v>1736</v>
      </c>
      <c r="G82" s="15" t="s">
        <v>74</v>
      </c>
      <c r="H82" s="15" t="s">
        <v>75</v>
      </c>
      <c r="I82" s="14">
        <v>12000</v>
      </c>
      <c r="J82" s="15" t="s">
        <v>1603</v>
      </c>
      <c r="K82" s="15" t="s">
        <v>24</v>
      </c>
      <c r="L82" s="15">
        <v>1</v>
      </c>
      <c r="M82" s="15">
        <v>0.3</v>
      </c>
      <c r="N82" s="15" t="s">
        <v>76</v>
      </c>
      <c r="O82" s="15" t="s">
        <v>76</v>
      </c>
      <c r="P82" s="14">
        <v>189000</v>
      </c>
      <c r="Q82" s="13">
        <v>46232.702777777777</v>
      </c>
      <c r="R82" s="15" t="s">
        <v>308</v>
      </c>
      <c r="S82" s="11" t="str">
        <f t="shared" si="2"/>
        <v>2026-07-29</v>
      </c>
      <c r="T82" s="11">
        <f>IF($E82="","",IF(COUNTIF($E$2:$E82,$E82)=1,1,0))</f>
        <v>0</v>
      </c>
      <c r="U82" s="11" t="str">
        <f>IF(T82=1,SUM($T$2:T82),"")</f>
        <v/>
      </c>
      <c r="V82" s="11">
        <f>IF(OR($R82="",$R82="-"),"",IF(COUNTIF($R$2:$R82,$R82)=1,1,0))</f>
        <v>0</v>
      </c>
      <c r="W82" s="11" t="str">
        <f>IF(V82=1,SUM($V$2:V82),"")</f>
        <v/>
      </c>
      <c r="X82" s="11" t="str">
        <f t="shared" si="3"/>
        <v>SHOPEE</v>
      </c>
    </row>
    <row r="83" spans="1:24">
      <c r="A83" s="15" t="s">
        <v>79</v>
      </c>
      <c r="B83" s="15" t="s">
        <v>83</v>
      </c>
      <c r="C83" s="15" t="s">
        <v>1737</v>
      </c>
      <c r="D83" s="13">
        <v>46232.700694444444</v>
      </c>
      <c r="E83" s="15" t="s">
        <v>265</v>
      </c>
      <c r="F83" s="15" t="s">
        <v>1738</v>
      </c>
      <c r="G83" s="15" t="s">
        <v>74</v>
      </c>
      <c r="H83" s="15" t="s">
        <v>75</v>
      </c>
      <c r="I83" s="14">
        <v>30500</v>
      </c>
      <c r="J83" s="15" t="s">
        <v>1739</v>
      </c>
      <c r="K83" s="15" t="s">
        <v>27</v>
      </c>
      <c r="L83" s="15">
        <v>1</v>
      </c>
      <c r="M83" s="15">
        <v>0.3</v>
      </c>
      <c r="N83" s="15" t="s">
        <v>76</v>
      </c>
      <c r="O83" s="15" t="s">
        <v>76</v>
      </c>
      <c r="P83" s="14">
        <v>189000</v>
      </c>
      <c r="Q83" s="13">
        <v>46232.70208333333</v>
      </c>
      <c r="R83" s="15" t="s">
        <v>308</v>
      </c>
      <c r="S83" s="11" t="str">
        <f t="shared" si="2"/>
        <v>2026-07-29</v>
      </c>
      <c r="T83" s="11">
        <f>IF($E83="","",IF(COUNTIF($E$2:$E83,$E83)=1,1,0))</f>
        <v>0</v>
      </c>
      <c r="U83" s="11" t="str">
        <f>IF(T83=1,SUM($T$2:T83),"")</f>
        <v/>
      </c>
      <c r="V83" s="11">
        <f>IF(OR($R83="",$R83="-"),"",IF(COUNTIF($R$2:$R83,$R83)=1,1,0))</f>
        <v>0</v>
      </c>
      <c r="W83" s="11" t="str">
        <f>IF(V83=1,SUM($V$2:V83),"")</f>
        <v/>
      </c>
      <c r="X83" s="11" t="str">
        <f t="shared" si="3"/>
        <v>SHOPEE</v>
      </c>
    </row>
    <row r="84" spans="1:24">
      <c r="A84" s="15" t="s">
        <v>79</v>
      </c>
      <c r="B84" s="15" t="s">
        <v>83</v>
      </c>
      <c r="C84" s="15" t="s">
        <v>1737</v>
      </c>
      <c r="D84" s="13">
        <v>46232.700694444444</v>
      </c>
      <c r="E84" s="15" t="s">
        <v>265</v>
      </c>
      <c r="F84" s="15" t="s">
        <v>1740</v>
      </c>
      <c r="G84" s="15" t="s">
        <v>74</v>
      </c>
      <c r="H84" s="15" t="s">
        <v>75</v>
      </c>
      <c r="I84" s="14">
        <v>21000</v>
      </c>
      <c r="J84" s="15" t="s">
        <v>1741</v>
      </c>
      <c r="K84" s="15" t="s">
        <v>24</v>
      </c>
      <c r="L84" s="15">
        <v>1</v>
      </c>
      <c r="M84" s="15">
        <v>0.3</v>
      </c>
      <c r="N84" s="15" t="s">
        <v>76</v>
      </c>
      <c r="O84" s="15" t="s">
        <v>76</v>
      </c>
      <c r="P84" s="14">
        <v>189000</v>
      </c>
      <c r="Q84" s="13">
        <v>46232.70208333333</v>
      </c>
      <c r="R84" s="15" t="s">
        <v>308</v>
      </c>
      <c r="S84" s="11" t="str">
        <f t="shared" si="2"/>
        <v>2026-07-29</v>
      </c>
      <c r="T84" s="11">
        <f>IF($E84="","",IF(COUNTIF($E$2:$E84,$E84)=1,1,0))</f>
        <v>0</v>
      </c>
      <c r="U84" s="11" t="str">
        <f>IF(T84=1,SUM($T$2:T84),"")</f>
        <v/>
      </c>
      <c r="V84" s="11">
        <f>IF(OR($R84="",$R84="-"),"",IF(COUNTIF($R$2:$R84,$R84)=1,1,0))</f>
        <v>0</v>
      </c>
      <c r="W84" s="11" t="str">
        <f>IF(V84=1,SUM($V$2:V84),"")</f>
        <v/>
      </c>
      <c r="X84" s="11" t="str">
        <f t="shared" si="3"/>
        <v>SHOPEE</v>
      </c>
    </row>
    <row r="85" spans="1:24">
      <c r="A85" s="15" t="s">
        <v>79</v>
      </c>
      <c r="B85" s="15" t="s">
        <v>83</v>
      </c>
      <c r="C85" s="15" t="s">
        <v>1737</v>
      </c>
      <c r="D85" s="13">
        <v>46232.700694444444</v>
      </c>
      <c r="E85" s="15" t="s">
        <v>265</v>
      </c>
      <c r="F85" s="15" t="s">
        <v>1742</v>
      </c>
      <c r="G85" s="15" t="s">
        <v>74</v>
      </c>
      <c r="H85" s="15" t="s">
        <v>75</v>
      </c>
      <c r="I85" s="14">
        <v>43000</v>
      </c>
      <c r="J85" s="15" t="s">
        <v>1743</v>
      </c>
      <c r="K85" s="15" t="s">
        <v>24</v>
      </c>
      <c r="L85" s="15">
        <v>1</v>
      </c>
      <c r="M85" s="15">
        <v>0.3</v>
      </c>
      <c r="N85" s="15" t="s">
        <v>76</v>
      </c>
      <c r="O85" s="15" t="s">
        <v>76</v>
      </c>
      <c r="P85" s="14">
        <v>189000</v>
      </c>
      <c r="Q85" s="13">
        <v>46232.70208333333</v>
      </c>
      <c r="R85" s="15" t="s">
        <v>308</v>
      </c>
      <c r="S85" s="11" t="str">
        <f t="shared" si="2"/>
        <v>2026-07-29</v>
      </c>
      <c r="T85" s="11">
        <f>IF($E85="","",IF(COUNTIF($E$2:$E85,$E85)=1,1,0))</f>
        <v>0</v>
      </c>
      <c r="U85" s="11" t="str">
        <f>IF(T85=1,SUM($T$2:T85),"")</f>
        <v/>
      </c>
      <c r="V85" s="11">
        <f>IF(OR($R85="",$R85="-"),"",IF(COUNTIF($R$2:$R85,$R85)=1,1,0))</f>
        <v>0</v>
      </c>
      <c r="W85" s="11" t="str">
        <f>IF(V85=1,SUM($V$2:V85),"")</f>
        <v/>
      </c>
      <c r="X85" s="11" t="str">
        <f t="shared" si="3"/>
        <v>SHOPEE</v>
      </c>
    </row>
    <row r="86" spans="1:24">
      <c r="A86" s="15" t="s">
        <v>79</v>
      </c>
      <c r="B86" s="15" t="s">
        <v>83</v>
      </c>
      <c r="C86" s="15" t="s">
        <v>1737</v>
      </c>
      <c r="D86" s="13">
        <v>46232.700694444444</v>
      </c>
      <c r="E86" s="15" t="s">
        <v>265</v>
      </c>
      <c r="F86" s="15" t="s">
        <v>1744</v>
      </c>
      <c r="G86" s="15" t="s">
        <v>74</v>
      </c>
      <c r="H86" s="15" t="s">
        <v>75</v>
      </c>
      <c r="I86" s="14">
        <v>14000</v>
      </c>
      <c r="J86" s="15" t="s">
        <v>1745</v>
      </c>
      <c r="K86" s="15" t="s">
        <v>24</v>
      </c>
      <c r="L86" s="15">
        <v>1</v>
      </c>
      <c r="M86" s="15">
        <v>0.3</v>
      </c>
      <c r="N86" s="15" t="s">
        <v>76</v>
      </c>
      <c r="O86" s="15" t="s">
        <v>76</v>
      </c>
      <c r="P86" s="14">
        <v>189000</v>
      </c>
      <c r="Q86" s="13">
        <v>46232.70208333333</v>
      </c>
      <c r="R86" s="15" t="s">
        <v>308</v>
      </c>
      <c r="S86" s="11" t="str">
        <f t="shared" si="2"/>
        <v>2026-07-29</v>
      </c>
      <c r="T86" s="11">
        <f>IF($E86="","",IF(COUNTIF($E$2:$E86,$E86)=1,1,0))</f>
        <v>0</v>
      </c>
      <c r="U86" s="11" t="str">
        <f>IF(T86=1,SUM($T$2:T86),"")</f>
        <v/>
      </c>
      <c r="V86" s="11">
        <f>IF(OR($R86="",$R86="-"),"",IF(COUNTIF($R$2:$R86,$R86)=1,1,0))</f>
        <v>0</v>
      </c>
      <c r="W86" s="11" t="str">
        <f>IF(V86=1,SUM($V$2:V86),"")</f>
        <v/>
      </c>
      <c r="X86" s="11" t="str">
        <f t="shared" si="3"/>
        <v>SHOPEE</v>
      </c>
    </row>
    <row r="87" spans="1:24">
      <c r="A87" s="15" t="s">
        <v>79</v>
      </c>
      <c r="B87" s="15" t="s">
        <v>83</v>
      </c>
      <c r="C87" s="15" t="s">
        <v>1737</v>
      </c>
      <c r="D87" s="13">
        <v>46232.700694444444</v>
      </c>
      <c r="E87" s="15" t="s">
        <v>265</v>
      </c>
      <c r="F87" s="15" t="s">
        <v>1746</v>
      </c>
      <c r="G87" s="15" t="s">
        <v>74</v>
      </c>
      <c r="H87" s="15" t="s">
        <v>75</v>
      </c>
      <c r="I87" s="14">
        <v>9000</v>
      </c>
      <c r="J87" s="15" t="s">
        <v>1747</v>
      </c>
      <c r="K87" s="15" t="s">
        <v>27</v>
      </c>
      <c r="L87" s="15">
        <v>1</v>
      </c>
      <c r="M87" s="15">
        <v>0.3</v>
      </c>
      <c r="N87" s="15" t="s">
        <v>76</v>
      </c>
      <c r="O87" s="15" t="s">
        <v>76</v>
      </c>
      <c r="P87" s="14">
        <v>189000</v>
      </c>
      <c r="Q87" s="13">
        <v>46232.70208333333</v>
      </c>
      <c r="R87" s="15" t="s">
        <v>308</v>
      </c>
      <c r="S87" s="11" t="str">
        <f t="shared" si="2"/>
        <v>2026-07-29</v>
      </c>
      <c r="T87" s="11">
        <f>IF($E87="","",IF(COUNTIF($E$2:$E87,$E87)=1,1,0))</f>
        <v>0</v>
      </c>
      <c r="U87" s="11" t="str">
        <f>IF(T87=1,SUM($T$2:T87),"")</f>
        <v/>
      </c>
      <c r="V87" s="11">
        <f>IF(OR($R87="",$R87="-"),"",IF(COUNTIF($R$2:$R87,$R87)=1,1,0))</f>
        <v>0</v>
      </c>
      <c r="W87" s="11" t="str">
        <f>IF(V87=1,SUM($V$2:V87),"")</f>
        <v/>
      </c>
      <c r="X87" s="11" t="str">
        <f t="shared" si="3"/>
        <v>SHOPEE</v>
      </c>
    </row>
    <row r="88" spans="1:24">
      <c r="A88" s="15" t="s">
        <v>79</v>
      </c>
      <c r="B88" s="15" t="s">
        <v>83</v>
      </c>
      <c r="C88" s="15" t="s">
        <v>1737</v>
      </c>
      <c r="D88" s="13">
        <v>46232.700694444444</v>
      </c>
      <c r="E88" s="15" t="s">
        <v>265</v>
      </c>
      <c r="F88" s="15" t="s">
        <v>1748</v>
      </c>
      <c r="G88" s="15" t="s">
        <v>74</v>
      </c>
      <c r="H88" s="15" t="s">
        <v>75</v>
      </c>
      <c r="I88" s="14">
        <v>12000</v>
      </c>
      <c r="J88" s="15" t="s">
        <v>1448</v>
      </c>
      <c r="K88" s="15" t="s">
        <v>24</v>
      </c>
      <c r="L88" s="15">
        <v>1</v>
      </c>
      <c r="M88" s="15">
        <v>0.3</v>
      </c>
      <c r="N88" s="15" t="s">
        <v>76</v>
      </c>
      <c r="O88" s="15" t="s">
        <v>76</v>
      </c>
      <c r="P88" s="14">
        <v>189000</v>
      </c>
      <c r="Q88" s="13">
        <v>46232.70208333333</v>
      </c>
      <c r="R88" s="15" t="s">
        <v>308</v>
      </c>
      <c r="S88" s="11" t="str">
        <f t="shared" si="2"/>
        <v>2026-07-29</v>
      </c>
      <c r="T88" s="11">
        <f>IF($E88="","",IF(COUNTIF($E$2:$E88,$E88)=1,1,0))</f>
        <v>0</v>
      </c>
      <c r="U88" s="11" t="str">
        <f>IF(T88=1,SUM($T$2:T88),"")</f>
        <v/>
      </c>
      <c r="V88" s="11">
        <f>IF(OR($R88="",$R88="-"),"",IF(COUNTIF($R$2:$R88,$R88)=1,1,0))</f>
        <v>0</v>
      </c>
      <c r="W88" s="11" t="str">
        <f>IF(V88=1,SUM($V$2:V88),"")</f>
        <v/>
      </c>
      <c r="X88" s="11" t="str">
        <f t="shared" si="3"/>
        <v>SHOPEE</v>
      </c>
    </row>
    <row r="89" spans="1:24">
      <c r="A89" s="15" t="s">
        <v>79</v>
      </c>
      <c r="B89" s="15" t="s">
        <v>83</v>
      </c>
      <c r="C89" s="15" t="s">
        <v>1749</v>
      </c>
      <c r="D89" s="13">
        <v>46232.700694444444</v>
      </c>
      <c r="E89" s="15" t="s">
        <v>265</v>
      </c>
      <c r="F89" s="15" t="s">
        <v>1750</v>
      </c>
      <c r="G89" s="15" t="s">
        <v>74</v>
      </c>
      <c r="H89" s="15" t="s">
        <v>75</v>
      </c>
      <c r="I89" s="14">
        <v>12000</v>
      </c>
      <c r="J89" s="15" t="s">
        <v>106</v>
      </c>
      <c r="K89" s="15" t="s">
        <v>24</v>
      </c>
      <c r="L89" s="15">
        <v>1</v>
      </c>
      <c r="M89" s="15">
        <v>0.3</v>
      </c>
      <c r="N89" s="15" t="s">
        <v>76</v>
      </c>
      <c r="O89" s="15" t="s">
        <v>76</v>
      </c>
      <c r="P89" s="14">
        <v>189000</v>
      </c>
      <c r="Q89" s="13">
        <v>46232.700694444444</v>
      </c>
      <c r="R89" s="15" t="s">
        <v>308</v>
      </c>
      <c r="S89" s="11" t="str">
        <f t="shared" si="2"/>
        <v>2026-07-29</v>
      </c>
      <c r="T89" s="11">
        <f>IF($E89="","",IF(COUNTIF($E$2:$E89,$E89)=1,1,0))</f>
        <v>0</v>
      </c>
      <c r="U89" s="11" t="str">
        <f>IF(T89=1,SUM($T$2:T89),"")</f>
        <v/>
      </c>
      <c r="V89" s="11">
        <f>IF(OR($R89="",$R89="-"),"",IF(COUNTIF($R$2:$R89,$R89)=1,1,0))</f>
        <v>0</v>
      </c>
      <c r="W89" s="11" t="str">
        <f>IF(V89=1,SUM($V$2:V89),"")</f>
        <v/>
      </c>
      <c r="X89" s="11" t="str">
        <f t="shared" si="3"/>
        <v>SHOPEE</v>
      </c>
    </row>
    <row r="90" spans="1:24">
      <c r="A90" s="15" t="s">
        <v>79</v>
      </c>
      <c r="B90" s="15" t="s">
        <v>83</v>
      </c>
      <c r="C90" s="15" t="s">
        <v>1749</v>
      </c>
      <c r="D90" s="13">
        <v>46232.700694444444</v>
      </c>
      <c r="E90" s="15" t="s">
        <v>265</v>
      </c>
      <c r="F90" s="15" t="s">
        <v>1751</v>
      </c>
      <c r="G90" s="15" t="s">
        <v>74</v>
      </c>
      <c r="H90" s="15" t="s">
        <v>75</v>
      </c>
      <c r="I90" s="14">
        <v>34000</v>
      </c>
      <c r="J90" s="15" t="s">
        <v>1752</v>
      </c>
      <c r="K90" s="15" t="s">
        <v>24</v>
      </c>
      <c r="L90" s="15">
        <v>1</v>
      </c>
      <c r="M90" s="15">
        <v>0.3</v>
      </c>
      <c r="N90" s="15" t="s">
        <v>76</v>
      </c>
      <c r="O90" s="15" t="s">
        <v>76</v>
      </c>
      <c r="P90" s="14">
        <v>189000</v>
      </c>
      <c r="Q90" s="13">
        <v>46232.700694444444</v>
      </c>
      <c r="R90" s="15" t="s">
        <v>308</v>
      </c>
      <c r="S90" s="11" t="str">
        <f t="shared" si="2"/>
        <v>2026-07-29</v>
      </c>
      <c r="T90" s="11">
        <f>IF($E90="","",IF(COUNTIF($E$2:$E90,$E90)=1,1,0))</f>
        <v>0</v>
      </c>
      <c r="U90" s="11" t="str">
        <f>IF(T90=1,SUM($T$2:T90),"")</f>
        <v/>
      </c>
      <c r="V90" s="11">
        <f>IF(OR($R90="",$R90="-"),"",IF(COUNTIF($R$2:$R90,$R90)=1,1,0))</f>
        <v>0</v>
      </c>
      <c r="W90" s="11" t="str">
        <f>IF(V90=1,SUM($V$2:V90),"")</f>
        <v/>
      </c>
      <c r="X90" s="11" t="str">
        <f t="shared" si="3"/>
        <v>SHOPEE</v>
      </c>
    </row>
    <row r="91" spans="1:24">
      <c r="A91" s="15" t="s">
        <v>79</v>
      </c>
      <c r="B91" s="15" t="s">
        <v>83</v>
      </c>
      <c r="C91" s="15" t="s">
        <v>1749</v>
      </c>
      <c r="D91" s="13">
        <v>46232.700694444444</v>
      </c>
      <c r="E91" s="15" t="s">
        <v>265</v>
      </c>
      <c r="F91" s="15" t="s">
        <v>1753</v>
      </c>
      <c r="G91" s="15" t="s">
        <v>74</v>
      </c>
      <c r="H91" s="15" t="s">
        <v>75</v>
      </c>
      <c r="I91" s="14">
        <v>12000</v>
      </c>
      <c r="J91" s="15" t="s">
        <v>128</v>
      </c>
      <c r="K91" s="15" t="s">
        <v>24</v>
      </c>
      <c r="L91" s="15">
        <v>1</v>
      </c>
      <c r="M91" s="15">
        <v>0.3</v>
      </c>
      <c r="N91" s="15" t="s">
        <v>76</v>
      </c>
      <c r="O91" s="15" t="s">
        <v>76</v>
      </c>
      <c r="P91" s="14">
        <v>189000</v>
      </c>
      <c r="Q91" s="13">
        <v>46232.700694444444</v>
      </c>
      <c r="R91" s="15" t="s">
        <v>308</v>
      </c>
      <c r="S91" s="11" t="str">
        <f t="shared" si="2"/>
        <v>2026-07-29</v>
      </c>
      <c r="T91" s="11">
        <f>IF($E91="","",IF(COUNTIF($E$2:$E91,$E91)=1,1,0))</f>
        <v>0</v>
      </c>
      <c r="U91" s="11" t="str">
        <f>IF(T91=1,SUM($T$2:T91),"")</f>
        <v/>
      </c>
      <c r="V91" s="11">
        <f>IF(OR($R91="",$R91="-"),"",IF(COUNTIF($R$2:$R91,$R91)=1,1,0))</f>
        <v>0</v>
      </c>
      <c r="W91" s="11" t="str">
        <f>IF(V91=1,SUM($V$2:V91),"")</f>
        <v/>
      </c>
      <c r="X91" s="11" t="str">
        <f t="shared" si="3"/>
        <v>SHOPEE</v>
      </c>
    </row>
    <row r="92" spans="1:24">
      <c r="A92" s="15" t="s">
        <v>79</v>
      </c>
      <c r="B92" s="15" t="s">
        <v>83</v>
      </c>
      <c r="C92" s="15" t="s">
        <v>1749</v>
      </c>
      <c r="D92" s="13">
        <v>46232.700694444444</v>
      </c>
      <c r="E92" s="15" t="s">
        <v>265</v>
      </c>
      <c r="F92" s="15" t="s">
        <v>1754</v>
      </c>
      <c r="G92" s="15" t="s">
        <v>74</v>
      </c>
      <c r="H92" s="15" t="s">
        <v>75</v>
      </c>
      <c r="I92" s="14">
        <v>36500</v>
      </c>
      <c r="J92" s="15" t="s">
        <v>1755</v>
      </c>
      <c r="K92" s="15" t="s">
        <v>27</v>
      </c>
      <c r="L92" s="15">
        <v>1</v>
      </c>
      <c r="M92" s="15">
        <v>0.3</v>
      </c>
      <c r="N92" s="15" t="s">
        <v>76</v>
      </c>
      <c r="O92" s="15" t="s">
        <v>76</v>
      </c>
      <c r="P92" s="14">
        <v>189000</v>
      </c>
      <c r="Q92" s="13">
        <v>46232.700694444444</v>
      </c>
      <c r="R92" s="15" t="s">
        <v>308</v>
      </c>
      <c r="S92" s="11" t="str">
        <f t="shared" si="2"/>
        <v>2026-07-29</v>
      </c>
      <c r="T92" s="11">
        <f>IF($E92="","",IF(COUNTIF($E$2:$E92,$E92)=1,1,0))</f>
        <v>0</v>
      </c>
      <c r="U92" s="11" t="str">
        <f>IF(T92=1,SUM($T$2:T92),"")</f>
        <v/>
      </c>
      <c r="V92" s="11">
        <f>IF(OR($R92="",$R92="-"),"",IF(COUNTIF($R$2:$R92,$R92)=1,1,0))</f>
        <v>0</v>
      </c>
      <c r="W92" s="11" t="str">
        <f>IF(V92=1,SUM($V$2:V92),"")</f>
        <v/>
      </c>
      <c r="X92" s="11" t="str">
        <f t="shared" si="3"/>
        <v>SHOPEE</v>
      </c>
    </row>
    <row r="93" spans="1:24">
      <c r="A93" s="15" t="s">
        <v>79</v>
      </c>
      <c r="B93" s="15" t="s">
        <v>83</v>
      </c>
      <c r="C93" s="15" t="s">
        <v>1749</v>
      </c>
      <c r="D93" s="13">
        <v>46232.700694444444</v>
      </c>
      <c r="E93" s="15" t="s">
        <v>265</v>
      </c>
      <c r="F93" s="15" t="s">
        <v>1756</v>
      </c>
      <c r="G93" s="15" t="s">
        <v>74</v>
      </c>
      <c r="H93" s="15" t="s">
        <v>75</v>
      </c>
      <c r="I93" s="14">
        <v>12000</v>
      </c>
      <c r="J93" s="15" t="s">
        <v>105</v>
      </c>
      <c r="K93" s="15" t="s">
        <v>24</v>
      </c>
      <c r="L93" s="15">
        <v>1</v>
      </c>
      <c r="M93" s="15">
        <v>0.3</v>
      </c>
      <c r="N93" s="15" t="s">
        <v>76</v>
      </c>
      <c r="O93" s="15" t="s">
        <v>76</v>
      </c>
      <c r="P93" s="14">
        <v>189000</v>
      </c>
      <c r="Q93" s="13">
        <v>46232.700694444444</v>
      </c>
      <c r="R93" s="15" t="s">
        <v>308</v>
      </c>
      <c r="S93" s="11" t="str">
        <f t="shared" si="2"/>
        <v>2026-07-29</v>
      </c>
      <c r="T93" s="11">
        <f>IF($E93="","",IF(COUNTIF($E$2:$E93,$E93)=1,1,0))</f>
        <v>0</v>
      </c>
      <c r="U93" s="11" t="str">
        <f>IF(T93=1,SUM($T$2:T93),"")</f>
        <v/>
      </c>
      <c r="V93" s="11">
        <f>IF(OR($R93="",$R93="-"),"",IF(COUNTIF($R$2:$R93,$R93)=1,1,0))</f>
        <v>0</v>
      </c>
      <c r="W93" s="11" t="str">
        <f>IF(V93=1,SUM($V$2:V93),"")</f>
        <v/>
      </c>
      <c r="X93" s="11" t="str">
        <f t="shared" si="3"/>
        <v>SHOPEE</v>
      </c>
    </row>
    <row r="94" spans="1:24">
      <c r="A94" s="15" t="s">
        <v>79</v>
      </c>
      <c r="B94" s="15" t="s">
        <v>83</v>
      </c>
      <c r="C94" s="15" t="s">
        <v>1749</v>
      </c>
      <c r="D94" s="13">
        <v>46232.700694444444</v>
      </c>
      <c r="E94" s="15" t="s">
        <v>265</v>
      </c>
      <c r="F94" s="15" t="s">
        <v>1757</v>
      </c>
      <c r="G94" s="15" t="s">
        <v>74</v>
      </c>
      <c r="H94" s="15" t="s">
        <v>75</v>
      </c>
      <c r="I94" s="14">
        <v>11000</v>
      </c>
      <c r="J94" s="15" t="s">
        <v>1758</v>
      </c>
      <c r="K94" s="15" t="s">
        <v>27</v>
      </c>
      <c r="L94" s="15">
        <v>1</v>
      </c>
      <c r="M94" s="15">
        <v>0.3</v>
      </c>
      <c r="N94" s="15" t="s">
        <v>76</v>
      </c>
      <c r="O94" s="15" t="s">
        <v>76</v>
      </c>
      <c r="P94" s="14">
        <v>189000</v>
      </c>
      <c r="Q94" s="13">
        <v>46232.700694444444</v>
      </c>
      <c r="R94" s="15" t="s">
        <v>308</v>
      </c>
      <c r="S94" s="11" t="str">
        <f t="shared" si="2"/>
        <v>2026-07-29</v>
      </c>
      <c r="T94" s="11">
        <f>IF($E94="","",IF(COUNTIF($E$2:$E94,$E94)=1,1,0))</f>
        <v>0</v>
      </c>
      <c r="U94" s="11" t="str">
        <f>IF(T94=1,SUM($T$2:T94),"")</f>
        <v/>
      </c>
      <c r="V94" s="11">
        <f>IF(OR($R94="",$R94="-"),"",IF(COUNTIF($R$2:$R94,$R94)=1,1,0))</f>
        <v>0</v>
      </c>
      <c r="W94" s="11" t="str">
        <f>IF(V94=1,SUM($V$2:V94),"")</f>
        <v/>
      </c>
      <c r="X94" s="11" t="str">
        <f t="shared" si="3"/>
        <v>SHOPEE</v>
      </c>
    </row>
    <row r="95" spans="1:24">
      <c r="A95" s="15" t="s">
        <v>79</v>
      </c>
      <c r="B95" s="15" t="s">
        <v>83</v>
      </c>
      <c r="C95" s="15" t="s">
        <v>1749</v>
      </c>
      <c r="D95" s="13">
        <v>46232.700694444444</v>
      </c>
      <c r="E95" s="15" t="s">
        <v>265</v>
      </c>
      <c r="F95" s="15" t="s">
        <v>1759</v>
      </c>
      <c r="G95" s="15" t="s">
        <v>74</v>
      </c>
      <c r="H95" s="15" t="s">
        <v>75</v>
      </c>
      <c r="I95" s="14">
        <v>19500</v>
      </c>
      <c r="J95" s="15" t="s">
        <v>1760</v>
      </c>
      <c r="K95" s="15" t="s">
        <v>27</v>
      </c>
      <c r="L95" s="15">
        <v>1</v>
      </c>
      <c r="M95" s="15">
        <v>0.3</v>
      </c>
      <c r="N95" s="15" t="s">
        <v>76</v>
      </c>
      <c r="O95" s="15" t="s">
        <v>76</v>
      </c>
      <c r="P95" s="14">
        <v>189000</v>
      </c>
      <c r="Q95" s="13">
        <v>46232.700694444444</v>
      </c>
      <c r="R95" s="15" t="s">
        <v>308</v>
      </c>
      <c r="S95" s="11" t="str">
        <f t="shared" si="2"/>
        <v>2026-07-29</v>
      </c>
      <c r="T95" s="11">
        <f>IF($E95="","",IF(COUNTIF($E$2:$E95,$E95)=1,1,0))</f>
        <v>0</v>
      </c>
      <c r="U95" s="11" t="str">
        <f>IF(T95=1,SUM($T$2:T95),"")</f>
        <v/>
      </c>
      <c r="V95" s="11">
        <f>IF(OR($R95="",$R95="-"),"",IF(COUNTIF($R$2:$R95,$R95)=1,1,0))</f>
        <v>0</v>
      </c>
      <c r="W95" s="11" t="str">
        <f>IF(V95=1,SUM($V$2:V95),"")</f>
        <v/>
      </c>
      <c r="X95" s="11" t="str">
        <f t="shared" si="3"/>
        <v>SHOPEE</v>
      </c>
    </row>
    <row r="96" spans="1:24">
      <c r="A96" s="15" t="s">
        <v>79</v>
      </c>
      <c r="B96" s="15" t="s">
        <v>83</v>
      </c>
      <c r="C96" s="15" t="s">
        <v>1749</v>
      </c>
      <c r="D96" s="13">
        <v>46232.700694444444</v>
      </c>
      <c r="E96" s="15" t="s">
        <v>265</v>
      </c>
      <c r="F96" s="15" t="s">
        <v>1761</v>
      </c>
      <c r="G96" s="15" t="s">
        <v>74</v>
      </c>
      <c r="H96" s="15" t="s">
        <v>75</v>
      </c>
      <c r="I96" s="14">
        <v>32500</v>
      </c>
      <c r="J96" s="15" t="s">
        <v>1762</v>
      </c>
      <c r="K96" s="15" t="s">
        <v>27</v>
      </c>
      <c r="L96" s="15">
        <v>1</v>
      </c>
      <c r="M96" s="15">
        <v>0.3</v>
      </c>
      <c r="N96" s="15" t="s">
        <v>76</v>
      </c>
      <c r="O96" s="15" t="s">
        <v>76</v>
      </c>
      <c r="P96" s="14">
        <v>189000</v>
      </c>
      <c r="Q96" s="13">
        <v>46232.700694444444</v>
      </c>
      <c r="R96" s="15" t="s">
        <v>308</v>
      </c>
      <c r="S96" s="11" t="str">
        <f t="shared" si="2"/>
        <v>2026-07-29</v>
      </c>
      <c r="T96" s="11">
        <f>IF($E96="","",IF(COUNTIF($E$2:$E96,$E96)=1,1,0))</f>
        <v>0</v>
      </c>
      <c r="U96" s="11" t="str">
        <f>IF(T96=1,SUM($T$2:T96),"")</f>
        <v/>
      </c>
      <c r="V96" s="11">
        <f>IF(OR($R96="",$R96="-"),"",IF(COUNTIF($R$2:$R96,$R96)=1,1,0))</f>
        <v>0</v>
      </c>
      <c r="W96" s="11" t="str">
        <f>IF(V96=1,SUM($V$2:V96),"")</f>
        <v/>
      </c>
      <c r="X96" s="11" t="str">
        <f t="shared" si="3"/>
        <v>SHOPEE</v>
      </c>
    </row>
    <row r="97" spans="1:24">
      <c r="A97" s="15" t="s">
        <v>79</v>
      </c>
      <c r="B97" s="15" t="s">
        <v>83</v>
      </c>
      <c r="C97" s="15" t="s">
        <v>1749</v>
      </c>
      <c r="D97" s="13">
        <v>46232.700694444444</v>
      </c>
      <c r="E97" s="15" t="s">
        <v>265</v>
      </c>
      <c r="F97" s="15" t="s">
        <v>1763</v>
      </c>
      <c r="G97" s="15" t="s">
        <v>74</v>
      </c>
      <c r="H97" s="15" t="s">
        <v>75</v>
      </c>
      <c r="I97" s="14">
        <v>26000</v>
      </c>
      <c r="J97" s="15" t="s">
        <v>1764</v>
      </c>
      <c r="K97" s="15" t="s">
        <v>24</v>
      </c>
      <c r="L97" s="15">
        <v>1</v>
      </c>
      <c r="M97" s="15">
        <v>0.3</v>
      </c>
      <c r="N97" s="15" t="s">
        <v>76</v>
      </c>
      <c r="O97" s="15" t="s">
        <v>76</v>
      </c>
      <c r="P97" s="14">
        <v>189000</v>
      </c>
      <c r="Q97" s="13">
        <v>46232.700694444444</v>
      </c>
      <c r="R97" s="15" t="s">
        <v>308</v>
      </c>
      <c r="S97" s="11" t="str">
        <f t="shared" si="2"/>
        <v>2026-07-29</v>
      </c>
      <c r="T97" s="11">
        <f>IF($E97="","",IF(COUNTIF($E$2:$E97,$E97)=1,1,0))</f>
        <v>0</v>
      </c>
      <c r="U97" s="11" t="str">
        <f>IF(T97=1,SUM($T$2:T97),"")</f>
        <v/>
      </c>
      <c r="V97" s="11">
        <f>IF(OR($R97="",$R97="-"),"",IF(COUNTIF($R$2:$R97,$R97)=1,1,0))</f>
        <v>0</v>
      </c>
      <c r="W97" s="11" t="str">
        <f>IF(V97=1,SUM($V$2:V97),"")</f>
        <v/>
      </c>
      <c r="X97" s="11" t="str">
        <f t="shared" si="3"/>
        <v>SHOPEE</v>
      </c>
    </row>
    <row r="98" spans="1:24">
      <c r="A98" s="15" t="s">
        <v>79</v>
      </c>
      <c r="B98" s="15" t="s">
        <v>83</v>
      </c>
      <c r="C98" s="15" t="s">
        <v>1749</v>
      </c>
      <c r="D98" s="13">
        <v>46232.700694444444</v>
      </c>
      <c r="E98" s="15" t="s">
        <v>265</v>
      </c>
      <c r="F98" s="15" t="s">
        <v>1765</v>
      </c>
      <c r="G98" s="15" t="s">
        <v>74</v>
      </c>
      <c r="H98" s="15" t="s">
        <v>75</v>
      </c>
      <c r="I98" s="14">
        <v>25000</v>
      </c>
      <c r="J98" s="15" t="s">
        <v>1766</v>
      </c>
      <c r="K98" s="15" t="s">
        <v>27</v>
      </c>
      <c r="L98" s="15">
        <v>1</v>
      </c>
      <c r="M98" s="15">
        <v>0.3</v>
      </c>
      <c r="N98" s="15" t="s">
        <v>76</v>
      </c>
      <c r="O98" s="15" t="s">
        <v>76</v>
      </c>
      <c r="P98" s="14">
        <v>199000</v>
      </c>
      <c r="Q98" s="13">
        <v>46232.700694444444</v>
      </c>
      <c r="R98" s="15" t="s">
        <v>308</v>
      </c>
      <c r="S98" s="11" t="str">
        <f t="shared" si="2"/>
        <v>2026-07-29</v>
      </c>
      <c r="T98" s="11">
        <f>IF($E98="","",IF(COUNTIF($E$2:$E98,$E98)=1,1,0))</f>
        <v>0</v>
      </c>
      <c r="U98" s="11" t="str">
        <f>IF(T98=1,SUM($T$2:T98),"")</f>
        <v/>
      </c>
      <c r="V98" s="11">
        <f>IF(OR($R98="",$R98="-"),"",IF(COUNTIF($R$2:$R98,$R98)=1,1,0))</f>
        <v>0</v>
      </c>
      <c r="W98" s="11" t="str">
        <f>IF(V98=1,SUM($V$2:V98),"")</f>
        <v/>
      </c>
      <c r="X98" s="11" t="str">
        <f t="shared" si="3"/>
        <v>SHOPEE</v>
      </c>
    </row>
    <row r="99" spans="1:24">
      <c r="A99" s="15" t="s">
        <v>79</v>
      </c>
      <c r="B99" s="15" t="s">
        <v>83</v>
      </c>
      <c r="C99" s="15" t="s">
        <v>1767</v>
      </c>
      <c r="D99" s="13">
        <v>46232.699305555558</v>
      </c>
      <c r="E99" s="15" t="s">
        <v>265</v>
      </c>
      <c r="F99" s="15" t="s">
        <v>1768</v>
      </c>
      <c r="G99" s="15" t="s">
        <v>74</v>
      </c>
      <c r="H99" s="15" t="s">
        <v>75</v>
      </c>
      <c r="I99" s="14">
        <v>14000</v>
      </c>
      <c r="J99" s="15" t="s">
        <v>711</v>
      </c>
      <c r="K99" s="15" t="s">
        <v>27</v>
      </c>
      <c r="L99" s="15">
        <v>1</v>
      </c>
      <c r="M99" s="15">
        <v>0.3</v>
      </c>
      <c r="N99" s="15" t="s">
        <v>76</v>
      </c>
      <c r="O99" s="15" t="s">
        <v>76</v>
      </c>
      <c r="P99" s="14">
        <v>189000</v>
      </c>
      <c r="Q99" s="13">
        <v>46232.7</v>
      </c>
      <c r="R99" s="15" t="s">
        <v>308</v>
      </c>
      <c r="S99" s="11" t="str">
        <f t="shared" si="2"/>
        <v>2026-07-29</v>
      </c>
      <c r="T99" s="11">
        <f>IF($E99="","",IF(COUNTIF($E$2:$E99,$E99)=1,1,0))</f>
        <v>0</v>
      </c>
      <c r="U99" s="11" t="str">
        <f>IF(T99=1,SUM($T$2:T99),"")</f>
        <v/>
      </c>
      <c r="V99" s="11">
        <f>IF(OR($R99="",$R99="-"),"",IF(COUNTIF($R$2:$R99,$R99)=1,1,0))</f>
        <v>0</v>
      </c>
      <c r="W99" s="11" t="str">
        <f>IF(V99=1,SUM($V$2:V99),"")</f>
        <v/>
      </c>
      <c r="X99" s="11" t="str">
        <f t="shared" si="3"/>
        <v>SHOPEE</v>
      </c>
    </row>
    <row r="100" spans="1:24">
      <c r="A100" s="15" t="s">
        <v>79</v>
      </c>
      <c r="B100" s="15" t="s">
        <v>83</v>
      </c>
      <c r="C100" s="15" t="s">
        <v>1767</v>
      </c>
      <c r="D100" s="13">
        <v>46232.699305555558</v>
      </c>
      <c r="E100" s="15" t="s">
        <v>265</v>
      </c>
      <c r="F100" s="15" t="s">
        <v>1769</v>
      </c>
      <c r="G100" s="15" t="s">
        <v>74</v>
      </c>
      <c r="H100" s="15" t="s">
        <v>75</v>
      </c>
      <c r="I100" s="14">
        <v>14000</v>
      </c>
      <c r="J100" s="15" t="s">
        <v>1770</v>
      </c>
      <c r="K100" s="15" t="s">
        <v>24</v>
      </c>
      <c r="L100" s="15">
        <v>1</v>
      </c>
      <c r="M100" s="15">
        <v>0.3</v>
      </c>
      <c r="N100" s="15" t="s">
        <v>76</v>
      </c>
      <c r="O100" s="15" t="s">
        <v>76</v>
      </c>
      <c r="P100" s="14">
        <v>189000</v>
      </c>
      <c r="Q100" s="13">
        <v>46232.7</v>
      </c>
      <c r="R100" s="15" t="s">
        <v>308</v>
      </c>
      <c r="S100" s="11" t="str">
        <f t="shared" si="2"/>
        <v>2026-07-29</v>
      </c>
      <c r="T100" s="11">
        <f>IF($E100="","",IF(COUNTIF($E$2:$E100,$E100)=1,1,0))</f>
        <v>0</v>
      </c>
      <c r="U100" s="11" t="str">
        <f>IF(T100=1,SUM($T$2:T100),"")</f>
        <v/>
      </c>
      <c r="V100" s="11">
        <f>IF(OR($R100="",$R100="-"),"",IF(COUNTIF($R$2:$R100,$R100)=1,1,0))</f>
        <v>0</v>
      </c>
      <c r="W100" s="11" t="str">
        <f>IF(V100=1,SUM($V$2:V100),"")</f>
        <v/>
      </c>
      <c r="X100" s="11" t="str">
        <f t="shared" si="3"/>
        <v>SHOPEE</v>
      </c>
    </row>
    <row r="101" spans="1:24">
      <c r="A101" s="15" t="s">
        <v>79</v>
      </c>
      <c r="B101" s="15" t="s">
        <v>83</v>
      </c>
      <c r="C101" s="15" t="s">
        <v>1767</v>
      </c>
      <c r="D101" s="13">
        <v>46232.699305555558</v>
      </c>
      <c r="E101" s="15" t="s">
        <v>265</v>
      </c>
      <c r="F101" s="15" t="s">
        <v>1771</v>
      </c>
      <c r="G101" s="15" t="s">
        <v>74</v>
      </c>
      <c r="H101" s="15" t="s">
        <v>75</v>
      </c>
      <c r="I101" s="14">
        <v>24000</v>
      </c>
      <c r="J101" s="15" t="s">
        <v>1772</v>
      </c>
      <c r="K101" s="15" t="s">
        <v>24</v>
      </c>
      <c r="L101" s="15">
        <v>1</v>
      </c>
      <c r="M101" s="15">
        <v>0.3</v>
      </c>
      <c r="N101" s="15" t="s">
        <v>76</v>
      </c>
      <c r="O101" s="15" t="s">
        <v>76</v>
      </c>
      <c r="P101" s="14">
        <v>189000</v>
      </c>
      <c r="Q101" s="13">
        <v>46232.7</v>
      </c>
      <c r="R101" s="15" t="s">
        <v>308</v>
      </c>
      <c r="S101" s="11" t="str">
        <f t="shared" si="2"/>
        <v>2026-07-29</v>
      </c>
      <c r="T101" s="11">
        <f>IF($E101="","",IF(COUNTIF($E$2:$E101,$E101)=1,1,0))</f>
        <v>0</v>
      </c>
      <c r="U101" s="11" t="str">
        <f>IF(T101=1,SUM($T$2:T101),"")</f>
        <v/>
      </c>
      <c r="V101" s="11">
        <f>IF(OR($R101="",$R101="-"),"",IF(COUNTIF($R$2:$R101,$R101)=1,1,0))</f>
        <v>0</v>
      </c>
      <c r="W101" s="11" t="str">
        <f>IF(V101=1,SUM($V$2:V101),"")</f>
        <v/>
      </c>
      <c r="X101" s="11" t="str">
        <f t="shared" si="3"/>
        <v>SHOPEE</v>
      </c>
    </row>
    <row r="102" spans="1:24">
      <c r="A102" s="15" t="s">
        <v>79</v>
      </c>
      <c r="B102" s="15" t="s">
        <v>83</v>
      </c>
      <c r="C102" s="15" t="s">
        <v>1767</v>
      </c>
      <c r="D102" s="13">
        <v>46232.699305555558</v>
      </c>
      <c r="E102" s="15" t="s">
        <v>265</v>
      </c>
      <c r="F102" s="15" t="s">
        <v>1773</v>
      </c>
      <c r="G102" s="15" t="s">
        <v>74</v>
      </c>
      <c r="H102" s="15" t="s">
        <v>75</v>
      </c>
      <c r="I102" s="14">
        <v>24000</v>
      </c>
      <c r="J102" s="15" t="s">
        <v>1710</v>
      </c>
      <c r="K102" s="15" t="s">
        <v>24</v>
      </c>
      <c r="L102" s="15">
        <v>1</v>
      </c>
      <c r="M102" s="15">
        <v>0.3</v>
      </c>
      <c r="N102" s="15" t="s">
        <v>76</v>
      </c>
      <c r="O102" s="15" t="s">
        <v>76</v>
      </c>
      <c r="P102" s="14">
        <v>189000</v>
      </c>
      <c r="Q102" s="13">
        <v>46232.7</v>
      </c>
      <c r="R102" s="15" t="s">
        <v>308</v>
      </c>
      <c r="S102" s="11" t="str">
        <f t="shared" si="2"/>
        <v>2026-07-29</v>
      </c>
      <c r="T102" s="11">
        <f>IF($E102="","",IF(COUNTIF($E$2:$E102,$E102)=1,1,0))</f>
        <v>0</v>
      </c>
      <c r="U102" s="11" t="str">
        <f>IF(T102=1,SUM($T$2:T102),"")</f>
        <v/>
      </c>
      <c r="V102" s="11">
        <f>IF(OR($R102="",$R102="-"),"",IF(COUNTIF($R$2:$R102,$R102)=1,1,0))</f>
        <v>0</v>
      </c>
      <c r="W102" s="11" t="str">
        <f>IF(V102=1,SUM($V$2:V102),"")</f>
        <v/>
      </c>
      <c r="X102" s="11" t="str">
        <f t="shared" si="3"/>
        <v>SHOPEE</v>
      </c>
    </row>
    <row r="103" spans="1:24">
      <c r="A103" s="15" t="s">
        <v>79</v>
      </c>
      <c r="B103" s="15" t="s">
        <v>83</v>
      </c>
      <c r="C103" s="15" t="s">
        <v>1767</v>
      </c>
      <c r="D103" s="13">
        <v>46232.699305555558</v>
      </c>
      <c r="E103" s="15" t="s">
        <v>265</v>
      </c>
      <c r="F103" s="15" t="s">
        <v>1774</v>
      </c>
      <c r="G103" s="15" t="s">
        <v>74</v>
      </c>
      <c r="H103" s="15" t="s">
        <v>75</v>
      </c>
      <c r="I103" s="14">
        <v>24000</v>
      </c>
      <c r="J103" s="15" t="s">
        <v>1775</v>
      </c>
      <c r="K103" s="15" t="s">
        <v>24</v>
      </c>
      <c r="L103" s="15">
        <v>1</v>
      </c>
      <c r="M103" s="15">
        <v>0.3</v>
      </c>
      <c r="N103" s="15" t="s">
        <v>76</v>
      </c>
      <c r="O103" s="15" t="s">
        <v>76</v>
      </c>
      <c r="P103" s="14">
        <v>189000</v>
      </c>
      <c r="Q103" s="13">
        <v>46232.7</v>
      </c>
      <c r="R103" s="15" t="s">
        <v>308</v>
      </c>
      <c r="S103" s="11" t="str">
        <f t="shared" si="2"/>
        <v>2026-07-29</v>
      </c>
      <c r="T103" s="11">
        <f>IF($E103="","",IF(COUNTIF($E$2:$E103,$E103)=1,1,0))</f>
        <v>0</v>
      </c>
      <c r="U103" s="11" t="str">
        <f>IF(T103=1,SUM($T$2:T103),"")</f>
        <v/>
      </c>
      <c r="V103" s="11">
        <f>IF(OR($R103="",$R103="-"),"",IF(COUNTIF($R$2:$R103,$R103)=1,1,0))</f>
        <v>0</v>
      </c>
      <c r="W103" s="11" t="str">
        <f>IF(V103=1,SUM($V$2:V103),"")</f>
        <v/>
      </c>
      <c r="X103" s="11" t="str">
        <f t="shared" si="3"/>
        <v>SHOPEE</v>
      </c>
    </row>
    <row r="104" spans="1:24">
      <c r="A104" s="15" t="s">
        <v>79</v>
      </c>
      <c r="B104" s="15" t="s">
        <v>83</v>
      </c>
      <c r="C104" s="15" t="s">
        <v>1767</v>
      </c>
      <c r="D104" s="13">
        <v>46232.699305555558</v>
      </c>
      <c r="E104" s="15" t="s">
        <v>265</v>
      </c>
      <c r="F104" s="15" t="s">
        <v>1776</v>
      </c>
      <c r="G104" s="15" t="s">
        <v>74</v>
      </c>
      <c r="H104" s="15" t="s">
        <v>75</v>
      </c>
      <c r="I104" s="14">
        <v>8500</v>
      </c>
      <c r="J104" s="15" t="s">
        <v>1777</v>
      </c>
      <c r="K104" s="15" t="s">
        <v>27</v>
      </c>
      <c r="L104" s="15">
        <v>1</v>
      </c>
      <c r="M104" s="15">
        <v>0.3</v>
      </c>
      <c r="N104" s="15" t="s">
        <v>76</v>
      </c>
      <c r="O104" s="15" t="s">
        <v>76</v>
      </c>
      <c r="P104" s="14">
        <v>199000</v>
      </c>
      <c r="Q104" s="13">
        <v>46232.7</v>
      </c>
      <c r="R104" s="15" t="s">
        <v>308</v>
      </c>
      <c r="S104" s="11" t="str">
        <f t="shared" si="2"/>
        <v>2026-07-29</v>
      </c>
      <c r="T104" s="11">
        <f>IF($E104="","",IF(COUNTIF($E$2:$E104,$E104)=1,1,0))</f>
        <v>0</v>
      </c>
      <c r="U104" s="11" t="str">
        <f>IF(T104=1,SUM($T$2:T104),"")</f>
        <v/>
      </c>
      <c r="V104" s="11">
        <f>IF(OR($R104="",$R104="-"),"",IF(COUNTIF($R$2:$R104,$R104)=1,1,0))</f>
        <v>0</v>
      </c>
      <c r="W104" s="11" t="str">
        <f>IF(V104=1,SUM($V$2:V104),"")</f>
        <v/>
      </c>
      <c r="X104" s="11" t="str">
        <f t="shared" si="3"/>
        <v>SHOPEE</v>
      </c>
    </row>
    <row r="105" spans="1:24">
      <c r="A105" s="15" t="s">
        <v>79</v>
      </c>
      <c r="B105" s="15" t="s">
        <v>83</v>
      </c>
      <c r="C105" s="15" t="s">
        <v>1767</v>
      </c>
      <c r="D105" s="13">
        <v>46232.699305555558</v>
      </c>
      <c r="E105" s="15" t="s">
        <v>265</v>
      </c>
      <c r="F105" s="15" t="s">
        <v>1778</v>
      </c>
      <c r="G105" s="15" t="s">
        <v>74</v>
      </c>
      <c r="H105" s="15" t="s">
        <v>75</v>
      </c>
      <c r="I105" s="14">
        <v>40000</v>
      </c>
      <c r="J105" s="15" t="s">
        <v>1779</v>
      </c>
      <c r="K105" s="15" t="s">
        <v>27</v>
      </c>
      <c r="L105" s="15">
        <v>1</v>
      </c>
      <c r="M105" s="15">
        <v>0.3</v>
      </c>
      <c r="N105" s="15" t="s">
        <v>76</v>
      </c>
      <c r="O105" s="15" t="s">
        <v>76</v>
      </c>
      <c r="P105" s="14">
        <v>189000</v>
      </c>
      <c r="Q105" s="13">
        <v>46232.7</v>
      </c>
      <c r="R105" s="15" t="s">
        <v>308</v>
      </c>
      <c r="S105" s="11" t="str">
        <f t="shared" si="2"/>
        <v>2026-07-29</v>
      </c>
      <c r="T105" s="11">
        <f>IF($E105="","",IF(COUNTIF($E$2:$E105,$E105)=1,1,0))</f>
        <v>0</v>
      </c>
      <c r="U105" s="11" t="str">
        <f>IF(T105=1,SUM($T$2:T105),"")</f>
        <v/>
      </c>
      <c r="V105" s="11">
        <f>IF(OR($R105="",$R105="-"),"",IF(COUNTIF($R$2:$R105,$R105)=1,1,0))</f>
        <v>0</v>
      </c>
      <c r="W105" s="11" t="str">
        <f>IF(V105=1,SUM($V$2:V105),"")</f>
        <v/>
      </c>
      <c r="X105" s="11" t="str">
        <f t="shared" si="3"/>
        <v>SHOPEE</v>
      </c>
    </row>
    <row r="106" spans="1:24">
      <c r="A106" s="15" t="s">
        <v>79</v>
      </c>
      <c r="B106" s="15" t="s">
        <v>83</v>
      </c>
      <c r="C106" s="15" t="s">
        <v>1767</v>
      </c>
      <c r="D106" s="13">
        <v>46232.699305555558</v>
      </c>
      <c r="E106" s="15" t="s">
        <v>265</v>
      </c>
      <c r="F106" s="15" t="s">
        <v>1780</v>
      </c>
      <c r="G106" s="15" t="s">
        <v>74</v>
      </c>
      <c r="H106" s="15" t="s">
        <v>75</v>
      </c>
      <c r="I106" s="14">
        <v>31000</v>
      </c>
      <c r="J106" s="15" t="s">
        <v>1781</v>
      </c>
      <c r="K106" s="15" t="s">
        <v>27</v>
      </c>
      <c r="L106" s="15">
        <v>1</v>
      </c>
      <c r="M106" s="15">
        <v>0.3</v>
      </c>
      <c r="N106" s="15" t="s">
        <v>76</v>
      </c>
      <c r="O106" s="15" t="s">
        <v>76</v>
      </c>
      <c r="P106" s="14">
        <v>189000</v>
      </c>
      <c r="Q106" s="13">
        <v>46232.7</v>
      </c>
      <c r="R106" s="15" t="s">
        <v>308</v>
      </c>
      <c r="S106" s="11" t="str">
        <f t="shared" si="2"/>
        <v>2026-07-29</v>
      </c>
      <c r="T106" s="11">
        <f>IF($E106="","",IF(COUNTIF($E$2:$E106,$E106)=1,1,0))</f>
        <v>0</v>
      </c>
      <c r="U106" s="11" t="str">
        <f>IF(T106=1,SUM($T$2:T106),"")</f>
        <v/>
      </c>
      <c r="V106" s="11">
        <f>IF(OR($R106="",$R106="-"),"",IF(COUNTIF($R$2:$R106,$R106)=1,1,0))</f>
        <v>0</v>
      </c>
      <c r="W106" s="11" t="str">
        <f>IF(V106=1,SUM($V$2:V106),"")</f>
        <v/>
      </c>
      <c r="X106" s="11" t="str">
        <f t="shared" si="3"/>
        <v>SHOPEE</v>
      </c>
    </row>
    <row r="107" spans="1:24">
      <c r="A107" s="15" t="s">
        <v>79</v>
      </c>
      <c r="B107" s="15" t="s">
        <v>83</v>
      </c>
      <c r="C107" s="15" t="s">
        <v>1767</v>
      </c>
      <c r="D107" s="13">
        <v>46232.699305555558</v>
      </c>
      <c r="E107" s="15" t="s">
        <v>265</v>
      </c>
      <c r="F107" s="15" t="s">
        <v>1782</v>
      </c>
      <c r="G107" s="15" t="s">
        <v>74</v>
      </c>
      <c r="H107" s="15" t="s">
        <v>75</v>
      </c>
      <c r="I107" s="14">
        <v>12000</v>
      </c>
      <c r="J107" s="15" t="s">
        <v>105</v>
      </c>
      <c r="K107" s="15" t="s">
        <v>24</v>
      </c>
      <c r="L107" s="15">
        <v>1</v>
      </c>
      <c r="M107" s="15">
        <v>0.3</v>
      </c>
      <c r="N107" s="15" t="s">
        <v>76</v>
      </c>
      <c r="O107" s="15" t="s">
        <v>76</v>
      </c>
      <c r="P107" s="14">
        <v>189000</v>
      </c>
      <c r="Q107" s="13">
        <v>46232.7</v>
      </c>
      <c r="R107" s="15" t="s">
        <v>308</v>
      </c>
      <c r="S107" s="11" t="str">
        <f t="shared" si="2"/>
        <v>2026-07-29</v>
      </c>
      <c r="T107" s="11">
        <f>IF($E107="","",IF(COUNTIF($E$2:$E107,$E107)=1,1,0))</f>
        <v>0</v>
      </c>
      <c r="U107" s="11" t="str">
        <f>IF(T107=1,SUM($T$2:T107),"")</f>
        <v/>
      </c>
      <c r="V107" s="11">
        <f>IF(OR($R107="",$R107="-"),"",IF(COUNTIF($R$2:$R107,$R107)=1,1,0))</f>
        <v>0</v>
      </c>
      <c r="W107" s="11" t="str">
        <f>IF(V107=1,SUM($V$2:V107),"")</f>
        <v/>
      </c>
      <c r="X107" s="11" t="str">
        <f t="shared" si="3"/>
        <v>SHOPEE</v>
      </c>
    </row>
    <row r="108" spans="1:24">
      <c r="A108" s="15" t="s">
        <v>79</v>
      </c>
      <c r="B108" s="15" t="s">
        <v>83</v>
      </c>
      <c r="C108" s="15" t="s">
        <v>1767</v>
      </c>
      <c r="D108" s="13">
        <v>46232.699305555558</v>
      </c>
      <c r="E108" s="15" t="s">
        <v>265</v>
      </c>
      <c r="F108" s="15" t="s">
        <v>1783</v>
      </c>
      <c r="G108" s="15" t="s">
        <v>74</v>
      </c>
      <c r="H108" s="15" t="s">
        <v>75</v>
      </c>
      <c r="I108" s="14">
        <v>8500</v>
      </c>
      <c r="J108" s="15" t="s">
        <v>1784</v>
      </c>
      <c r="K108" s="15" t="s">
        <v>27</v>
      </c>
      <c r="L108" s="15">
        <v>1</v>
      </c>
      <c r="M108" s="15">
        <v>0.3</v>
      </c>
      <c r="N108" s="15" t="s">
        <v>76</v>
      </c>
      <c r="O108" s="15" t="s">
        <v>76</v>
      </c>
      <c r="P108" s="14">
        <v>189000</v>
      </c>
      <c r="Q108" s="13">
        <v>46232.7</v>
      </c>
      <c r="R108" s="15" t="s">
        <v>308</v>
      </c>
      <c r="S108" s="11" t="str">
        <f t="shared" si="2"/>
        <v>2026-07-29</v>
      </c>
      <c r="T108" s="11">
        <f>IF($E108="","",IF(COUNTIF($E$2:$E108,$E108)=1,1,0))</f>
        <v>0</v>
      </c>
      <c r="U108" s="11" t="str">
        <f>IF(T108=1,SUM($T$2:T108),"")</f>
        <v/>
      </c>
      <c r="V108" s="11">
        <f>IF(OR($R108="",$R108="-"),"",IF(COUNTIF($R$2:$R108,$R108)=1,1,0))</f>
        <v>0</v>
      </c>
      <c r="W108" s="11" t="str">
        <f>IF(V108=1,SUM($V$2:V108),"")</f>
        <v/>
      </c>
      <c r="X108" s="11" t="str">
        <f t="shared" si="3"/>
        <v>SHOPEE</v>
      </c>
    </row>
    <row r="109" spans="1:24">
      <c r="A109" s="15" t="s">
        <v>79</v>
      </c>
      <c r="B109" s="15" t="s">
        <v>83</v>
      </c>
      <c r="C109" s="15" t="s">
        <v>1785</v>
      </c>
      <c r="D109" s="13">
        <v>46232.695833333331</v>
      </c>
      <c r="E109" s="15" t="s">
        <v>265</v>
      </c>
      <c r="F109" s="15" t="s">
        <v>1786</v>
      </c>
      <c r="G109" s="15" t="s">
        <v>74</v>
      </c>
      <c r="H109" s="15" t="s">
        <v>75</v>
      </c>
      <c r="I109" s="14">
        <v>72000</v>
      </c>
      <c r="J109" s="15" t="s">
        <v>1787</v>
      </c>
      <c r="K109" s="15" t="s">
        <v>24</v>
      </c>
      <c r="L109" s="15">
        <v>8</v>
      </c>
      <c r="M109" s="15">
        <v>2.4</v>
      </c>
      <c r="N109" s="15" t="s">
        <v>76</v>
      </c>
      <c r="O109" s="15" t="s">
        <v>76</v>
      </c>
      <c r="P109" s="14">
        <v>216000</v>
      </c>
      <c r="Q109" s="13">
        <v>46232.696527777778</v>
      </c>
      <c r="R109" s="15" t="s">
        <v>91</v>
      </c>
      <c r="S109" s="11" t="str">
        <f t="shared" si="2"/>
        <v>2026-07-29</v>
      </c>
      <c r="T109" s="11">
        <f>IF($E109="","",IF(COUNTIF($E$2:$E109,$E109)=1,1,0))</f>
        <v>0</v>
      </c>
      <c r="U109" s="11" t="str">
        <f>IF(T109=1,SUM($T$2:T109),"")</f>
        <v/>
      </c>
      <c r="V109" s="11">
        <f>IF(OR($R109="",$R109="-"),"",IF(COUNTIF($R$2:$R109,$R109)=1,1,0))</f>
        <v>0</v>
      </c>
      <c r="W109" s="11" t="str">
        <f>IF(V109=1,SUM($V$2:V109),"")</f>
        <v/>
      </c>
      <c r="X109" s="11" t="str">
        <f t="shared" si="3"/>
        <v>SHOPEE</v>
      </c>
    </row>
    <row r="110" spans="1:24">
      <c r="A110" s="15" t="s">
        <v>79</v>
      </c>
      <c r="B110" s="15" t="s">
        <v>83</v>
      </c>
      <c r="C110" s="15" t="s">
        <v>1785</v>
      </c>
      <c r="D110" s="13">
        <v>46232.695833333331</v>
      </c>
      <c r="E110" s="15" t="s">
        <v>265</v>
      </c>
      <c r="F110" s="15" t="s">
        <v>1788</v>
      </c>
      <c r="G110" s="15" t="s">
        <v>74</v>
      </c>
      <c r="H110" s="15" t="s">
        <v>75</v>
      </c>
      <c r="I110" s="14">
        <v>12000</v>
      </c>
      <c r="J110" s="15" t="s">
        <v>1789</v>
      </c>
      <c r="K110" s="15" t="s">
        <v>24</v>
      </c>
      <c r="L110" s="15">
        <v>1</v>
      </c>
      <c r="M110" s="15">
        <v>0.13</v>
      </c>
      <c r="N110" s="15" t="s">
        <v>76</v>
      </c>
      <c r="O110" s="15" t="s">
        <v>76</v>
      </c>
      <c r="P110" s="14">
        <v>24000</v>
      </c>
      <c r="Q110" s="13">
        <v>46232.696527777778</v>
      </c>
      <c r="R110" s="15" t="s">
        <v>91</v>
      </c>
      <c r="S110" s="11" t="str">
        <f t="shared" si="2"/>
        <v>2026-07-29</v>
      </c>
      <c r="T110" s="11">
        <f>IF($E110="","",IF(COUNTIF($E$2:$E110,$E110)=1,1,0))</f>
        <v>0</v>
      </c>
      <c r="U110" s="11" t="str">
        <f>IF(T110=1,SUM($T$2:T110),"")</f>
        <v/>
      </c>
      <c r="V110" s="11">
        <f>IF(OR($R110="",$R110="-"),"",IF(COUNTIF($R$2:$R110,$R110)=1,1,0))</f>
        <v>0</v>
      </c>
      <c r="W110" s="11" t="str">
        <f>IF(V110=1,SUM($V$2:V110),"")</f>
        <v/>
      </c>
      <c r="X110" s="11" t="str">
        <f t="shared" si="3"/>
        <v>SHOPEE</v>
      </c>
    </row>
    <row r="111" spans="1:24">
      <c r="A111" s="15" t="s">
        <v>79</v>
      </c>
      <c r="B111" s="15" t="s">
        <v>83</v>
      </c>
      <c r="C111" s="15" t="s">
        <v>1785</v>
      </c>
      <c r="D111" s="13">
        <v>46232.695833333331</v>
      </c>
      <c r="E111" s="15" t="s">
        <v>265</v>
      </c>
      <c r="F111" s="15" t="s">
        <v>1790</v>
      </c>
      <c r="G111" s="15" t="s">
        <v>74</v>
      </c>
      <c r="H111" s="15" t="s">
        <v>75</v>
      </c>
      <c r="I111" s="14">
        <v>9000</v>
      </c>
      <c r="J111" s="15" t="s">
        <v>1791</v>
      </c>
      <c r="K111" s="15" t="s">
        <v>27</v>
      </c>
      <c r="L111" s="15">
        <v>1</v>
      </c>
      <c r="M111" s="15">
        <v>0.2</v>
      </c>
      <c r="N111" s="15" t="s">
        <v>76</v>
      </c>
      <c r="O111" s="15" t="s">
        <v>76</v>
      </c>
      <c r="P111" s="14">
        <v>78928</v>
      </c>
      <c r="Q111" s="13">
        <v>46232.696527777778</v>
      </c>
      <c r="R111" s="15" t="s">
        <v>91</v>
      </c>
      <c r="S111" s="11" t="str">
        <f t="shared" si="2"/>
        <v>2026-07-29</v>
      </c>
      <c r="T111" s="11">
        <f>IF($E111="","",IF(COUNTIF($E$2:$E111,$E111)=1,1,0))</f>
        <v>0</v>
      </c>
      <c r="U111" s="11" t="str">
        <f>IF(T111=1,SUM($T$2:T111),"")</f>
        <v/>
      </c>
      <c r="V111" s="11">
        <f>IF(OR($R111="",$R111="-"),"",IF(COUNTIF($R$2:$R111,$R111)=1,1,0))</f>
        <v>0</v>
      </c>
      <c r="W111" s="11" t="str">
        <f>IF(V111=1,SUM($V$2:V111),"")</f>
        <v/>
      </c>
      <c r="X111" s="11" t="str">
        <f t="shared" si="3"/>
        <v>SHOPEE</v>
      </c>
    </row>
    <row r="112" spans="1:24">
      <c r="A112" s="15" t="s">
        <v>79</v>
      </c>
      <c r="B112" s="15" t="s">
        <v>83</v>
      </c>
      <c r="C112" s="15" t="s">
        <v>1792</v>
      </c>
      <c r="D112" s="13">
        <v>46232.695833333331</v>
      </c>
      <c r="E112" s="15" t="s">
        <v>265</v>
      </c>
      <c r="F112" s="15" t="s">
        <v>1793</v>
      </c>
      <c r="G112" s="15" t="s">
        <v>74</v>
      </c>
      <c r="H112" s="15" t="s">
        <v>75</v>
      </c>
      <c r="I112" s="14">
        <v>12000</v>
      </c>
      <c r="J112" s="15" t="s">
        <v>139</v>
      </c>
      <c r="K112" s="15" t="s">
        <v>24</v>
      </c>
      <c r="L112" s="15">
        <v>1</v>
      </c>
      <c r="M112" s="15">
        <v>0.3</v>
      </c>
      <c r="N112" s="15" t="s">
        <v>76</v>
      </c>
      <c r="O112" s="15" t="s">
        <v>76</v>
      </c>
      <c r="P112" s="14">
        <v>189000</v>
      </c>
      <c r="Q112" s="13">
        <v>46232.695833333331</v>
      </c>
      <c r="R112" s="15" t="s">
        <v>308</v>
      </c>
      <c r="S112" s="11" t="str">
        <f t="shared" si="2"/>
        <v>2026-07-29</v>
      </c>
      <c r="T112" s="11">
        <f>IF($E112="","",IF(COUNTIF($E$2:$E112,$E112)=1,1,0))</f>
        <v>0</v>
      </c>
      <c r="U112" s="11" t="str">
        <f>IF(T112=1,SUM($T$2:T112),"")</f>
        <v/>
      </c>
      <c r="V112" s="11">
        <f>IF(OR($R112="",$R112="-"),"",IF(COUNTIF($R$2:$R112,$R112)=1,1,0))</f>
        <v>0</v>
      </c>
      <c r="W112" s="11" t="str">
        <f>IF(V112=1,SUM($V$2:V112),"")</f>
        <v/>
      </c>
      <c r="X112" s="11" t="str">
        <f t="shared" si="3"/>
        <v>SHOPEE</v>
      </c>
    </row>
    <row r="113" spans="1:24">
      <c r="A113" s="15" t="s">
        <v>79</v>
      </c>
      <c r="B113" s="15" t="s">
        <v>83</v>
      </c>
      <c r="C113" s="15" t="s">
        <v>1792</v>
      </c>
      <c r="D113" s="13">
        <v>46232.695833333331</v>
      </c>
      <c r="E113" s="15" t="s">
        <v>265</v>
      </c>
      <c r="F113" s="15" t="s">
        <v>1794</v>
      </c>
      <c r="G113" s="15" t="s">
        <v>74</v>
      </c>
      <c r="H113" s="15" t="s">
        <v>75</v>
      </c>
      <c r="I113" s="14">
        <v>12000</v>
      </c>
      <c r="J113" s="15" t="s">
        <v>1795</v>
      </c>
      <c r="K113" s="15" t="s">
        <v>24</v>
      </c>
      <c r="L113" s="15">
        <v>1</v>
      </c>
      <c r="M113" s="15">
        <v>0.3</v>
      </c>
      <c r="N113" s="15" t="s">
        <v>76</v>
      </c>
      <c r="O113" s="15" t="s">
        <v>76</v>
      </c>
      <c r="P113" s="14">
        <v>189000</v>
      </c>
      <c r="Q113" s="13">
        <v>46232.695833333331</v>
      </c>
      <c r="R113" s="15" t="s">
        <v>308</v>
      </c>
      <c r="S113" s="11" t="str">
        <f t="shared" si="2"/>
        <v>2026-07-29</v>
      </c>
      <c r="T113" s="11">
        <f>IF($E113="","",IF(COUNTIF($E$2:$E113,$E113)=1,1,0))</f>
        <v>0</v>
      </c>
      <c r="U113" s="11" t="str">
        <f>IF(T113=1,SUM($T$2:T113),"")</f>
        <v/>
      </c>
      <c r="V113" s="11">
        <f>IF(OR($R113="",$R113="-"),"",IF(COUNTIF($R$2:$R113,$R113)=1,1,0))</f>
        <v>0</v>
      </c>
      <c r="W113" s="11" t="str">
        <f>IF(V113=1,SUM($V$2:V113),"")</f>
        <v/>
      </c>
      <c r="X113" s="11" t="str">
        <f t="shared" si="3"/>
        <v>SHOPEE</v>
      </c>
    </row>
    <row r="114" spans="1:24">
      <c r="A114" s="15" t="s">
        <v>79</v>
      </c>
      <c r="B114" s="15" t="s">
        <v>83</v>
      </c>
      <c r="C114" s="15" t="s">
        <v>1792</v>
      </c>
      <c r="D114" s="13">
        <v>46232.695833333331</v>
      </c>
      <c r="E114" s="15" t="s">
        <v>265</v>
      </c>
      <c r="F114" s="15" t="s">
        <v>1796</v>
      </c>
      <c r="G114" s="15" t="s">
        <v>74</v>
      </c>
      <c r="H114" s="15" t="s">
        <v>75</v>
      </c>
      <c r="I114" s="14">
        <v>26000</v>
      </c>
      <c r="J114" s="15" t="s">
        <v>1797</v>
      </c>
      <c r="K114" s="15" t="s">
        <v>24</v>
      </c>
      <c r="L114" s="15">
        <v>1</v>
      </c>
      <c r="M114" s="15">
        <v>0.3</v>
      </c>
      <c r="N114" s="15" t="s">
        <v>76</v>
      </c>
      <c r="O114" s="15" t="s">
        <v>76</v>
      </c>
      <c r="P114" s="14">
        <v>189000</v>
      </c>
      <c r="Q114" s="13">
        <v>46232.695833333331</v>
      </c>
      <c r="R114" s="15" t="s">
        <v>308</v>
      </c>
      <c r="S114" s="11" t="str">
        <f t="shared" si="2"/>
        <v>2026-07-29</v>
      </c>
      <c r="T114" s="11">
        <f>IF($E114="","",IF(COUNTIF($E$2:$E114,$E114)=1,1,0))</f>
        <v>0</v>
      </c>
      <c r="U114" s="11" t="str">
        <f>IF(T114=1,SUM($T$2:T114),"")</f>
        <v/>
      </c>
      <c r="V114" s="11">
        <f>IF(OR($R114="",$R114="-"),"",IF(COUNTIF($R$2:$R114,$R114)=1,1,0))</f>
        <v>0</v>
      </c>
      <c r="W114" s="11" t="str">
        <f>IF(V114=1,SUM($V$2:V114),"")</f>
        <v/>
      </c>
      <c r="X114" s="11" t="str">
        <f t="shared" si="3"/>
        <v>SHOPEE</v>
      </c>
    </row>
    <row r="115" spans="1:24">
      <c r="A115" s="15" t="s">
        <v>79</v>
      </c>
      <c r="B115" s="15" t="s">
        <v>83</v>
      </c>
      <c r="C115" s="15" t="s">
        <v>1792</v>
      </c>
      <c r="D115" s="13">
        <v>46232.695833333331</v>
      </c>
      <c r="E115" s="15" t="s">
        <v>265</v>
      </c>
      <c r="F115" s="15" t="s">
        <v>1798</v>
      </c>
      <c r="G115" s="15" t="s">
        <v>74</v>
      </c>
      <c r="H115" s="15" t="s">
        <v>75</v>
      </c>
      <c r="I115" s="14">
        <v>17000</v>
      </c>
      <c r="J115" s="15" t="s">
        <v>1799</v>
      </c>
      <c r="K115" s="15" t="s">
        <v>24</v>
      </c>
      <c r="L115" s="15">
        <v>1</v>
      </c>
      <c r="M115" s="15">
        <v>0.3</v>
      </c>
      <c r="N115" s="15" t="s">
        <v>76</v>
      </c>
      <c r="O115" s="15" t="s">
        <v>76</v>
      </c>
      <c r="P115" s="14">
        <v>189000</v>
      </c>
      <c r="Q115" s="13">
        <v>46232.695833333331</v>
      </c>
      <c r="R115" s="15" t="s">
        <v>308</v>
      </c>
      <c r="S115" s="11" t="str">
        <f t="shared" si="2"/>
        <v>2026-07-29</v>
      </c>
      <c r="T115" s="11">
        <f>IF($E115="","",IF(COUNTIF($E$2:$E115,$E115)=1,1,0))</f>
        <v>0</v>
      </c>
      <c r="U115" s="11" t="str">
        <f>IF(T115=1,SUM($T$2:T115),"")</f>
        <v/>
      </c>
      <c r="V115" s="11">
        <f>IF(OR($R115="",$R115="-"),"",IF(COUNTIF($R$2:$R115,$R115)=1,1,0))</f>
        <v>0</v>
      </c>
      <c r="W115" s="11" t="str">
        <f>IF(V115=1,SUM($V$2:V115),"")</f>
        <v/>
      </c>
      <c r="X115" s="11" t="str">
        <f t="shared" si="3"/>
        <v>SHOPEE</v>
      </c>
    </row>
    <row r="116" spans="1:24">
      <c r="A116" s="15" t="s">
        <v>79</v>
      </c>
      <c r="B116" s="15" t="s">
        <v>83</v>
      </c>
      <c r="C116" s="15" t="s">
        <v>1792</v>
      </c>
      <c r="D116" s="13">
        <v>46232.695833333331</v>
      </c>
      <c r="E116" s="15" t="s">
        <v>265</v>
      </c>
      <c r="F116" s="15" t="s">
        <v>1800</v>
      </c>
      <c r="G116" s="15" t="s">
        <v>74</v>
      </c>
      <c r="H116" s="15" t="s">
        <v>75</v>
      </c>
      <c r="I116" s="14">
        <v>24000</v>
      </c>
      <c r="J116" s="15" t="s">
        <v>1801</v>
      </c>
      <c r="K116" s="15" t="s">
        <v>24</v>
      </c>
      <c r="L116" s="15">
        <v>1</v>
      </c>
      <c r="M116" s="15">
        <v>0.3</v>
      </c>
      <c r="N116" s="15" t="s">
        <v>76</v>
      </c>
      <c r="O116" s="15" t="s">
        <v>76</v>
      </c>
      <c r="P116" s="14">
        <v>189000</v>
      </c>
      <c r="Q116" s="13">
        <v>46232.695833333331</v>
      </c>
      <c r="R116" s="15" t="s">
        <v>308</v>
      </c>
      <c r="S116" s="11" t="str">
        <f t="shared" si="2"/>
        <v>2026-07-29</v>
      </c>
      <c r="T116" s="11">
        <f>IF($E116="","",IF(COUNTIF($E$2:$E116,$E116)=1,1,0))</f>
        <v>0</v>
      </c>
      <c r="U116" s="11" t="str">
        <f>IF(T116=1,SUM($T$2:T116),"")</f>
        <v/>
      </c>
      <c r="V116" s="11">
        <f>IF(OR($R116="",$R116="-"),"",IF(COUNTIF($R$2:$R116,$R116)=1,1,0))</f>
        <v>0</v>
      </c>
      <c r="W116" s="11" t="str">
        <f>IF(V116=1,SUM($V$2:V116),"")</f>
        <v/>
      </c>
      <c r="X116" s="11" t="str">
        <f t="shared" si="3"/>
        <v>SHOPEE</v>
      </c>
    </row>
    <row r="117" spans="1:24">
      <c r="A117" s="15" t="s">
        <v>79</v>
      </c>
      <c r="B117" s="15" t="s">
        <v>83</v>
      </c>
      <c r="C117" s="15" t="s">
        <v>1792</v>
      </c>
      <c r="D117" s="13">
        <v>46232.695833333331</v>
      </c>
      <c r="E117" s="15" t="s">
        <v>265</v>
      </c>
      <c r="F117" s="15" t="s">
        <v>1802</v>
      </c>
      <c r="G117" s="15" t="s">
        <v>74</v>
      </c>
      <c r="H117" s="15" t="s">
        <v>75</v>
      </c>
      <c r="I117" s="14">
        <v>28000</v>
      </c>
      <c r="J117" s="15" t="s">
        <v>1803</v>
      </c>
      <c r="K117" s="15" t="s">
        <v>27</v>
      </c>
      <c r="L117" s="15">
        <v>1</v>
      </c>
      <c r="M117" s="15">
        <v>0.3</v>
      </c>
      <c r="N117" s="15" t="s">
        <v>76</v>
      </c>
      <c r="O117" s="15" t="s">
        <v>76</v>
      </c>
      <c r="P117" s="14">
        <v>189000</v>
      </c>
      <c r="Q117" s="13">
        <v>46232.695833333331</v>
      </c>
      <c r="R117" s="15" t="s">
        <v>308</v>
      </c>
      <c r="S117" s="11" t="str">
        <f t="shared" si="2"/>
        <v>2026-07-29</v>
      </c>
      <c r="T117" s="11">
        <f>IF($E117="","",IF(COUNTIF($E$2:$E117,$E117)=1,1,0))</f>
        <v>0</v>
      </c>
      <c r="U117" s="11" t="str">
        <f>IF(T117=1,SUM($T$2:T117),"")</f>
        <v/>
      </c>
      <c r="V117" s="11">
        <f>IF(OR($R117="",$R117="-"),"",IF(COUNTIF($R$2:$R117,$R117)=1,1,0))</f>
        <v>0</v>
      </c>
      <c r="W117" s="11" t="str">
        <f>IF(V117=1,SUM($V$2:V117),"")</f>
        <v/>
      </c>
      <c r="X117" s="11" t="str">
        <f t="shared" si="3"/>
        <v>SHOPEE</v>
      </c>
    </row>
    <row r="118" spans="1:24">
      <c r="A118" s="15" t="s">
        <v>79</v>
      </c>
      <c r="B118" s="15" t="s">
        <v>83</v>
      </c>
      <c r="C118" s="15" t="s">
        <v>1792</v>
      </c>
      <c r="D118" s="13">
        <v>46232.695833333331</v>
      </c>
      <c r="E118" s="15" t="s">
        <v>265</v>
      </c>
      <c r="F118" s="15" t="s">
        <v>1804</v>
      </c>
      <c r="G118" s="15" t="s">
        <v>74</v>
      </c>
      <c r="H118" s="15" t="s">
        <v>75</v>
      </c>
      <c r="I118" s="14">
        <v>12000</v>
      </c>
      <c r="J118" s="15" t="s">
        <v>112</v>
      </c>
      <c r="K118" s="15" t="s">
        <v>24</v>
      </c>
      <c r="L118" s="15">
        <v>1</v>
      </c>
      <c r="M118" s="15">
        <v>0.3</v>
      </c>
      <c r="N118" s="15" t="s">
        <v>76</v>
      </c>
      <c r="O118" s="15" t="s">
        <v>76</v>
      </c>
      <c r="P118" s="14">
        <v>189000</v>
      </c>
      <c r="Q118" s="13">
        <v>46232.695833333331</v>
      </c>
      <c r="R118" s="15" t="s">
        <v>308</v>
      </c>
      <c r="S118" s="11" t="str">
        <f t="shared" si="2"/>
        <v>2026-07-29</v>
      </c>
      <c r="T118" s="11">
        <f>IF($E118="","",IF(COUNTIF($E$2:$E118,$E118)=1,1,0))</f>
        <v>0</v>
      </c>
      <c r="U118" s="11" t="str">
        <f>IF(T118=1,SUM($T$2:T118),"")</f>
        <v/>
      </c>
      <c r="V118" s="11">
        <f>IF(OR($R118="",$R118="-"),"",IF(COUNTIF($R$2:$R118,$R118)=1,1,0))</f>
        <v>0</v>
      </c>
      <c r="W118" s="11" t="str">
        <f>IF(V118=1,SUM($V$2:V118),"")</f>
        <v/>
      </c>
      <c r="X118" s="11" t="str">
        <f t="shared" si="3"/>
        <v>SHOPEE</v>
      </c>
    </row>
    <row r="119" spans="1:24">
      <c r="A119" s="15" t="s">
        <v>79</v>
      </c>
      <c r="B119" s="15" t="s">
        <v>83</v>
      </c>
      <c r="C119" s="15" t="s">
        <v>1792</v>
      </c>
      <c r="D119" s="13">
        <v>46232.695833333331</v>
      </c>
      <c r="E119" s="15" t="s">
        <v>265</v>
      </c>
      <c r="F119" s="15" t="s">
        <v>1805</v>
      </c>
      <c r="G119" s="15" t="s">
        <v>74</v>
      </c>
      <c r="H119" s="15" t="s">
        <v>75</v>
      </c>
      <c r="I119" s="14">
        <v>12000</v>
      </c>
      <c r="J119" s="15" t="s">
        <v>1806</v>
      </c>
      <c r="K119" s="15" t="s">
        <v>24</v>
      </c>
      <c r="L119" s="15">
        <v>1</v>
      </c>
      <c r="M119" s="15">
        <v>0.3</v>
      </c>
      <c r="N119" s="15" t="s">
        <v>76</v>
      </c>
      <c r="O119" s="15" t="s">
        <v>76</v>
      </c>
      <c r="P119" s="14">
        <v>189000</v>
      </c>
      <c r="Q119" s="13">
        <v>46232.695833333331</v>
      </c>
      <c r="R119" s="15" t="s">
        <v>308</v>
      </c>
      <c r="S119" s="11" t="str">
        <f t="shared" si="2"/>
        <v>2026-07-29</v>
      </c>
      <c r="T119" s="11">
        <f>IF($E119="","",IF(COUNTIF($E$2:$E119,$E119)=1,1,0))</f>
        <v>0</v>
      </c>
      <c r="U119" s="11" t="str">
        <f>IF(T119=1,SUM($T$2:T119),"")</f>
        <v/>
      </c>
      <c r="V119" s="11">
        <f>IF(OR($R119="",$R119="-"),"",IF(COUNTIF($R$2:$R119,$R119)=1,1,0))</f>
        <v>0</v>
      </c>
      <c r="W119" s="11" t="str">
        <f>IF(V119=1,SUM($V$2:V119),"")</f>
        <v/>
      </c>
      <c r="X119" s="11" t="str">
        <f t="shared" si="3"/>
        <v>SHOPEE</v>
      </c>
    </row>
    <row r="120" spans="1:24">
      <c r="A120" s="15" t="s">
        <v>79</v>
      </c>
      <c r="B120" s="15" t="s">
        <v>83</v>
      </c>
      <c r="C120" s="15" t="s">
        <v>1792</v>
      </c>
      <c r="D120" s="13">
        <v>46232.695833333331</v>
      </c>
      <c r="E120" s="15" t="s">
        <v>265</v>
      </c>
      <c r="F120" s="15" t="s">
        <v>1807</v>
      </c>
      <c r="G120" s="15" t="s">
        <v>74</v>
      </c>
      <c r="H120" s="15" t="s">
        <v>75</v>
      </c>
      <c r="I120" s="14">
        <v>24000</v>
      </c>
      <c r="J120" s="15" t="s">
        <v>1808</v>
      </c>
      <c r="K120" s="15" t="s">
        <v>24</v>
      </c>
      <c r="L120" s="15">
        <v>1</v>
      </c>
      <c r="M120" s="15">
        <v>0.3</v>
      </c>
      <c r="N120" s="15" t="s">
        <v>76</v>
      </c>
      <c r="O120" s="15" t="s">
        <v>76</v>
      </c>
      <c r="P120" s="14">
        <v>189000</v>
      </c>
      <c r="Q120" s="13">
        <v>46232.695833333331</v>
      </c>
      <c r="R120" s="15" t="s">
        <v>308</v>
      </c>
      <c r="S120" s="11" t="str">
        <f t="shared" si="2"/>
        <v>2026-07-29</v>
      </c>
      <c r="T120" s="11">
        <f>IF($E120="","",IF(COUNTIF($E$2:$E120,$E120)=1,1,0))</f>
        <v>0</v>
      </c>
      <c r="U120" s="11" t="str">
        <f>IF(T120=1,SUM($T$2:T120),"")</f>
        <v/>
      </c>
      <c r="V120" s="11">
        <f>IF(OR($R120="",$R120="-"),"",IF(COUNTIF($R$2:$R120,$R120)=1,1,0))</f>
        <v>0</v>
      </c>
      <c r="W120" s="11" t="str">
        <f>IF(V120=1,SUM($V$2:V120),"")</f>
        <v/>
      </c>
      <c r="X120" s="11" t="str">
        <f t="shared" si="3"/>
        <v>SHOPEE</v>
      </c>
    </row>
    <row r="121" spans="1:24">
      <c r="A121" s="15" t="s">
        <v>79</v>
      </c>
      <c r="B121" s="15" t="s">
        <v>83</v>
      </c>
      <c r="C121" s="15" t="s">
        <v>1792</v>
      </c>
      <c r="D121" s="13">
        <v>46232.695833333331</v>
      </c>
      <c r="E121" s="15" t="s">
        <v>265</v>
      </c>
      <c r="F121" s="15" t="s">
        <v>1809</v>
      </c>
      <c r="G121" s="15" t="s">
        <v>74</v>
      </c>
      <c r="H121" s="15" t="s">
        <v>75</v>
      </c>
      <c r="I121" s="14">
        <v>24000</v>
      </c>
      <c r="J121" s="15" t="s">
        <v>1810</v>
      </c>
      <c r="K121" s="15" t="s">
        <v>24</v>
      </c>
      <c r="L121" s="15">
        <v>1</v>
      </c>
      <c r="M121" s="15">
        <v>0.3</v>
      </c>
      <c r="N121" s="15" t="s">
        <v>76</v>
      </c>
      <c r="O121" s="15" t="s">
        <v>76</v>
      </c>
      <c r="P121" s="14">
        <v>189000</v>
      </c>
      <c r="Q121" s="13">
        <v>46232.695833333331</v>
      </c>
      <c r="R121" s="15" t="s">
        <v>308</v>
      </c>
      <c r="S121" s="11" t="str">
        <f t="shared" si="2"/>
        <v>2026-07-29</v>
      </c>
      <c r="T121" s="11">
        <f>IF($E121="","",IF(COUNTIF($E$2:$E121,$E121)=1,1,0))</f>
        <v>0</v>
      </c>
      <c r="U121" s="11" t="str">
        <f>IF(T121=1,SUM($T$2:T121),"")</f>
        <v/>
      </c>
      <c r="V121" s="11">
        <f>IF(OR($R121="",$R121="-"),"",IF(COUNTIF($R$2:$R121,$R121)=1,1,0))</f>
        <v>0</v>
      </c>
      <c r="W121" s="11" t="str">
        <f>IF(V121=1,SUM($V$2:V121),"")</f>
        <v/>
      </c>
      <c r="X121" s="11" t="str">
        <f t="shared" si="3"/>
        <v>SHOPEE</v>
      </c>
    </row>
    <row r="122" spans="1:24">
      <c r="A122" s="15" t="s">
        <v>79</v>
      </c>
      <c r="B122" s="15" t="s">
        <v>83</v>
      </c>
      <c r="C122" s="15" t="s">
        <v>1811</v>
      </c>
      <c r="D122" s="13">
        <v>46232.691666666666</v>
      </c>
      <c r="E122" s="15" t="s">
        <v>265</v>
      </c>
      <c r="F122" s="15" t="s">
        <v>1812</v>
      </c>
      <c r="G122" s="15" t="s">
        <v>74</v>
      </c>
      <c r="H122" s="15" t="s">
        <v>75</v>
      </c>
      <c r="I122" s="14">
        <v>31000</v>
      </c>
      <c r="J122" s="15" t="s">
        <v>1813</v>
      </c>
      <c r="K122" s="15" t="s">
        <v>27</v>
      </c>
      <c r="L122" s="15">
        <v>1</v>
      </c>
      <c r="M122" s="15">
        <v>0.3</v>
      </c>
      <c r="N122" s="15" t="s">
        <v>76</v>
      </c>
      <c r="O122" s="15" t="s">
        <v>76</v>
      </c>
      <c r="P122" s="14">
        <v>189000</v>
      </c>
      <c r="Q122" s="13">
        <v>46232.692361111112</v>
      </c>
      <c r="R122" s="15" t="s">
        <v>308</v>
      </c>
      <c r="S122" s="11" t="str">
        <f t="shared" si="2"/>
        <v>2026-07-29</v>
      </c>
      <c r="T122" s="11">
        <f>IF($E122="","",IF(COUNTIF($E$2:$E122,$E122)=1,1,0))</f>
        <v>0</v>
      </c>
      <c r="U122" s="11" t="str">
        <f>IF(T122=1,SUM($T$2:T122),"")</f>
        <v/>
      </c>
      <c r="V122" s="11">
        <f>IF(OR($R122="",$R122="-"),"",IF(COUNTIF($R$2:$R122,$R122)=1,1,0))</f>
        <v>0</v>
      </c>
      <c r="W122" s="11" t="str">
        <f>IF(V122=1,SUM($V$2:V122),"")</f>
        <v/>
      </c>
      <c r="X122" s="11" t="str">
        <f t="shared" si="3"/>
        <v>SHOPEE</v>
      </c>
    </row>
    <row r="123" spans="1:24">
      <c r="A123" s="15" t="s">
        <v>79</v>
      </c>
      <c r="B123" s="15" t="s">
        <v>83</v>
      </c>
      <c r="C123" s="15" t="s">
        <v>1811</v>
      </c>
      <c r="D123" s="13">
        <v>46232.691666666666</v>
      </c>
      <c r="E123" s="15" t="s">
        <v>265</v>
      </c>
      <c r="F123" s="15" t="s">
        <v>1814</v>
      </c>
      <c r="G123" s="15" t="s">
        <v>74</v>
      </c>
      <c r="H123" s="15" t="s">
        <v>75</v>
      </c>
      <c r="I123" s="14">
        <v>21000</v>
      </c>
      <c r="J123" s="15" t="s">
        <v>319</v>
      </c>
      <c r="K123" s="15" t="s">
        <v>24</v>
      </c>
      <c r="L123" s="15">
        <v>1</v>
      </c>
      <c r="M123" s="15">
        <v>0.3</v>
      </c>
      <c r="N123" s="15" t="s">
        <v>76</v>
      </c>
      <c r="O123" s="15" t="s">
        <v>76</v>
      </c>
      <c r="P123" s="14">
        <v>189000</v>
      </c>
      <c r="Q123" s="13">
        <v>46232.692361111112</v>
      </c>
      <c r="R123" s="15" t="s">
        <v>308</v>
      </c>
      <c r="S123" s="11" t="str">
        <f t="shared" si="2"/>
        <v>2026-07-29</v>
      </c>
      <c r="T123" s="11">
        <f>IF($E123="","",IF(COUNTIF($E$2:$E123,$E123)=1,1,0))</f>
        <v>0</v>
      </c>
      <c r="U123" s="11" t="str">
        <f>IF(T123=1,SUM($T$2:T123),"")</f>
        <v/>
      </c>
      <c r="V123" s="11">
        <f>IF(OR($R123="",$R123="-"),"",IF(COUNTIF($R$2:$R123,$R123)=1,1,0))</f>
        <v>0</v>
      </c>
      <c r="W123" s="11" t="str">
        <f>IF(V123=1,SUM($V$2:V123),"")</f>
        <v/>
      </c>
      <c r="X123" s="11" t="str">
        <f t="shared" si="3"/>
        <v>SHOPEE</v>
      </c>
    </row>
    <row r="124" spans="1:24">
      <c r="A124" s="15" t="s">
        <v>79</v>
      </c>
      <c r="B124" s="15" t="s">
        <v>83</v>
      </c>
      <c r="C124" s="15" t="s">
        <v>1811</v>
      </c>
      <c r="D124" s="13">
        <v>46232.691666666666</v>
      </c>
      <c r="E124" s="15" t="s">
        <v>265</v>
      </c>
      <c r="F124" s="15" t="s">
        <v>1815</v>
      </c>
      <c r="G124" s="15" t="s">
        <v>74</v>
      </c>
      <c r="H124" s="15" t="s">
        <v>75</v>
      </c>
      <c r="I124" s="14">
        <v>29000</v>
      </c>
      <c r="J124" s="15" t="s">
        <v>1816</v>
      </c>
      <c r="K124" s="15" t="s">
        <v>24</v>
      </c>
      <c r="L124" s="15">
        <v>1</v>
      </c>
      <c r="M124" s="15">
        <v>0.3</v>
      </c>
      <c r="N124" s="15" t="s">
        <v>76</v>
      </c>
      <c r="O124" s="15" t="s">
        <v>76</v>
      </c>
      <c r="P124" s="14">
        <v>189000</v>
      </c>
      <c r="Q124" s="13">
        <v>46232.692361111112</v>
      </c>
      <c r="R124" s="15" t="s">
        <v>308</v>
      </c>
      <c r="S124" s="11" t="str">
        <f t="shared" si="2"/>
        <v>2026-07-29</v>
      </c>
      <c r="T124" s="11">
        <f>IF($E124="","",IF(COUNTIF($E$2:$E124,$E124)=1,1,0))</f>
        <v>0</v>
      </c>
      <c r="U124" s="11" t="str">
        <f>IF(T124=1,SUM($T$2:T124),"")</f>
        <v/>
      </c>
      <c r="V124" s="11">
        <f>IF(OR($R124="",$R124="-"),"",IF(COUNTIF($R$2:$R124,$R124)=1,1,0))</f>
        <v>0</v>
      </c>
      <c r="W124" s="11" t="str">
        <f>IF(V124=1,SUM($V$2:V124),"")</f>
        <v/>
      </c>
      <c r="X124" s="11" t="str">
        <f t="shared" si="3"/>
        <v>SHOPEE</v>
      </c>
    </row>
    <row r="125" spans="1:24">
      <c r="A125" s="15" t="s">
        <v>79</v>
      </c>
      <c r="B125" s="15" t="s">
        <v>83</v>
      </c>
      <c r="C125" s="15" t="s">
        <v>1811</v>
      </c>
      <c r="D125" s="13">
        <v>46232.691666666666</v>
      </c>
      <c r="E125" s="15" t="s">
        <v>265</v>
      </c>
      <c r="F125" s="15" t="s">
        <v>1817</v>
      </c>
      <c r="G125" s="15" t="s">
        <v>74</v>
      </c>
      <c r="H125" s="15" t="s">
        <v>75</v>
      </c>
      <c r="I125" s="14">
        <v>21000</v>
      </c>
      <c r="J125" s="15" t="s">
        <v>1818</v>
      </c>
      <c r="K125" s="15" t="s">
        <v>24</v>
      </c>
      <c r="L125" s="15">
        <v>1</v>
      </c>
      <c r="M125" s="15">
        <v>0.3</v>
      </c>
      <c r="N125" s="15" t="s">
        <v>76</v>
      </c>
      <c r="O125" s="15" t="s">
        <v>76</v>
      </c>
      <c r="P125" s="14">
        <v>189000</v>
      </c>
      <c r="Q125" s="13">
        <v>46232.692361111112</v>
      </c>
      <c r="R125" s="15" t="s">
        <v>308</v>
      </c>
      <c r="S125" s="11" t="str">
        <f t="shared" si="2"/>
        <v>2026-07-29</v>
      </c>
      <c r="T125" s="11">
        <f>IF($E125="","",IF(COUNTIF($E$2:$E125,$E125)=1,1,0))</f>
        <v>0</v>
      </c>
      <c r="U125" s="11" t="str">
        <f>IF(T125=1,SUM($T$2:T125),"")</f>
        <v/>
      </c>
      <c r="V125" s="11">
        <f>IF(OR($R125="",$R125="-"),"",IF(COUNTIF($R$2:$R125,$R125)=1,1,0))</f>
        <v>0</v>
      </c>
      <c r="W125" s="11" t="str">
        <f>IF(V125=1,SUM($V$2:V125),"")</f>
        <v/>
      </c>
      <c r="X125" s="11" t="str">
        <f t="shared" si="3"/>
        <v>SHOPEE</v>
      </c>
    </row>
    <row r="126" spans="1:24">
      <c r="A126" s="15" t="s">
        <v>79</v>
      </c>
      <c r="B126" s="15" t="s">
        <v>83</v>
      </c>
      <c r="C126" s="15" t="s">
        <v>1811</v>
      </c>
      <c r="D126" s="13">
        <v>46232.691666666666</v>
      </c>
      <c r="E126" s="15" t="s">
        <v>265</v>
      </c>
      <c r="F126" s="15" t="s">
        <v>1819</v>
      </c>
      <c r="G126" s="15" t="s">
        <v>74</v>
      </c>
      <c r="H126" s="15" t="s">
        <v>75</v>
      </c>
      <c r="I126" s="14">
        <v>21000</v>
      </c>
      <c r="J126" s="15" t="s">
        <v>1820</v>
      </c>
      <c r="K126" s="15" t="s">
        <v>24</v>
      </c>
      <c r="L126" s="15">
        <v>1</v>
      </c>
      <c r="M126" s="15">
        <v>0.3</v>
      </c>
      <c r="N126" s="15" t="s">
        <v>76</v>
      </c>
      <c r="O126" s="15" t="s">
        <v>76</v>
      </c>
      <c r="P126" s="14">
        <v>189000</v>
      </c>
      <c r="Q126" s="13">
        <v>46232.692361111112</v>
      </c>
      <c r="R126" s="15" t="s">
        <v>308</v>
      </c>
      <c r="S126" s="11" t="str">
        <f t="shared" si="2"/>
        <v>2026-07-29</v>
      </c>
      <c r="T126" s="11">
        <f>IF($E126="","",IF(COUNTIF($E$2:$E126,$E126)=1,1,0))</f>
        <v>0</v>
      </c>
      <c r="U126" s="11" t="str">
        <f>IF(T126=1,SUM($T$2:T126),"")</f>
        <v/>
      </c>
      <c r="V126" s="11">
        <f>IF(OR($R126="",$R126="-"),"",IF(COUNTIF($R$2:$R126,$R126)=1,1,0))</f>
        <v>0</v>
      </c>
      <c r="W126" s="11" t="str">
        <f>IF(V126=1,SUM($V$2:V126),"")</f>
        <v/>
      </c>
      <c r="X126" s="11" t="str">
        <f t="shared" si="3"/>
        <v>SHOPEE</v>
      </c>
    </row>
    <row r="127" spans="1:24">
      <c r="A127" s="15" t="s">
        <v>79</v>
      </c>
      <c r="B127" s="15" t="s">
        <v>83</v>
      </c>
      <c r="C127" s="15" t="s">
        <v>1821</v>
      </c>
      <c r="D127" s="13">
        <v>46232.666666666664</v>
      </c>
      <c r="E127" s="15" t="s">
        <v>265</v>
      </c>
      <c r="F127" s="15" t="s">
        <v>1822</v>
      </c>
      <c r="G127" s="15" t="s">
        <v>74</v>
      </c>
      <c r="H127" s="15" t="s">
        <v>75</v>
      </c>
      <c r="I127" s="14">
        <v>27000</v>
      </c>
      <c r="J127" s="15" t="s">
        <v>97</v>
      </c>
      <c r="K127" s="15" t="s">
        <v>26</v>
      </c>
      <c r="L127" s="15">
        <v>1</v>
      </c>
      <c r="M127" s="15">
        <v>3</v>
      </c>
      <c r="N127" s="15" t="s">
        <v>76</v>
      </c>
      <c r="O127" s="15" t="s">
        <v>76</v>
      </c>
      <c r="P127" s="14">
        <v>268000</v>
      </c>
      <c r="Q127" s="13">
        <v>46232.668749999997</v>
      </c>
      <c r="R127" s="15" t="s">
        <v>179</v>
      </c>
      <c r="S127" s="11" t="str">
        <f t="shared" si="2"/>
        <v>2026-07-29</v>
      </c>
      <c r="T127" s="11">
        <f>IF($E127="","",IF(COUNTIF($E$2:$E127,$E127)=1,1,0))</f>
        <v>0</v>
      </c>
      <c r="U127" s="11" t="str">
        <f>IF(T127=1,SUM($T$2:T127),"")</f>
        <v/>
      </c>
      <c r="V127" s="11">
        <f>IF(OR($R127="",$R127="-"),"",IF(COUNTIF($R$2:$R127,$R127)=1,1,0))</f>
        <v>1</v>
      </c>
      <c r="W127" s="11">
        <f>IF(V127=1,SUM($V$2:V127),"")</f>
        <v>41</v>
      </c>
      <c r="X127" s="11" t="str">
        <f t="shared" si="3"/>
        <v>SHOPEE</v>
      </c>
    </row>
    <row r="128" spans="1:24">
      <c r="A128" s="15" t="s">
        <v>79</v>
      </c>
      <c r="B128" s="15" t="s">
        <v>83</v>
      </c>
      <c r="C128" s="15" t="s">
        <v>1823</v>
      </c>
      <c r="D128" s="13">
        <v>46232.666666666664</v>
      </c>
      <c r="E128" s="15" t="s">
        <v>265</v>
      </c>
      <c r="F128" s="15" t="s">
        <v>1824</v>
      </c>
      <c r="G128" s="15" t="s">
        <v>74</v>
      </c>
      <c r="H128" s="15" t="s">
        <v>75</v>
      </c>
      <c r="I128" s="14">
        <v>24000</v>
      </c>
      <c r="J128" s="15" t="s">
        <v>1825</v>
      </c>
      <c r="K128" s="15" t="s">
        <v>27</v>
      </c>
      <c r="L128" s="15">
        <v>2</v>
      </c>
      <c r="M128" s="15">
        <v>0.02</v>
      </c>
      <c r="N128" s="15" t="s">
        <v>76</v>
      </c>
      <c r="O128" s="15" t="s">
        <v>76</v>
      </c>
      <c r="P128" s="14">
        <v>389000</v>
      </c>
      <c r="Q128" s="13">
        <v>46232.666666666664</v>
      </c>
      <c r="R128" s="15" t="s">
        <v>168</v>
      </c>
      <c r="S128" s="11" t="str">
        <f t="shared" si="2"/>
        <v>2026-07-29</v>
      </c>
      <c r="T128" s="11">
        <f>IF($E128="","",IF(COUNTIF($E$2:$E128,$E128)=1,1,0))</f>
        <v>0</v>
      </c>
      <c r="U128" s="11" t="str">
        <f>IF(T128=1,SUM($T$2:T128),"")</f>
        <v/>
      </c>
      <c r="V128" s="11">
        <f>IF(OR($R128="",$R128="-"),"",IF(COUNTIF($R$2:$R128,$R128)=1,1,0))</f>
        <v>0</v>
      </c>
      <c r="W128" s="11" t="str">
        <f>IF(V128=1,SUM($V$2:V128),"")</f>
        <v/>
      </c>
      <c r="X128" s="11" t="str">
        <f t="shared" si="3"/>
        <v>SHOPEE</v>
      </c>
    </row>
    <row r="129" spans="1:24">
      <c r="A129" s="15" t="s">
        <v>1826</v>
      </c>
      <c r="B129" s="15" t="s">
        <v>330</v>
      </c>
      <c r="C129" s="15" t="s">
        <v>1827</v>
      </c>
      <c r="D129" s="13">
        <v>46232.640972222223</v>
      </c>
      <c r="E129" s="15" t="s">
        <v>95</v>
      </c>
      <c r="F129" s="15" t="s">
        <v>1828</v>
      </c>
      <c r="G129" s="15" t="s">
        <v>74</v>
      </c>
      <c r="H129" s="15" t="s">
        <v>75</v>
      </c>
      <c r="I129" s="14">
        <v>40000</v>
      </c>
      <c r="J129" s="15" t="s">
        <v>1092</v>
      </c>
      <c r="K129" s="15" t="s">
        <v>24</v>
      </c>
      <c r="L129" s="15">
        <v>1</v>
      </c>
      <c r="M129" s="15">
        <v>2</v>
      </c>
      <c r="N129" s="15" t="s">
        <v>76</v>
      </c>
      <c r="O129" s="15" t="s">
        <v>74</v>
      </c>
      <c r="P129" s="14">
        <v>3609640</v>
      </c>
      <c r="Q129" s="13">
        <v>46232.640972222223</v>
      </c>
      <c r="R129" s="15" t="s">
        <v>1826</v>
      </c>
      <c r="S129" s="11" t="str">
        <f t="shared" si="2"/>
        <v>2026-07-29</v>
      </c>
      <c r="T129" s="11">
        <f>IF($E129="","",IF(COUNTIF($E$2:$E129,$E129)=1,1,0))</f>
        <v>0</v>
      </c>
      <c r="U129" s="11" t="str">
        <f>IF(T129=1,SUM($T$2:T129),"")</f>
        <v/>
      </c>
      <c r="V129" s="11">
        <f>IF(OR($R129="",$R129="-"),"",IF(COUNTIF($R$2:$R129,$R129)=1,1,0))</f>
        <v>1</v>
      </c>
      <c r="W129" s="11">
        <f>IF(V129=1,SUM($V$2:V129),"")</f>
        <v>42</v>
      </c>
      <c r="X129" s="11" t="str">
        <f t="shared" si="3"/>
        <v>GLOBAL DIGITAL NIAGA</v>
      </c>
    </row>
    <row r="130" spans="1:24">
      <c r="A130" s="15" t="s">
        <v>79</v>
      </c>
      <c r="B130" s="15" t="s">
        <v>83</v>
      </c>
      <c r="C130" s="15" t="s">
        <v>1829</v>
      </c>
      <c r="D130" s="13">
        <v>46232.640277777777</v>
      </c>
      <c r="E130" s="15" t="s">
        <v>95</v>
      </c>
      <c r="F130" s="15" t="s">
        <v>1830</v>
      </c>
      <c r="G130" s="15" t="s">
        <v>74</v>
      </c>
      <c r="H130" s="15" t="s">
        <v>75</v>
      </c>
      <c r="I130" s="14">
        <v>24000</v>
      </c>
      <c r="J130" s="15" t="s">
        <v>1831</v>
      </c>
      <c r="K130" s="15" t="s">
        <v>24</v>
      </c>
      <c r="L130" s="15">
        <v>2</v>
      </c>
      <c r="M130" s="15">
        <v>2</v>
      </c>
      <c r="N130" s="15" t="s">
        <v>76</v>
      </c>
      <c r="O130" s="15" t="s">
        <v>76</v>
      </c>
      <c r="P130" s="14">
        <v>80000</v>
      </c>
      <c r="Q130" s="13">
        <v>46232.640972222223</v>
      </c>
      <c r="R130" s="15" t="s">
        <v>147</v>
      </c>
      <c r="S130" s="11" t="str">
        <f t="shared" ref="S130:S193" si="4">IF(Q130="","",TEXT(Q130,"yyyy-mm-dd"))</f>
        <v>2026-07-29</v>
      </c>
      <c r="T130" s="11">
        <f>IF($E130="","",IF(COUNTIF($E$2:$E130,$E130)=1,1,0))</f>
        <v>0</v>
      </c>
      <c r="U130" s="11" t="str">
        <f>IF(T130=1,SUM($T$2:T130),"")</f>
        <v/>
      </c>
      <c r="V130" s="11">
        <f>IF(OR($R130="",$R130="-"),"",IF(COUNTIF($R$2:$R130,$R130)=1,1,0))</f>
        <v>0</v>
      </c>
      <c r="W130" s="11" t="str">
        <f>IF(V130=1,SUM($V$2:V130),"")</f>
        <v/>
      </c>
      <c r="X130" s="11" t="str">
        <f t="shared" ref="X130:X193" si="5">IF(ISNUMBER(SEARCH("SHOPEE",B130)),"SHOPEE",IF(ISNUMBER(SEARCH("TOKOPEDIA",B130)),"TOKOPEDIA",IF(ISNUMBER(SEARCH("LASTANA",B130)),"LASTANA EXPRESS",IF(ISNUMBER(SEARCH("FASHION MARKETPLACE",B130)),"FASHION MARKETPLACE",IF(ISNUMBER(SEARCH("GLOBAL DIGITAL NIAGA",B130)),"GLOBAL DIGITAL NIAGA",IF(ISNUMBER(SEARCH("TOKGISTIC",B130)),"TOKGISTIC",IF(ISNUMBER(SEARCH("TOCO RAMAI",B130)),"TOCO RAMAI DIGITAL",B130)))))))</f>
        <v>SHOPEE</v>
      </c>
    </row>
    <row r="131" spans="1:24">
      <c r="A131" s="15" t="s">
        <v>79</v>
      </c>
      <c r="B131" s="15" t="s">
        <v>83</v>
      </c>
      <c r="C131" s="15" t="s">
        <v>1832</v>
      </c>
      <c r="D131" s="13">
        <v>46232.552083333336</v>
      </c>
      <c r="E131" s="15" t="s">
        <v>111</v>
      </c>
      <c r="F131" s="15" t="s">
        <v>1833</v>
      </c>
      <c r="G131" s="15" t="s">
        <v>74</v>
      </c>
      <c r="H131" s="15" t="s">
        <v>75</v>
      </c>
      <c r="I131" s="14">
        <v>24000</v>
      </c>
      <c r="J131" s="15" t="s">
        <v>1834</v>
      </c>
      <c r="K131" s="15" t="s">
        <v>24</v>
      </c>
      <c r="L131" s="15">
        <v>2</v>
      </c>
      <c r="M131" s="15">
        <v>2</v>
      </c>
      <c r="N131" s="15" t="s">
        <v>76</v>
      </c>
      <c r="O131" s="15" t="s">
        <v>76</v>
      </c>
      <c r="P131" s="14">
        <v>88500</v>
      </c>
      <c r="Q131" s="13">
        <v>46232.552777777775</v>
      </c>
      <c r="R131" s="15" t="s">
        <v>147</v>
      </c>
      <c r="S131" s="11" t="str">
        <f t="shared" si="4"/>
        <v>2026-07-29</v>
      </c>
      <c r="T131" s="11">
        <f>IF($E131="","",IF(COUNTIF($E$2:$E131,$E131)=1,1,0))</f>
        <v>0</v>
      </c>
      <c r="U131" s="11" t="str">
        <f>IF(T131=1,SUM($T$2:T131),"")</f>
        <v/>
      </c>
      <c r="V131" s="11">
        <f>IF(OR($R131="",$R131="-"),"",IF(COUNTIF($R$2:$R131,$R131)=1,1,0))</f>
        <v>0</v>
      </c>
      <c r="W131" s="11" t="str">
        <f>IF(V131=1,SUM($V$2:V131),"")</f>
        <v/>
      </c>
      <c r="X131" s="11" t="str">
        <f t="shared" si="5"/>
        <v>SHOPEE</v>
      </c>
    </row>
    <row r="132" spans="1:24">
      <c r="A132" s="15" t="s">
        <v>79</v>
      </c>
      <c r="B132" s="15" t="s">
        <v>83</v>
      </c>
      <c r="C132" s="15" t="s">
        <v>1832</v>
      </c>
      <c r="D132" s="13">
        <v>46232.552083333336</v>
      </c>
      <c r="E132" s="15" t="s">
        <v>111</v>
      </c>
      <c r="F132" s="15" t="s">
        <v>1835</v>
      </c>
      <c r="G132" s="15" t="s">
        <v>74</v>
      </c>
      <c r="H132" s="15" t="s">
        <v>75</v>
      </c>
      <c r="I132" s="14">
        <v>12000</v>
      </c>
      <c r="J132" s="15" t="s">
        <v>213</v>
      </c>
      <c r="K132" s="15" t="s">
        <v>24</v>
      </c>
      <c r="L132" s="15">
        <v>1</v>
      </c>
      <c r="M132" s="15">
        <v>1</v>
      </c>
      <c r="N132" s="15" t="s">
        <v>76</v>
      </c>
      <c r="O132" s="15" t="s">
        <v>76</v>
      </c>
      <c r="P132" s="14">
        <v>35500</v>
      </c>
      <c r="Q132" s="13">
        <v>46232.552777777775</v>
      </c>
      <c r="R132" s="15" t="s">
        <v>147</v>
      </c>
      <c r="S132" s="11" t="str">
        <f t="shared" si="4"/>
        <v>2026-07-29</v>
      </c>
      <c r="T132" s="11">
        <f>IF($E132="","",IF(COUNTIF($E$2:$E132,$E132)=1,1,0))</f>
        <v>0</v>
      </c>
      <c r="U132" s="11" t="str">
        <f>IF(T132=1,SUM($T$2:T132),"")</f>
        <v/>
      </c>
      <c r="V132" s="11">
        <f>IF(OR($R132="",$R132="-"),"",IF(COUNTIF($R$2:$R132,$R132)=1,1,0))</f>
        <v>0</v>
      </c>
      <c r="W132" s="11" t="str">
        <f>IF(V132=1,SUM($V$2:V132),"")</f>
        <v/>
      </c>
      <c r="X132" s="11" t="str">
        <f t="shared" si="5"/>
        <v>SHOPEE</v>
      </c>
    </row>
    <row r="133" spans="1:24">
      <c r="A133" s="15" t="s">
        <v>79</v>
      </c>
      <c r="B133" s="15" t="s">
        <v>83</v>
      </c>
      <c r="C133" s="15" t="s">
        <v>1836</v>
      </c>
      <c r="D133" s="13">
        <v>46232.51458333333</v>
      </c>
      <c r="E133" s="15" t="s">
        <v>95</v>
      </c>
      <c r="F133" s="15" t="s">
        <v>1837</v>
      </c>
      <c r="G133" s="15" t="s">
        <v>74</v>
      </c>
      <c r="H133" s="15" t="s">
        <v>75</v>
      </c>
      <c r="I133" s="14">
        <v>12000</v>
      </c>
      <c r="J133" s="15" t="s">
        <v>146</v>
      </c>
      <c r="K133" s="15" t="s">
        <v>24</v>
      </c>
      <c r="L133" s="15">
        <v>1</v>
      </c>
      <c r="M133" s="15">
        <v>0.06</v>
      </c>
      <c r="N133" s="15" t="s">
        <v>76</v>
      </c>
      <c r="O133" s="15" t="s">
        <v>76</v>
      </c>
      <c r="P133" s="14">
        <v>22127</v>
      </c>
      <c r="Q133" s="13">
        <v>46232.51458333333</v>
      </c>
      <c r="R133" s="15" t="s">
        <v>181</v>
      </c>
      <c r="S133" s="11" t="str">
        <f t="shared" si="4"/>
        <v>2026-07-29</v>
      </c>
      <c r="T133" s="11">
        <f>IF($E133="","",IF(COUNTIF($E$2:$E133,$E133)=1,1,0))</f>
        <v>0</v>
      </c>
      <c r="U133" s="11" t="str">
        <f>IF(T133=1,SUM($T$2:T133),"")</f>
        <v/>
      </c>
      <c r="V133" s="11">
        <f>IF(OR($R133="",$R133="-"),"",IF(COUNTIF($R$2:$R133,$R133)=1,1,0))</f>
        <v>1</v>
      </c>
      <c r="W133" s="11">
        <f>IF(V133=1,SUM($V$2:V133),"")</f>
        <v>43</v>
      </c>
      <c r="X133" s="11" t="str">
        <f t="shared" si="5"/>
        <v>SHOPEE</v>
      </c>
    </row>
    <row r="134" spans="1:24">
      <c r="A134" s="15" t="s">
        <v>79</v>
      </c>
      <c r="B134" s="15" t="s">
        <v>80</v>
      </c>
      <c r="C134" s="15" t="s">
        <v>1838</v>
      </c>
      <c r="D134" s="13">
        <v>46232.465277777781</v>
      </c>
      <c r="E134" s="15" t="s">
        <v>73</v>
      </c>
      <c r="F134" s="15" t="s">
        <v>1839</v>
      </c>
      <c r="G134" s="15" t="s">
        <v>74</v>
      </c>
      <c r="H134" s="15" t="s">
        <v>75</v>
      </c>
      <c r="I134" s="14">
        <v>12000</v>
      </c>
      <c r="J134" s="15" t="s">
        <v>119</v>
      </c>
      <c r="K134" s="15" t="s">
        <v>24</v>
      </c>
      <c r="L134" s="15">
        <v>2</v>
      </c>
      <c r="M134" s="15">
        <v>1</v>
      </c>
      <c r="N134" s="15" t="s">
        <v>76</v>
      </c>
      <c r="O134" s="15" t="s">
        <v>76</v>
      </c>
      <c r="P134" s="14">
        <v>119270</v>
      </c>
      <c r="Q134" s="13">
        <v>46232.465277777781</v>
      </c>
      <c r="R134" s="15" t="s">
        <v>316</v>
      </c>
      <c r="S134" s="11" t="str">
        <f t="shared" si="4"/>
        <v>2026-07-29</v>
      </c>
      <c r="T134" s="11">
        <f>IF($E134="","",IF(COUNTIF($E$2:$E134,$E134)=1,1,0))</f>
        <v>0</v>
      </c>
      <c r="U134" s="11" t="str">
        <f>IF(T134=1,SUM($T$2:T134),"")</f>
        <v/>
      </c>
      <c r="V134" s="11">
        <f>IF(OR($R134="",$R134="-"),"",IF(COUNTIF($R$2:$R134,$R134)=1,1,0))</f>
        <v>1</v>
      </c>
      <c r="W134" s="11">
        <f>IF(V134=1,SUM($V$2:V134),"")</f>
        <v>44</v>
      </c>
      <c r="X134" s="11" t="str">
        <f t="shared" si="5"/>
        <v>SHOPEE</v>
      </c>
    </row>
    <row r="135" spans="1:24">
      <c r="A135" s="15" t="s">
        <v>79</v>
      </c>
      <c r="B135" s="15" t="s">
        <v>83</v>
      </c>
      <c r="C135" s="15" t="s">
        <v>1840</v>
      </c>
      <c r="D135" s="13">
        <v>46232.378472222219</v>
      </c>
      <c r="E135" s="15" t="s">
        <v>73</v>
      </c>
      <c r="F135" s="15" t="s">
        <v>1841</v>
      </c>
      <c r="G135" s="15" t="s">
        <v>74</v>
      </c>
      <c r="H135" s="15" t="s">
        <v>75</v>
      </c>
      <c r="I135" s="14">
        <v>11000</v>
      </c>
      <c r="J135" s="15" t="s">
        <v>271</v>
      </c>
      <c r="K135" s="15" t="s">
        <v>27</v>
      </c>
      <c r="L135" s="15">
        <v>1</v>
      </c>
      <c r="M135" s="15">
        <v>0.01</v>
      </c>
      <c r="N135" s="15" t="s">
        <v>76</v>
      </c>
      <c r="O135" s="15" t="s">
        <v>76</v>
      </c>
      <c r="P135" s="14">
        <v>100000</v>
      </c>
      <c r="Q135" s="13">
        <v>46232.378472222219</v>
      </c>
      <c r="R135" s="15" t="s">
        <v>1842</v>
      </c>
      <c r="S135" s="11" t="str">
        <f t="shared" si="4"/>
        <v>2026-07-29</v>
      </c>
      <c r="T135" s="11">
        <f>IF($E135="","",IF(COUNTIF($E$2:$E135,$E135)=1,1,0))</f>
        <v>0</v>
      </c>
      <c r="U135" s="11" t="str">
        <f>IF(T135=1,SUM($T$2:T135),"")</f>
        <v/>
      </c>
      <c r="V135" s="11">
        <f>IF(OR($R135="",$R135="-"),"",IF(COUNTIF($R$2:$R135,$R135)=1,1,0))</f>
        <v>1</v>
      </c>
      <c r="W135" s="11">
        <f>IF(V135=1,SUM($V$2:V135),"")</f>
        <v>45</v>
      </c>
      <c r="X135" s="11" t="str">
        <f t="shared" si="5"/>
        <v>SHOPEE</v>
      </c>
    </row>
    <row r="136" spans="1:24">
      <c r="A136" s="15" t="s">
        <v>79</v>
      </c>
      <c r="B136" s="15" t="s">
        <v>83</v>
      </c>
      <c r="C136" s="15" t="s">
        <v>1843</v>
      </c>
      <c r="D136" s="13">
        <v>46231.809027777781</v>
      </c>
      <c r="E136" s="15" t="s">
        <v>265</v>
      </c>
      <c r="F136" s="15" t="s">
        <v>1844</v>
      </c>
      <c r="G136" s="15" t="s">
        <v>74</v>
      </c>
      <c r="H136" s="15" t="s">
        <v>75</v>
      </c>
      <c r="I136" s="14">
        <v>24000</v>
      </c>
      <c r="J136" s="15" t="s">
        <v>148</v>
      </c>
      <c r="K136" s="15" t="s">
        <v>24</v>
      </c>
      <c r="L136" s="15">
        <v>1</v>
      </c>
      <c r="M136" s="15">
        <v>1</v>
      </c>
      <c r="N136" s="15" t="s">
        <v>76</v>
      </c>
      <c r="O136" s="15" t="s">
        <v>76</v>
      </c>
      <c r="P136" s="14">
        <v>135000</v>
      </c>
      <c r="Q136" s="13">
        <v>46231.809027777781</v>
      </c>
      <c r="R136" s="15" t="s">
        <v>1845</v>
      </c>
      <c r="S136" s="11" t="str">
        <f t="shared" si="4"/>
        <v>2026-07-28</v>
      </c>
      <c r="T136" s="11">
        <f>IF($E136="","",IF(COUNTIF($E$2:$E136,$E136)=1,1,0))</f>
        <v>0</v>
      </c>
      <c r="U136" s="11" t="str">
        <f>IF(T136=1,SUM($T$2:T136),"")</f>
        <v/>
      </c>
      <c r="V136" s="11">
        <f>IF(OR($R136="",$R136="-"),"",IF(COUNTIF($R$2:$R136,$R136)=1,1,0))</f>
        <v>1</v>
      </c>
      <c r="W136" s="11">
        <f>IF(V136=1,SUM($V$2:V136),"")</f>
        <v>46</v>
      </c>
      <c r="X136" s="11" t="str">
        <f t="shared" si="5"/>
        <v>SHOPEE</v>
      </c>
    </row>
    <row r="137" spans="1:24">
      <c r="A137" s="15" t="s">
        <v>79</v>
      </c>
      <c r="B137" s="15" t="s">
        <v>83</v>
      </c>
      <c r="C137" s="15" t="s">
        <v>1846</v>
      </c>
      <c r="D137" s="13">
        <v>46231.780555555553</v>
      </c>
      <c r="E137" s="15" t="s">
        <v>265</v>
      </c>
      <c r="F137" s="15" t="s">
        <v>1847</v>
      </c>
      <c r="G137" s="15" t="s">
        <v>74</v>
      </c>
      <c r="H137" s="15" t="s">
        <v>75</v>
      </c>
      <c r="I137" s="14">
        <v>29500</v>
      </c>
      <c r="J137" s="15" t="s">
        <v>178</v>
      </c>
      <c r="K137" s="15" t="s">
        <v>27</v>
      </c>
      <c r="L137" s="15">
        <v>1</v>
      </c>
      <c r="M137" s="15">
        <v>0.5</v>
      </c>
      <c r="N137" s="15" t="s">
        <v>76</v>
      </c>
      <c r="O137" s="15" t="s">
        <v>76</v>
      </c>
      <c r="P137" s="14">
        <v>450000</v>
      </c>
      <c r="Q137" s="13">
        <v>46231.780555555553</v>
      </c>
      <c r="R137" s="15" t="s">
        <v>1848</v>
      </c>
      <c r="S137" s="11" t="str">
        <f t="shared" si="4"/>
        <v>2026-07-28</v>
      </c>
      <c r="T137" s="11">
        <f>IF($E137="","",IF(COUNTIF($E$2:$E137,$E137)=1,1,0))</f>
        <v>0</v>
      </c>
      <c r="U137" s="11" t="str">
        <f>IF(T137=1,SUM($T$2:T137),"")</f>
        <v/>
      </c>
      <c r="V137" s="11">
        <f>IF(OR($R137="",$R137="-"),"",IF(COUNTIF($R$2:$R137,$R137)=1,1,0))</f>
        <v>1</v>
      </c>
      <c r="W137" s="11">
        <f>IF(V137=1,SUM($V$2:V137),"")</f>
        <v>47</v>
      </c>
      <c r="X137" s="11" t="str">
        <f t="shared" si="5"/>
        <v>SHOPEE</v>
      </c>
    </row>
    <row r="138" spans="1:24">
      <c r="A138" s="15" t="s">
        <v>79</v>
      </c>
      <c r="B138" s="15" t="s">
        <v>83</v>
      </c>
      <c r="C138" s="15" t="s">
        <v>1849</v>
      </c>
      <c r="D138" s="13">
        <v>46231.76458333333</v>
      </c>
      <c r="E138" s="15" t="s">
        <v>265</v>
      </c>
      <c r="F138" s="15" t="s">
        <v>1850</v>
      </c>
      <c r="G138" s="15" t="s">
        <v>74</v>
      </c>
      <c r="H138" s="15" t="s">
        <v>75</v>
      </c>
      <c r="I138" s="14">
        <v>5500</v>
      </c>
      <c r="J138" s="15" t="s">
        <v>920</v>
      </c>
      <c r="K138" s="15" t="s">
        <v>27</v>
      </c>
      <c r="L138" s="15">
        <v>1</v>
      </c>
      <c r="M138" s="15">
        <v>0.25</v>
      </c>
      <c r="N138" s="15" t="s">
        <v>76</v>
      </c>
      <c r="O138" s="15" t="s">
        <v>76</v>
      </c>
      <c r="P138" s="14">
        <v>10000</v>
      </c>
      <c r="Q138" s="13">
        <v>46231.765277777777</v>
      </c>
      <c r="R138" s="15" t="s">
        <v>1851</v>
      </c>
      <c r="S138" s="11" t="str">
        <f t="shared" si="4"/>
        <v>2026-07-28</v>
      </c>
      <c r="T138" s="11">
        <f>IF($E138="","",IF(COUNTIF($E$2:$E138,$E138)=1,1,0))</f>
        <v>0</v>
      </c>
      <c r="U138" s="11" t="str">
        <f>IF(T138=1,SUM($T$2:T138),"")</f>
        <v/>
      </c>
      <c r="V138" s="11">
        <f>IF(OR($R138="",$R138="-"),"",IF(COUNTIF($R$2:$R138,$R138)=1,1,0))</f>
        <v>1</v>
      </c>
      <c r="W138" s="11">
        <f>IF(V138=1,SUM($V$2:V138),"")</f>
        <v>48</v>
      </c>
      <c r="X138" s="11" t="str">
        <f t="shared" si="5"/>
        <v>SHOPEE</v>
      </c>
    </row>
    <row r="139" spans="1:24">
      <c r="A139" s="15" t="s">
        <v>79</v>
      </c>
      <c r="B139" s="15" t="s">
        <v>83</v>
      </c>
      <c r="C139" s="15" t="s">
        <v>1852</v>
      </c>
      <c r="D139" s="13">
        <v>46231.745833333334</v>
      </c>
      <c r="E139" s="15" t="s">
        <v>265</v>
      </c>
      <c r="F139" s="15" t="s">
        <v>1853</v>
      </c>
      <c r="G139" s="15" t="s">
        <v>74</v>
      </c>
      <c r="H139" s="15" t="s">
        <v>75</v>
      </c>
      <c r="I139" s="14">
        <v>85500</v>
      </c>
      <c r="J139" s="15" t="s">
        <v>1854</v>
      </c>
      <c r="K139" s="15" t="s">
        <v>26</v>
      </c>
      <c r="L139" s="15">
        <v>1</v>
      </c>
      <c r="M139" s="15">
        <v>17.61</v>
      </c>
      <c r="N139" s="15" t="s">
        <v>76</v>
      </c>
      <c r="O139" s="15" t="s">
        <v>76</v>
      </c>
      <c r="P139" s="14">
        <v>94900</v>
      </c>
      <c r="Q139" s="13">
        <v>46231.746527777781</v>
      </c>
      <c r="R139" s="15" t="s">
        <v>102</v>
      </c>
      <c r="S139" s="11" t="str">
        <f t="shared" si="4"/>
        <v>2026-07-28</v>
      </c>
      <c r="T139" s="11">
        <f>IF($E139="","",IF(COUNTIF($E$2:$E139,$E139)=1,1,0))</f>
        <v>0</v>
      </c>
      <c r="U139" s="11" t="str">
        <f>IF(T139=1,SUM($T$2:T139),"")</f>
        <v/>
      </c>
      <c r="V139" s="11">
        <f>IF(OR($R139="",$R139="-"),"",IF(COUNTIF($R$2:$R139,$R139)=1,1,0))</f>
        <v>0</v>
      </c>
      <c r="W139" s="11" t="str">
        <f>IF(V139=1,SUM($V$2:V139),"")</f>
        <v/>
      </c>
      <c r="X139" s="11" t="str">
        <f t="shared" si="5"/>
        <v>SHOPEE</v>
      </c>
    </row>
    <row r="140" spans="1:24">
      <c r="A140" s="15" t="s">
        <v>79</v>
      </c>
      <c r="B140" s="15" t="s">
        <v>80</v>
      </c>
      <c r="C140" s="15" t="s">
        <v>1855</v>
      </c>
      <c r="D140" s="13">
        <v>46231.727083333331</v>
      </c>
      <c r="E140" s="15" t="s">
        <v>265</v>
      </c>
      <c r="F140" s="15" t="s">
        <v>1856</v>
      </c>
      <c r="G140" s="15" t="s">
        <v>74</v>
      </c>
      <c r="H140" s="15" t="s">
        <v>75</v>
      </c>
      <c r="I140" s="14">
        <v>12000</v>
      </c>
      <c r="J140" s="15" t="s">
        <v>96</v>
      </c>
      <c r="K140" s="15" t="s">
        <v>24</v>
      </c>
      <c r="L140" s="15">
        <v>1</v>
      </c>
      <c r="M140" s="15">
        <v>0.6</v>
      </c>
      <c r="N140" s="15" t="s">
        <v>76</v>
      </c>
      <c r="O140" s="15" t="s">
        <v>76</v>
      </c>
      <c r="P140" s="14">
        <v>245650</v>
      </c>
      <c r="Q140" s="13">
        <v>46231.727777777778</v>
      </c>
      <c r="R140" s="15" t="s">
        <v>516</v>
      </c>
      <c r="S140" s="11" t="str">
        <f t="shared" si="4"/>
        <v>2026-07-28</v>
      </c>
      <c r="T140" s="11">
        <f>IF($E140="","",IF(COUNTIF($E$2:$E140,$E140)=1,1,0))</f>
        <v>0</v>
      </c>
      <c r="U140" s="11" t="str">
        <f>IF(T140=1,SUM($T$2:T140),"")</f>
        <v/>
      </c>
      <c r="V140" s="11">
        <f>IF(OR($R140="",$R140="-"),"",IF(COUNTIF($R$2:$R140,$R140)=1,1,0))</f>
        <v>1</v>
      </c>
      <c r="W140" s="11">
        <f>IF(V140=1,SUM($V$2:V140),"")</f>
        <v>49</v>
      </c>
      <c r="X140" s="11" t="str">
        <f t="shared" si="5"/>
        <v>SHOPEE</v>
      </c>
    </row>
    <row r="141" spans="1:24">
      <c r="A141" s="15" t="s">
        <v>79</v>
      </c>
      <c r="B141" s="15" t="s">
        <v>83</v>
      </c>
      <c r="C141" s="15" t="s">
        <v>1857</v>
      </c>
      <c r="D141" s="13">
        <v>46231.715277777781</v>
      </c>
      <c r="E141" s="15" t="s">
        <v>73</v>
      </c>
      <c r="F141" s="15" t="s">
        <v>1858</v>
      </c>
      <c r="G141" s="15" t="s">
        <v>74</v>
      </c>
      <c r="H141" s="15" t="s">
        <v>75</v>
      </c>
      <c r="I141" s="14">
        <v>29000</v>
      </c>
      <c r="J141" s="15" t="s">
        <v>1859</v>
      </c>
      <c r="K141" s="15" t="s">
        <v>24</v>
      </c>
      <c r="L141" s="15">
        <v>3</v>
      </c>
      <c r="M141" s="15">
        <v>0.24</v>
      </c>
      <c r="N141" s="15" t="s">
        <v>76</v>
      </c>
      <c r="O141" s="15" t="s">
        <v>76</v>
      </c>
      <c r="P141" s="14">
        <v>110100</v>
      </c>
      <c r="Q141" s="13">
        <v>46231.71597222222</v>
      </c>
      <c r="R141" s="15" t="s">
        <v>109</v>
      </c>
      <c r="S141" s="11" t="str">
        <f t="shared" si="4"/>
        <v>2026-07-28</v>
      </c>
      <c r="T141" s="11">
        <f>IF($E141="","",IF(COUNTIF($E$2:$E141,$E141)=1,1,0))</f>
        <v>0</v>
      </c>
      <c r="U141" s="11" t="str">
        <f>IF(T141=1,SUM($T$2:T141),"")</f>
        <v/>
      </c>
      <c r="V141" s="11">
        <f>IF(OR($R141="",$R141="-"),"",IF(COUNTIF($R$2:$R141,$R141)=1,1,0))</f>
        <v>0</v>
      </c>
      <c r="W141" s="11" t="str">
        <f>IF(V141=1,SUM($V$2:V141),"")</f>
        <v/>
      </c>
      <c r="X141" s="11" t="str">
        <f t="shared" si="5"/>
        <v>SHOPEE</v>
      </c>
    </row>
    <row r="142" spans="1:24">
      <c r="A142" s="15" t="s">
        <v>1860</v>
      </c>
      <c r="B142" s="15" t="s">
        <v>191</v>
      </c>
      <c r="C142" s="15" t="s">
        <v>1861</v>
      </c>
      <c r="D142" s="13">
        <v>46231.699305555558</v>
      </c>
      <c r="E142" s="15" t="s">
        <v>73</v>
      </c>
      <c r="F142" s="15" t="s">
        <v>1862</v>
      </c>
      <c r="G142" s="15" t="s">
        <v>74</v>
      </c>
      <c r="H142" s="15" t="s">
        <v>75</v>
      </c>
      <c r="I142" s="14">
        <v>12000</v>
      </c>
      <c r="J142" s="15" t="s">
        <v>1621</v>
      </c>
      <c r="K142" s="15" t="s">
        <v>24</v>
      </c>
      <c r="L142" s="15">
        <v>1</v>
      </c>
      <c r="M142" s="15">
        <v>0.25</v>
      </c>
      <c r="N142" s="15" t="s">
        <v>76</v>
      </c>
      <c r="O142" s="15" t="s">
        <v>76</v>
      </c>
      <c r="P142" s="14">
        <v>150000</v>
      </c>
      <c r="Q142" s="13">
        <v>46231.699305555558</v>
      </c>
      <c r="R142" s="15" t="s">
        <v>1863</v>
      </c>
      <c r="S142" s="11" t="str">
        <f t="shared" si="4"/>
        <v>2026-07-28</v>
      </c>
      <c r="T142" s="11">
        <f>IF($E142="","",IF(COUNTIF($E$2:$E142,$E142)=1,1,0))</f>
        <v>0</v>
      </c>
      <c r="U142" s="11" t="str">
        <f>IF(T142=1,SUM($T$2:T142),"")</f>
        <v/>
      </c>
      <c r="V142" s="11">
        <f>IF(OR($R142="",$R142="-"),"",IF(COUNTIF($R$2:$R142,$R142)=1,1,0))</f>
        <v>1</v>
      </c>
      <c r="W142" s="11">
        <f>IF(V142=1,SUM($V$2:V142),"")</f>
        <v>50</v>
      </c>
      <c r="X142" s="11" t="str">
        <f t="shared" si="5"/>
        <v>TOKGISTIC</v>
      </c>
    </row>
    <row r="143" spans="1:24">
      <c r="A143" s="15" t="s">
        <v>79</v>
      </c>
      <c r="B143" s="15" t="s">
        <v>83</v>
      </c>
      <c r="C143" s="15" t="s">
        <v>1864</v>
      </c>
      <c r="D143" s="13">
        <v>46231.688194444447</v>
      </c>
      <c r="E143" s="15" t="s">
        <v>73</v>
      </c>
      <c r="F143" s="15" t="s">
        <v>1865</v>
      </c>
      <c r="G143" s="15" t="s">
        <v>74</v>
      </c>
      <c r="H143" s="15" t="s">
        <v>75</v>
      </c>
      <c r="I143" s="14">
        <v>12000</v>
      </c>
      <c r="J143" s="15" t="s">
        <v>209</v>
      </c>
      <c r="K143" s="15" t="s">
        <v>24</v>
      </c>
      <c r="L143" s="15">
        <v>3</v>
      </c>
      <c r="M143" s="15">
        <v>0.21</v>
      </c>
      <c r="N143" s="15" t="s">
        <v>76</v>
      </c>
      <c r="O143" s="15" t="s">
        <v>76</v>
      </c>
      <c r="P143" s="14">
        <v>67000</v>
      </c>
      <c r="Q143" s="13">
        <v>46231.688194444447</v>
      </c>
      <c r="R143" s="15" t="s">
        <v>91</v>
      </c>
      <c r="S143" s="11" t="str">
        <f t="shared" si="4"/>
        <v>2026-07-28</v>
      </c>
      <c r="T143" s="11">
        <f>IF($E143="","",IF(COUNTIF($E$2:$E143,$E143)=1,1,0))</f>
        <v>0</v>
      </c>
      <c r="U143" s="11" t="str">
        <f>IF(T143=1,SUM($T$2:T143),"")</f>
        <v/>
      </c>
      <c r="V143" s="11">
        <f>IF(OR($R143="",$R143="-"),"",IF(COUNTIF($R$2:$R143,$R143)=1,1,0))</f>
        <v>0</v>
      </c>
      <c r="W143" s="11" t="str">
        <f>IF(V143=1,SUM($V$2:V143),"")</f>
        <v/>
      </c>
      <c r="X143" s="11" t="str">
        <f t="shared" si="5"/>
        <v>SHOPEE</v>
      </c>
    </row>
    <row r="144" spans="1:24">
      <c r="A144" s="15" t="s">
        <v>79</v>
      </c>
      <c r="B144" s="15" t="s">
        <v>83</v>
      </c>
      <c r="C144" s="15" t="s">
        <v>1864</v>
      </c>
      <c r="D144" s="13">
        <v>46231.688194444447</v>
      </c>
      <c r="E144" s="15" t="s">
        <v>73</v>
      </c>
      <c r="F144" s="15" t="s">
        <v>1866</v>
      </c>
      <c r="G144" s="15" t="s">
        <v>74</v>
      </c>
      <c r="H144" s="15" t="s">
        <v>75</v>
      </c>
      <c r="I144" s="14">
        <v>12000</v>
      </c>
      <c r="J144" s="15" t="s">
        <v>301</v>
      </c>
      <c r="K144" s="15" t="s">
        <v>24</v>
      </c>
      <c r="L144" s="15">
        <v>1</v>
      </c>
      <c r="M144" s="15">
        <v>0.13</v>
      </c>
      <c r="N144" s="15" t="s">
        <v>76</v>
      </c>
      <c r="O144" s="15" t="s">
        <v>76</v>
      </c>
      <c r="P144" s="14">
        <v>23000</v>
      </c>
      <c r="Q144" s="13">
        <v>46231.688194444447</v>
      </c>
      <c r="R144" s="15" t="s">
        <v>91</v>
      </c>
      <c r="S144" s="11" t="str">
        <f t="shared" si="4"/>
        <v>2026-07-28</v>
      </c>
      <c r="T144" s="11">
        <f>IF($E144="","",IF(COUNTIF($E$2:$E144,$E144)=1,1,0))</f>
        <v>0</v>
      </c>
      <c r="U144" s="11" t="str">
        <f>IF(T144=1,SUM($T$2:T144),"")</f>
        <v/>
      </c>
      <c r="V144" s="11">
        <f>IF(OR($R144="",$R144="-"),"",IF(COUNTIF($R$2:$R144,$R144)=1,1,0))</f>
        <v>0</v>
      </c>
      <c r="W144" s="11" t="str">
        <f>IF(V144=1,SUM($V$2:V144),"")</f>
        <v/>
      </c>
      <c r="X144" s="11" t="str">
        <f t="shared" si="5"/>
        <v>SHOPEE</v>
      </c>
    </row>
    <row r="145" spans="1:24">
      <c r="A145" s="15" t="s">
        <v>79</v>
      </c>
      <c r="B145" s="15" t="s">
        <v>83</v>
      </c>
      <c r="C145" s="15" t="s">
        <v>1864</v>
      </c>
      <c r="D145" s="13">
        <v>46231.688194444447</v>
      </c>
      <c r="E145" s="15" t="s">
        <v>73</v>
      </c>
      <c r="F145" s="15" t="s">
        <v>1867</v>
      </c>
      <c r="G145" s="15" t="s">
        <v>74</v>
      </c>
      <c r="H145" s="15" t="s">
        <v>75</v>
      </c>
      <c r="I145" s="14">
        <v>24000</v>
      </c>
      <c r="J145" s="15" t="s">
        <v>1868</v>
      </c>
      <c r="K145" s="15" t="s">
        <v>24</v>
      </c>
      <c r="L145" s="15">
        <v>3</v>
      </c>
      <c r="M145" s="15">
        <v>1.05</v>
      </c>
      <c r="N145" s="15" t="s">
        <v>76</v>
      </c>
      <c r="O145" s="15" t="s">
        <v>76</v>
      </c>
      <c r="P145" s="14">
        <v>64000</v>
      </c>
      <c r="Q145" s="13">
        <v>46231.688194444447</v>
      </c>
      <c r="R145" s="15" t="s">
        <v>91</v>
      </c>
      <c r="S145" s="11" t="str">
        <f t="shared" si="4"/>
        <v>2026-07-28</v>
      </c>
      <c r="T145" s="11">
        <f>IF($E145="","",IF(COUNTIF($E$2:$E145,$E145)=1,1,0))</f>
        <v>0</v>
      </c>
      <c r="U145" s="11" t="str">
        <f>IF(T145=1,SUM($T$2:T145),"")</f>
        <v/>
      </c>
      <c r="V145" s="11">
        <f>IF(OR($R145="",$R145="-"),"",IF(COUNTIF($R$2:$R145,$R145)=1,1,0))</f>
        <v>0</v>
      </c>
      <c r="W145" s="11" t="str">
        <f>IF(V145=1,SUM($V$2:V145),"")</f>
        <v/>
      </c>
      <c r="X145" s="11" t="str">
        <f t="shared" si="5"/>
        <v>SHOPEE</v>
      </c>
    </row>
    <row r="146" spans="1:24">
      <c r="A146" s="15" t="s">
        <v>79</v>
      </c>
      <c r="B146" s="15" t="s">
        <v>83</v>
      </c>
      <c r="C146" s="15" t="s">
        <v>1864</v>
      </c>
      <c r="D146" s="13">
        <v>46231.688194444447</v>
      </c>
      <c r="E146" s="15" t="s">
        <v>73</v>
      </c>
      <c r="F146" s="15" t="s">
        <v>1869</v>
      </c>
      <c r="G146" s="15" t="s">
        <v>74</v>
      </c>
      <c r="H146" s="15" t="s">
        <v>75</v>
      </c>
      <c r="I146" s="14">
        <v>12000</v>
      </c>
      <c r="J146" s="15" t="s">
        <v>97</v>
      </c>
      <c r="K146" s="15" t="s">
        <v>24</v>
      </c>
      <c r="L146" s="15">
        <v>2</v>
      </c>
      <c r="M146" s="15">
        <v>0.4</v>
      </c>
      <c r="N146" s="15" t="s">
        <v>76</v>
      </c>
      <c r="O146" s="15" t="s">
        <v>76</v>
      </c>
      <c r="P146" s="14">
        <v>147250</v>
      </c>
      <c r="Q146" s="13">
        <v>46231.688194444447</v>
      </c>
      <c r="R146" s="15" t="s">
        <v>91</v>
      </c>
      <c r="S146" s="11" t="str">
        <f t="shared" si="4"/>
        <v>2026-07-28</v>
      </c>
      <c r="T146" s="11">
        <f>IF($E146="","",IF(COUNTIF($E$2:$E146,$E146)=1,1,0))</f>
        <v>0</v>
      </c>
      <c r="U146" s="11" t="str">
        <f>IF(T146=1,SUM($T$2:T146),"")</f>
        <v/>
      </c>
      <c r="V146" s="11">
        <f>IF(OR($R146="",$R146="-"),"",IF(COUNTIF($R$2:$R146,$R146)=1,1,0))</f>
        <v>0</v>
      </c>
      <c r="W146" s="11" t="str">
        <f>IF(V146=1,SUM($V$2:V146),"")</f>
        <v/>
      </c>
      <c r="X146" s="11" t="str">
        <f t="shared" si="5"/>
        <v>SHOPEE</v>
      </c>
    </row>
    <row r="147" spans="1:24">
      <c r="A147" s="15" t="s">
        <v>79</v>
      </c>
      <c r="B147" s="15" t="s">
        <v>83</v>
      </c>
      <c r="C147" s="15" t="s">
        <v>1864</v>
      </c>
      <c r="D147" s="13">
        <v>46231.688194444447</v>
      </c>
      <c r="E147" s="15" t="s">
        <v>73</v>
      </c>
      <c r="F147" s="15" t="s">
        <v>1870</v>
      </c>
      <c r="G147" s="15" t="s">
        <v>74</v>
      </c>
      <c r="H147" s="15" t="s">
        <v>75</v>
      </c>
      <c r="I147" s="14">
        <v>12000</v>
      </c>
      <c r="J147" s="15" t="s">
        <v>160</v>
      </c>
      <c r="K147" s="15" t="s">
        <v>24</v>
      </c>
      <c r="L147" s="15">
        <v>1</v>
      </c>
      <c r="M147" s="15">
        <v>0.17</v>
      </c>
      <c r="N147" s="15" t="s">
        <v>76</v>
      </c>
      <c r="O147" s="15" t="s">
        <v>76</v>
      </c>
      <c r="P147" s="14">
        <v>57000</v>
      </c>
      <c r="Q147" s="13">
        <v>46231.688194444447</v>
      </c>
      <c r="R147" s="15" t="s">
        <v>91</v>
      </c>
      <c r="S147" s="11" t="str">
        <f t="shared" si="4"/>
        <v>2026-07-28</v>
      </c>
      <c r="T147" s="11">
        <f>IF($E147="","",IF(COUNTIF($E$2:$E147,$E147)=1,1,0))</f>
        <v>0</v>
      </c>
      <c r="U147" s="11" t="str">
        <f>IF(T147=1,SUM($T$2:T147),"")</f>
        <v/>
      </c>
      <c r="V147" s="11">
        <f>IF(OR($R147="",$R147="-"),"",IF(COUNTIF($R$2:$R147,$R147)=1,1,0))</f>
        <v>0</v>
      </c>
      <c r="W147" s="11" t="str">
        <f>IF(V147=1,SUM($V$2:V147),"")</f>
        <v/>
      </c>
      <c r="X147" s="11" t="str">
        <f t="shared" si="5"/>
        <v>SHOPEE</v>
      </c>
    </row>
    <row r="148" spans="1:24">
      <c r="A148" s="15" t="s">
        <v>79</v>
      </c>
      <c r="B148" s="15" t="s">
        <v>83</v>
      </c>
      <c r="C148" s="15" t="s">
        <v>1864</v>
      </c>
      <c r="D148" s="13">
        <v>46231.688194444447</v>
      </c>
      <c r="E148" s="15" t="s">
        <v>73</v>
      </c>
      <c r="F148" s="15" t="s">
        <v>1871</v>
      </c>
      <c r="G148" s="15" t="s">
        <v>74</v>
      </c>
      <c r="H148" s="15" t="s">
        <v>75</v>
      </c>
      <c r="I148" s="14">
        <v>6000</v>
      </c>
      <c r="J148" s="15" t="s">
        <v>1872</v>
      </c>
      <c r="K148" s="15" t="s">
        <v>27</v>
      </c>
      <c r="L148" s="15">
        <v>1</v>
      </c>
      <c r="M148" s="15">
        <v>0.2</v>
      </c>
      <c r="N148" s="15" t="s">
        <v>76</v>
      </c>
      <c r="O148" s="15" t="s">
        <v>76</v>
      </c>
      <c r="P148" s="14">
        <v>78928</v>
      </c>
      <c r="Q148" s="13">
        <v>46231.688194444447</v>
      </c>
      <c r="R148" s="15" t="s">
        <v>91</v>
      </c>
      <c r="S148" s="11" t="str">
        <f t="shared" si="4"/>
        <v>2026-07-28</v>
      </c>
      <c r="T148" s="11">
        <f>IF($E148="","",IF(COUNTIF($E$2:$E148,$E148)=1,1,0))</f>
        <v>0</v>
      </c>
      <c r="U148" s="11" t="str">
        <f>IF(T148=1,SUM($T$2:T148),"")</f>
        <v/>
      </c>
      <c r="V148" s="11">
        <f>IF(OR($R148="",$R148="-"),"",IF(COUNTIF($R$2:$R148,$R148)=1,1,0))</f>
        <v>0</v>
      </c>
      <c r="W148" s="11" t="str">
        <f>IF(V148=1,SUM($V$2:V148),"")</f>
        <v/>
      </c>
      <c r="X148" s="11" t="str">
        <f t="shared" si="5"/>
        <v>SHOPEE</v>
      </c>
    </row>
    <row r="149" spans="1:24">
      <c r="A149" s="15" t="s">
        <v>79</v>
      </c>
      <c r="B149" s="15" t="s">
        <v>83</v>
      </c>
      <c r="C149" s="15" t="s">
        <v>1873</v>
      </c>
      <c r="D149" s="13">
        <v>46231.65625</v>
      </c>
      <c r="E149" s="15" t="s">
        <v>265</v>
      </c>
      <c r="F149" s="15" t="s">
        <v>1874</v>
      </c>
      <c r="G149" s="15" t="s">
        <v>74</v>
      </c>
      <c r="H149" s="15" t="s">
        <v>75</v>
      </c>
      <c r="I149" s="14">
        <v>48000</v>
      </c>
      <c r="J149" s="15" t="s">
        <v>1875</v>
      </c>
      <c r="K149" s="15" t="s">
        <v>24</v>
      </c>
      <c r="L149" s="15">
        <v>2</v>
      </c>
      <c r="M149" s="15">
        <v>1.6</v>
      </c>
      <c r="N149" s="15" t="s">
        <v>76</v>
      </c>
      <c r="O149" s="15" t="s">
        <v>76</v>
      </c>
      <c r="P149" s="14">
        <v>300000</v>
      </c>
      <c r="Q149" s="13">
        <v>46231.65625</v>
      </c>
      <c r="R149" s="15" t="s">
        <v>287</v>
      </c>
      <c r="S149" s="11" t="str">
        <f t="shared" si="4"/>
        <v>2026-07-28</v>
      </c>
      <c r="T149" s="11">
        <f>IF($E149="","",IF(COUNTIF($E$2:$E149,$E149)=1,1,0))</f>
        <v>0</v>
      </c>
      <c r="U149" s="11" t="str">
        <f>IF(T149=1,SUM($T$2:T149),"")</f>
        <v/>
      </c>
      <c r="V149" s="11">
        <f>IF(OR($R149="",$R149="-"),"",IF(COUNTIF($R$2:$R149,$R149)=1,1,0))</f>
        <v>1</v>
      </c>
      <c r="W149" s="11">
        <f>IF(V149=1,SUM($V$2:V149),"")</f>
        <v>51</v>
      </c>
      <c r="X149" s="11" t="str">
        <f t="shared" si="5"/>
        <v>SHOPEE</v>
      </c>
    </row>
    <row r="150" spans="1:24">
      <c r="A150" s="15" t="s">
        <v>79</v>
      </c>
      <c r="B150" s="15" t="s">
        <v>80</v>
      </c>
      <c r="C150" s="15" t="s">
        <v>1876</v>
      </c>
      <c r="D150" s="13">
        <v>46231.62222222222</v>
      </c>
      <c r="E150" s="15" t="s">
        <v>265</v>
      </c>
      <c r="F150" s="15" t="s">
        <v>1877</v>
      </c>
      <c r="G150" s="15" t="s">
        <v>74</v>
      </c>
      <c r="H150" s="15" t="s">
        <v>75</v>
      </c>
      <c r="I150" s="14">
        <v>12000</v>
      </c>
      <c r="J150" s="15" t="s">
        <v>203</v>
      </c>
      <c r="K150" s="15" t="s">
        <v>24</v>
      </c>
      <c r="L150" s="15">
        <v>1</v>
      </c>
      <c r="M150" s="15">
        <v>0.15</v>
      </c>
      <c r="N150" s="15" t="s">
        <v>76</v>
      </c>
      <c r="O150" s="15" t="s">
        <v>76</v>
      </c>
      <c r="P150" s="14">
        <v>120000</v>
      </c>
      <c r="Q150" s="13">
        <v>46231.622916666667</v>
      </c>
      <c r="R150" s="15" t="s">
        <v>513</v>
      </c>
      <c r="S150" s="11" t="str">
        <f t="shared" si="4"/>
        <v>2026-07-28</v>
      </c>
      <c r="T150" s="11">
        <f>IF($E150="","",IF(COUNTIF($E$2:$E150,$E150)=1,1,0))</f>
        <v>0</v>
      </c>
      <c r="U150" s="11" t="str">
        <f>IF(T150=1,SUM($T$2:T150),"")</f>
        <v/>
      </c>
      <c r="V150" s="11">
        <f>IF(OR($R150="",$R150="-"),"",IF(COUNTIF($R$2:$R150,$R150)=1,1,0))</f>
        <v>1</v>
      </c>
      <c r="W150" s="11">
        <f>IF(V150=1,SUM($V$2:V150),"")</f>
        <v>52</v>
      </c>
      <c r="X150" s="11" t="str">
        <f t="shared" si="5"/>
        <v>SHOPEE</v>
      </c>
    </row>
    <row r="151" spans="1:24">
      <c r="A151" s="15" t="s">
        <v>79</v>
      </c>
      <c r="B151" s="15" t="s">
        <v>83</v>
      </c>
      <c r="C151" s="15" t="s">
        <v>1878</v>
      </c>
      <c r="D151" s="13">
        <v>46231.504861111112</v>
      </c>
      <c r="E151" s="15" t="s">
        <v>265</v>
      </c>
      <c r="F151" s="15" t="s">
        <v>1879</v>
      </c>
      <c r="G151" s="15" t="s">
        <v>74</v>
      </c>
      <c r="H151" s="15" t="s">
        <v>75</v>
      </c>
      <c r="I151" s="14">
        <v>36000</v>
      </c>
      <c r="J151" s="15" t="s">
        <v>229</v>
      </c>
      <c r="K151" s="15" t="s">
        <v>24</v>
      </c>
      <c r="L151" s="15">
        <v>1</v>
      </c>
      <c r="M151" s="15">
        <v>2.5</v>
      </c>
      <c r="N151" s="15" t="s">
        <v>76</v>
      </c>
      <c r="O151" s="15" t="s">
        <v>76</v>
      </c>
      <c r="P151" s="14">
        <v>465000</v>
      </c>
      <c r="Q151" s="13">
        <v>46231.504861111112</v>
      </c>
      <c r="R151" s="15" t="s">
        <v>98</v>
      </c>
      <c r="S151" s="11" t="str">
        <f t="shared" si="4"/>
        <v>2026-07-28</v>
      </c>
      <c r="T151" s="11">
        <f>IF($E151="","",IF(COUNTIF($E$2:$E151,$E151)=1,1,0))</f>
        <v>0</v>
      </c>
      <c r="U151" s="11" t="str">
        <f>IF(T151=1,SUM($T$2:T151),"")</f>
        <v/>
      </c>
      <c r="V151" s="11">
        <f>IF(OR($R151="",$R151="-"),"",IF(COUNTIF($R$2:$R151,$R151)=1,1,0))</f>
        <v>1</v>
      </c>
      <c r="W151" s="11">
        <f>IF(V151=1,SUM($V$2:V151),"")</f>
        <v>53</v>
      </c>
      <c r="X151" s="11" t="str">
        <f t="shared" si="5"/>
        <v>SHOPEE</v>
      </c>
    </row>
    <row r="152" spans="1:24">
      <c r="A152" s="15" t="s">
        <v>79</v>
      </c>
      <c r="B152" s="15" t="s">
        <v>83</v>
      </c>
      <c r="C152" s="15" t="s">
        <v>1880</v>
      </c>
      <c r="D152" s="13">
        <v>46231.456250000003</v>
      </c>
      <c r="E152" s="15" t="s">
        <v>111</v>
      </c>
      <c r="F152" s="15" t="s">
        <v>1881</v>
      </c>
      <c r="G152" s="15" t="s">
        <v>74</v>
      </c>
      <c r="H152" s="15" t="s">
        <v>75</v>
      </c>
      <c r="I152" s="14">
        <v>32500</v>
      </c>
      <c r="J152" s="15" t="s">
        <v>1882</v>
      </c>
      <c r="K152" s="15" t="s">
        <v>27</v>
      </c>
      <c r="L152" s="15">
        <v>1</v>
      </c>
      <c r="M152" s="15">
        <v>0.15</v>
      </c>
      <c r="N152" s="15" t="s">
        <v>76</v>
      </c>
      <c r="O152" s="15" t="s">
        <v>76</v>
      </c>
      <c r="P152" s="14">
        <v>119000</v>
      </c>
      <c r="Q152" s="13">
        <v>46231.456250000003</v>
      </c>
      <c r="R152" s="15" t="s">
        <v>1015</v>
      </c>
      <c r="S152" s="11" t="str">
        <f t="shared" si="4"/>
        <v>2026-07-28</v>
      </c>
      <c r="T152" s="11">
        <f>IF($E152="","",IF(COUNTIF($E$2:$E152,$E152)=1,1,0))</f>
        <v>0</v>
      </c>
      <c r="U152" s="11" t="str">
        <f>IF(T152=1,SUM($T$2:T152),"")</f>
        <v/>
      </c>
      <c r="V152" s="11">
        <f>IF(OR($R152="",$R152="-"),"",IF(COUNTIF($R$2:$R152,$R152)=1,1,0))</f>
        <v>1</v>
      </c>
      <c r="W152" s="11">
        <f>IF(V152=1,SUM($V$2:V152),"")</f>
        <v>54</v>
      </c>
      <c r="X152" s="11" t="str">
        <f t="shared" si="5"/>
        <v>SHOPEE</v>
      </c>
    </row>
    <row r="153" spans="1:24">
      <c r="A153" s="15" t="s">
        <v>79</v>
      </c>
      <c r="B153" s="15" t="s">
        <v>83</v>
      </c>
      <c r="C153" s="15" t="s">
        <v>1883</v>
      </c>
      <c r="D153" s="13">
        <v>46231.384027777778</v>
      </c>
      <c r="E153" s="15" t="s">
        <v>111</v>
      </c>
      <c r="F153" s="15" t="s">
        <v>1884</v>
      </c>
      <c r="G153" s="15" t="s">
        <v>74</v>
      </c>
      <c r="H153" s="15" t="s">
        <v>75</v>
      </c>
      <c r="I153" s="14">
        <v>17000</v>
      </c>
      <c r="J153" s="15" t="s">
        <v>1885</v>
      </c>
      <c r="K153" s="15" t="s">
        <v>24</v>
      </c>
      <c r="L153" s="15">
        <v>1</v>
      </c>
      <c r="M153" s="15">
        <v>0.1</v>
      </c>
      <c r="N153" s="15" t="s">
        <v>76</v>
      </c>
      <c r="O153" s="15" t="s">
        <v>76</v>
      </c>
      <c r="P153" s="14">
        <v>8413</v>
      </c>
      <c r="Q153" s="13">
        <v>46231.384027777778</v>
      </c>
      <c r="R153" s="15" t="s">
        <v>1886</v>
      </c>
      <c r="S153" s="11" t="str">
        <f t="shared" si="4"/>
        <v>2026-07-28</v>
      </c>
      <c r="T153" s="11">
        <f>IF($E153="","",IF(COUNTIF($E$2:$E153,$E153)=1,1,0))</f>
        <v>0</v>
      </c>
      <c r="U153" s="11" t="str">
        <f>IF(T153=1,SUM($T$2:T153),"")</f>
        <v/>
      </c>
      <c r="V153" s="11">
        <f>IF(OR($R153="",$R153="-"),"",IF(COUNTIF($R$2:$R153,$R153)=1,1,0))</f>
        <v>1</v>
      </c>
      <c r="W153" s="11">
        <f>IF(V153=1,SUM($V$2:V153),"")</f>
        <v>55</v>
      </c>
      <c r="X153" s="11" t="str">
        <f t="shared" si="5"/>
        <v>SHOPEE</v>
      </c>
    </row>
    <row r="154" spans="1:24">
      <c r="A154" s="15" t="s">
        <v>79</v>
      </c>
      <c r="B154" s="15" t="s">
        <v>83</v>
      </c>
      <c r="C154" s="15" t="s">
        <v>1883</v>
      </c>
      <c r="D154" s="13">
        <v>46231.384027777778</v>
      </c>
      <c r="E154" s="15" t="s">
        <v>111</v>
      </c>
      <c r="F154" s="15" t="s">
        <v>1887</v>
      </c>
      <c r="G154" s="15" t="s">
        <v>74</v>
      </c>
      <c r="H154" s="15" t="s">
        <v>75</v>
      </c>
      <c r="I154" s="14">
        <v>14000</v>
      </c>
      <c r="J154" s="15" t="s">
        <v>1714</v>
      </c>
      <c r="K154" s="15" t="s">
        <v>27</v>
      </c>
      <c r="L154" s="15">
        <v>1</v>
      </c>
      <c r="M154" s="15">
        <v>0.1</v>
      </c>
      <c r="N154" s="15" t="s">
        <v>76</v>
      </c>
      <c r="O154" s="15" t="s">
        <v>76</v>
      </c>
      <c r="P154" s="14">
        <v>8413</v>
      </c>
      <c r="Q154" s="13">
        <v>46231.384027777778</v>
      </c>
      <c r="R154" s="15" t="s">
        <v>1886</v>
      </c>
      <c r="S154" s="11" t="str">
        <f t="shared" si="4"/>
        <v>2026-07-28</v>
      </c>
      <c r="T154" s="11">
        <f>IF($E154="","",IF(COUNTIF($E$2:$E154,$E154)=1,1,0))</f>
        <v>0</v>
      </c>
      <c r="U154" s="11" t="str">
        <f>IF(T154=1,SUM($T$2:T154),"")</f>
        <v/>
      </c>
      <c r="V154" s="11">
        <f>IF(OR($R154="",$R154="-"),"",IF(COUNTIF($R$2:$R154,$R154)=1,1,0))</f>
        <v>0</v>
      </c>
      <c r="W154" s="11" t="str">
        <f>IF(V154=1,SUM($V$2:V154),"")</f>
        <v/>
      </c>
      <c r="X154" s="11" t="str">
        <f t="shared" si="5"/>
        <v>SHOPEE</v>
      </c>
    </row>
    <row r="155" spans="1:24">
      <c r="A155" s="15" t="s">
        <v>79</v>
      </c>
      <c r="B155" s="15" t="s">
        <v>83</v>
      </c>
      <c r="C155" s="15" t="s">
        <v>1888</v>
      </c>
      <c r="D155" s="13">
        <v>46231.378472222219</v>
      </c>
      <c r="E155" s="15" t="s">
        <v>111</v>
      </c>
      <c r="F155" s="15" t="s">
        <v>1889</v>
      </c>
      <c r="G155" s="15" t="s">
        <v>74</v>
      </c>
      <c r="H155" s="15" t="s">
        <v>75</v>
      </c>
      <c r="I155" s="14">
        <v>27000</v>
      </c>
      <c r="J155" s="15" t="s">
        <v>610</v>
      </c>
      <c r="K155" s="15" t="s">
        <v>26</v>
      </c>
      <c r="L155" s="15">
        <v>1</v>
      </c>
      <c r="M155" s="15">
        <v>3.28</v>
      </c>
      <c r="N155" s="15" t="s">
        <v>76</v>
      </c>
      <c r="O155" s="15" t="s">
        <v>76</v>
      </c>
      <c r="P155" s="14">
        <v>1153500</v>
      </c>
      <c r="Q155" s="13">
        <v>46231.378472222219</v>
      </c>
      <c r="R155" s="15" t="s">
        <v>1890</v>
      </c>
      <c r="S155" s="11" t="str">
        <f t="shared" si="4"/>
        <v>2026-07-28</v>
      </c>
      <c r="T155" s="11">
        <f>IF($E155="","",IF(COUNTIF($E$2:$E155,$E155)=1,1,0))</f>
        <v>0</v>
      </c>
      <c r="U155" s="11" t="str">
        <f>IF(T155=1,SUM($T$2:T155),"")</f>
        <v/>
      </c>
      <c r="V155" s="11">
        <f>IF(OR($R155="",$R155="-"),"",IF(COUNTIF($R$2:$R155,$R155)=1,1,0))</f>
        <v>1</v>
      </c>
      <c r="W155" s="11">
        <f>IF(V155=1,SUM($V$2:V155),"")</f>
        <v>56</v>
      </c>
      <c r="X155" s="11" t="str">
        <f t="shared" si="5"/>
        <v>SHOPEE</v>
      </c>
    </row>
    <row r="156" spans="1:24">
      <c r="A156" s="15" t="s">
        <v>79</v>
      </c>
      <c r="B156" s="15" t="s">
        <v>83</v>
      </c>
      <c r="C156" s="15" t="s">
        <v>1891</v>
      </c>
      <c r="D156" s="13">
        <v>46231.3</v>
      </c>
      <c r="E156" s="15" t="s">
        <v>111</v>
      </c>
      <c r="F156" s="15" t="s">
        <v>1892</v>
      </c>
      <c r="G156" s="15" t="s">
        <v>74</v>
      </c>
      <c r="H156" s="15" t="s">
        <v>75</v>
      </c>
      <c r="I156" s="14">
        <v>78000</v>
      </c>
      <c r="J156" s="15" t="s">
        <v>1893</v>
      </c>
      <c r="K156" s="15" t="s">
        <v>24</v>
      </c>
      <c r="L156" s="15">
        <v>1</v>
      </c>
      <c r="M156" s="15">
        <v>3</v>
      </c>
      <c r="N156" s="15" t="s">
        <v>76</v>
      </c>
      <c r="O156" s="15" t="s">
        <v>76</v>
      </c>
      <c r="P156" s="15">
        <v>99</v>
      </c>
      <c r="Q156" s="13">
        <v>46231.300694444442</v>
      </c>
      <c r="R156" s="15" t="s">
        <v>1894</v>
      </c>
      <c r="S156" s="11" t="str">
        <f t="shared" si="4"/>
        <v>2026-07-28</v>
      </c>
      <c r="T156" s="11">
        <f>IF($E156="","",IF(COUNTIF($E$2:$E156,$E156)=1,1,0))</f>
        <v>0</v>
      </c>
      <c r="U156" s="11" t="str">
        <f>IF(T156=1,SUM($T$2:T156),"")</f>
        <v/>
      </c>
      <c r="V156" s="11">
        <f>IF(OR($R156="",$R156="-"),"",IF(COUNTIF($R$2:$R156,$R156)=1,1,0))</f>
        <v>1</v>
      </c>
      <c r="W156" s="11">
        <f>IF(V156=1,SUM($V$2:V156),"")</f>
        <v>57</v>
      </c>
      <c r="X156" s="11" t="str">
        <f t="shared" si="5"/>
        <v>SHOPEE</v>
      </c>
    </row>
    <row r="157" spans="1:24">
      <c r="A157" s="15" t="s">
        <v>79</v>
      </c>
      <c r="B157" s="15" t="s">
        <v>83</v>
      </c>
      <c r="C157" s="15" t="s">
        <v>1895</v>
      </c>
      <c r="D157" s="13">
        <v>46230.824305555558</v>
      </c>
      <c r="E157" s="15" t="s">
        <v>73</v>
      </c>
      <c r="F157" s="15" t="s">
        <v>1896</v>
      </c>
      <c r="G157" s="15" t="s">
        <v>74</v>
      </c>
      <c r="H157" s="15" t="s">
        <v>75</v>
      </c>
      <c r="I157" s="14">
        <v>12000</v>
      </c>
      <c r="J157" s="15" t="s">
        <v>204</v>
      </c>
      <c r="K157" s="15" t="s">
        <v>24</v>
      </c>
      <c r="L157" s="15">
        <v>1</v>
      </c>
      <c r="M157" s="15">
        <v>0.13</v>
      </c>
      <c r="N157" s="15" t="s">
        <v>76</v>
      </c>
      <c r="O157" s="15" t="s">
        <v>76</v>
      </c>
      <c r="P157" s="14">
        <v>190000</v>
      </c>
      <c r="Q157" s="13">
        <v>46230.824305555558</v>
      </c>
      <c r="R157" s="15" t="s">
        <v>982</v>
      </c>
      <c r="S157" s="11" t="str">
        <f t="shared" si="4"/>
        <v>2026-07-27</v>
      </c>
      <c r="T157" s="11">
        <f>IF($E157="","",IF(COUNTIF($E$2:$E157,$E157)=1,1,0))</f>
        <v>0</v>
      </c>
      <c r="U157" s="11" t="str">
        <f>IF(T157=1,SUM($T$2:T157),"")</f>
        <v/>
      </c>
      <c r="V157" s="11">
        <f>IF(OR($R157="",$R157="-"),"",IF(COUNTIF($R$2:$R157,$R157)=1,1,0))</f>
        <v>1</v>
      </c>
      <c r="W157" s="11">
        <f>IF(V157=1,SUM($V$2:V157),"")</f>
        <v>58</v>
      </c>
      <c r="X157" s="11" t="str">
        <f t="shared" si="5"/>
        <v>SHOPEE</v>
      </c>
    </row>
    <row r="158" spans="1:24">
      <c r="A158" s="15" t="s">
        <v>79</v>
      </c>
      <c r="B158" s="15" t="s">
        <v>83</v>
      </c>
      <c r="C158" s="15" t="s">
        <v>346</v>
      </c>
      <c r="D158" s="13">
        <v>46230.819444444445</v>
      </c>
      <c r="E158" s="15" t="s">
        <v>265</v>
      </c>
      <c r="F158" s="15" t="s">
        <v>347</v>
      </c>
      <c r="G158" s="15" t="s">
        <v>74</v>
      </c>
      <c r="H158" s="15" t="s">
        <v>75</v>
      </c>
      <c r="I158" s="14">
        <v>234000</v>
      </c>
      <c r="J158" s="15" t="s">
        <v>348</v>
      </c>
      <c r="K158" s="15" t="s">
        <v>26</v>
      </c>
      <c r="L158" s="15">
        <v>1</v>
      </c>
      <c r="M158" s="15">
        <v>25</v>
      </c>
      <c r="N158" s="15" t="s">
        <v>76</v>
      </c>
      <c r="O158" s="15" t="s">
        <v>76</v>
      </c>
      <c r="P158" s="14">
        <v>3000</v>
      </c>
      <c r="Q158" s="13">
        <v>46230.820833333331</v>
      </c>
      <c r="R158" s="15" t="s">
        <v>349</v>
      </c>
      <c r="S158" s="11" t="str">
        <f t="shared" si="4"/>
        <v>2026-07-27</v>
      </c>
      <c r="T158" s="11">
        <f>IF($E158="","",IF(COUNTIF($E$2:$E158,$E158)=1,1,0))</f>
        <v>0</v>
      </c>
      <c r="U158" s="11" t="str">
        <f>IF(T158=1,SUM($T$2:T158),"")</f>
        <v/>
      </c>
      <c r="V158" s="11">
        <f>IF(OR($R158="",$R158="-"),"",IF(COUNTIF($R$2:$R158,$R158)=1,1,0))</f>
        <v>1</v>
      </c>
      <c r="W158" s="11">
        <f>IF(V158=1,SUM($V$2:V158),"")</f>
        <v>59</v>
      </c>
      <c r="X158" s="11" t="str">
        <f t="shared" si="5"/>
        <v>SHOPEE</v>
      </c>
    </row>
    <row r="159" spans="1:24">
      <c r="A159" s="15" t="s">
        <v>79</v>
      </c>
      <c r="B159" s="15" t="s">
        <v>83</v>
      </c>
      <c r="C159" s="15" t="s">
        <v>346</v>
      </c>
      <c r="D159" s="13">
        <v>46230.819444444445</v>
      </c>
      <c r="E159" s="15" t="s">
        <v>265</v>
      </c>
      <c r="F159" s="15" t="s">
        <v>350</v>
      </c>
      <c r="G159" s="15" t="s">
        <v>74</v>
      </c>
      <c r="H159" s="15" t="s">
        <v>75</v>
      </c>
      <c r="I159" s="14">
        <v>48000</v>
      </c>
      <c r="J159" s="15" t="s">
        <v>351</v>
      </c>
      <c r="K159" s="15" t="s">
        <v>24</v>
      </c>
      <c r="L159" s="15">
        <v>1</v>
      </c>
      <c r="M159" s="15">
        <v>2</v>
      </c>
      <c r="N159" s="15" t="s">
        <v>76</v>
      </c>
      <c r="O159" s="15" t="s">
        <v>76</v>
      </c>
      <c r="P159" s="14">
        <v>5000</v>
      </c>
      <c r="Q159" s="13">
        <v>46230.820833333331</v>
      </c>
      <c r="R159" s="15" t="s">
        <v>352</v>
      </c>
      <c r="S159" s="11" t="str">
        <f t="shared" si="4"/>
        <v>2026-07-27</v>
      </c>
      <c r="T159" s="11">
        <f>IF($E159="","",IF(COUNTIF($E$2:$E159,$E159)=1,1,0))</f>
        <v>0</v>
      </c>
      <c r="U159" s="11" t="str">
        <f>IF(T159=1,SUM($T$2:T159),"")</f>
        <v/>
      </c>
      <c r="V159" s="11">
        <f>IF(OR($R159="",$R159="-"),"",IF(COUNTIF($R$2:$R159,$R159)=1,1,0))</f>
        <v>1</v>
      </c>
      <c r="W159" s="11">
        <f>IF(V159=1,SUM($V$2:V159),"")</f>
        <v>60</v>
      </c>
      <c r="X159" s="11" t="str">
        <f t="shared" si="5"/>
        <v>SHOPEE</v>
      </c>
    </row>
    <row r="160" spans="1:24">
      <c r="A160" s="15" t="s">
        <v>79</v>
      </c>
      <c r="B160" s="15" t="s">
        <v>83</v>
      </c>
      <c r="C160" s="15" t="s">
        <v>353</v>
      </c>
      <c r="D160" s="13">
        <v>46230.78402777778</v>
      </c>
      <c r="E160" s="15" t="s">
        <v>111</v>
      </c>
      <c r="F160" s="15" t="s">
        <v>354</v>
      </c>
      <c r="G160" s="15" t="s">
        <v>74</v>
      </c>
      <c r="H160" s="15" t="s">
        <v>75</v>
      </c>
      <c r="I160" s="14">
        <v>12000</v>
      </c>
      <c r="J160" s="15" t="s">
        <v>206</v>
      </c>
      <c r="K160" s="15" t="s">
        <v>24</v>
      </c>
      <c r="L160" s="15">
        <v>1</v>
      </c>
      <c r="M160" s="15">
        <v>1</v>
      </c>
      <c r="N160" s="15" t="s">
        <v>76</v>
      </c>
      <c r="O160" s="15" t="s">
        <v>76</v>
      </c>
      <c r="P160" s="14">
        <v>2820000</v>
      </c>
      <c r="Q160" s="13">
        <v>46230.78402777778</v>
      </c>
      <c r="R160" s="15" t="s">
        <v>86</v>
      </c>
      <c r="S160" s="11" t="str">
        <f t="shared" si="4"/>
        <v>2026-07-27</v>
      </c>
      <c r="T160" s="11">
        <f>IF($E160="","",IF(COUNTIF($E$2:$E160,$E160)=1,1,0))</f>
        <v>0</v>
      </c>
      <c r="U160" s="11" t="str">
        <f>IF(T160=1,SUM($T$2:T160),"")</f>
        <v/>
      </c>
      <c r="V160" s="11">
        <f>IF(OR($R160="",$R160="-"),"",IF(COUNTIF($R$2:$R160,$R160)=1,1,0))</f>
        <v>0</v>
      </c>
      <c r="W160" s="11" t="str">
        <f>IF(V160=1,SUM($V$2:V160),"")</f>
        <v/>
      </c>
      <c r="X160" s="11" t="str">
        <f t="shared" si="5"/>
        <v>SHOPEE</v>
      </c>
    </row>
    <row r="161" spans="1:24">
      <c r="A161" s="15" t="s">
        <v>355</v>
      </c>
      <c r="B161" s="15" t="s">
        <v>72</v>
      </c>
      <c r="C161" s="15" t="s">
        <v>356</v>
      </c>
      <c r="D161" s="13">
        <v>46230.758333333331</v>
      </c>
      <c r="E161" s="15" t="s">
        <v>265</v>
      </c>
      <c r="F161" s="15" t="s">
        <v>357</v>
      </c>
      <c r="G161" s="15" t="s">
        <v>74</v>
      </c>
      <c r="H161" s="15" t="s">
        <v>75</v>
      </c>
      <c r="I161" s="14">
        <v>12000</v>
      </c>
      <c r="J161" s="15" t="s">
        <v>81</v>
      </c>
      <c r="K161" s="15" t="s">
        <v>24</v>
      </c>
      <c r="L161" s="15">
        <v>1</v>
      </c>
      <c r="M161" s="15">
        <v>0.36</v>
      </c>
      <c r="N161" s="15" t="s">
        <v>76</v>
      </c>
      <c r="O161" s="15" t="s">
        <v>76</v>
      </c>
      <c r="P161" s="14">
        <v>158400</v>
      </c>
      <c r="Q161" s="13">
        <v>46230.758333333331</v>
      </c>
      <c r="R161" s="15" t="s">
        <v>358</v>
      </c>
      <c r="S161" s="11" t="str">
        <f t="shared" si="4"/>
        <v>2026-07-27</v>
      </c>
      <c r="T161" s="11">
        <f>IF($E161="","",IF(COUNTIF($E$2:$E161,$E161)=1,1,0))</f>
        <v>0</v>
      </c>
      <c r="U161" s="11" t="str">
        <f>IF(T161=1,SUM($T$2:T161),"")</f>
        <v/>
      </c>
      <c r="V161" s="11">
        <f>IF(OR($R161="",$R161="-"),"",IF(COUNTIF($R$2:$R161,$R161)=1,1,0))</f>
        <v>1</v>
      </c>
      <c r="W161" s="11">
        <f>IF(V161=1,SUM($V$2:V161),"")</f>
        <v>61</v>
      </c>
      <c r="X161" s="11" t="str">
        <f t="shared" si="5"/>
        <v>TOKOPEDIA</v>
      </c>
    </row>
    <row r="162" spans="1:24">
      <c r="A162" s="15" t="s">
        <v>79</v>
      </c>
      <c r="B162" s="15" t="s">
        <v>83</v>
      </c>
      <c r="C162" s="15" t="s">
        <v>359</v>
      </c>
      <c r="D162" s="13">
        <v>46230.720833333333</v>
      </c>
      <c r="E162" s="15" t="s">
        <v>111</v>
      </c>
      <c r="F162" s="15" t="s">
        <v>360</v>
      </c>
      <c r="G162" s="15" t="s">
        <v>74</v>
      </c>
      <c r="H162" s="15" t="s">
        <v>75</v>
      </c>
      <c r="I162" s="14">
        <v>18000</v>
      </c>
      <c r="J162" s="15" t="s">
        <v>230</v>
      </c>
      <c r="K162" s="15" t="s">
        <v>25</v>
      </c>
      <c r="L162" s="15">
        <v>1</v>
      </c>
      <c r="M162" s="15">
        <v>0.5</v>
      </c>
      <c r="N162" s="15" t="s">
        <v>76</v>
      </c>
      <c r="O162" s="15" t="s">
        <v>76</v>
      </c>
      <c r="P162" s="14">
        <v>300000</v>
      </c>
      <c r="Q162" s="13">
        <v>46230.72152777778</v>
      </c>
      <c r="R162" s="15" t="s">
        <v>361</v>
      </c>
      <c r="S162" s="11" t="str">
        <f t="shared" si="4"/>
        <v>2026-07-27</v>
      </c>
      <c r="T162" s="11">
        <f>IF($E162="","",IF(COUNTIF($E$2:$E162,$E162)=1,1,0))</f>
        <v>0</v>
      </c>
      <c r="U162" s="11" t="str">
        <f>IF(T162=1,SUM($T$2:T162),"")</f>
        <v/>
      </c>
      <c r="V162" s="11">
        <f>IF(OR($R162="",$R162="-"),"",IF(COUNTIF($R$2:$R162,$R162)=1,1,0))</f>
        <v>1</v>
      </c>
      <c r="W162" s="11">
        <f>IF(V162=1,SUM($V$2:V162),"")</f>
        <v>62</v>
      </c>
      <c r="X162" s="11" t="str">
        <f t="shared" si="5"/>
        <v>SHOPEE</v>
      </c>
    </row>
    <row r="163" spans="1:24">
      <c r="A163" s="15" t="s">
        <v>79</v>
      </c>
      <c r="B163" s="15" t="s">
        <v>83</v>
      </c>
      <c r="C163" s="15" t="s">
        <v>362</v>
      </c>
      <c r="D163" s="13">
        <v>46230.689583333333</v>
      </c>
      <c r="E163" s="15" t="s">
        <v>73</v>
      </c>
      <c r="F163" s="15" t="s">
        <v>363</v>
      </c>
      <c r="G163" s="15" t="s">
        <v>74</v>
      </c>
      <c r="H163" s="15" t="s">
        <v>75</v>
      </c>
      <c r="I163" s="14">
        <v>24000</v>
      </c>
      <c r="J163" s="15" t="s">
        <v>364</v>
      </c>
      <c r="K163" s="15" t="s">
        <v>24</v>
      </c>
      <c r="L163" s="15">
        <v>1</v>
      </c>
      <c r="M163" s="15">
        <v>1.2</v>
      </c>
      <c r="N163" s="15" t="s">
        <v>76</v>
      </c>
      <c r="O163" s="15" t="s">
        <v>76</v>
      </c>
      <c r="P163" s="14">
        <v>1305000</v>
      </c>
      <c r="Q163" s="13">
        <v>46230.689583333333</v>
      </c>
      <c r="R163" s="15" t="s">
        <v>266</v>
      </c>
      <c r="S163" s="11" t="str">
        <f t="shared" si="4"/>
        <v>2026-07-27</v>
      </c>
      <c r="T163" s="11">
        <f>IF($E163="","",IF(COUNTIF($E$2:$E163,$E163)=1,1,0))</f>
        <v>0</v>
      </c>
      <c r="U163" s="11" t="str">
        <f>IF(T163=1,SUM($T$2:T163),"")</f>
        <v/>
      </c>
      <c r="V163" s="11">
        <f>IF(OR($R163="",$R163="-"),"",IF(COUNTIF($R$2:$R163,$R163)=1,1,0))</f>
        <v>1</v>
      </c>
      <c r="W163" s="11">
        <f>IF(V163=1,SUM($V$2:V163),"")</f>
        <v>63</v>
      </c>
      <c r="X163" s="11" t="str">
        <f t="shared" si="5"/>
        <v>SHOPEE</v>
      </c>
    </row>
    <row r="164" spans="1:24">
      <c r="A164" s="15" t="s">
        <v>79</v>
      </c>
      <c r="B164" s="15" t="s">
        <v>83</v>
      </c>
      <c r="C164" s="15" t="s">
        <v>365</v>
      </c>
      <c r="D164" s="13">
        <v>46230.688194444447</v>
      </c>
      <c r="E164" s="15" t="s">
        <v>73</v>
      </c>
      <c r="F164" s="15" t="s">
        <v>366</v>
      </c>
      <c r="G164" s="15" t="s">
        <v>74</v>
      </c>
      <c r="H164" s="15" t="s">
        <v>75</v>
      </c>
      <c r="I164" s="14">
        <v>12000</v>
      </c>
      <c r="J164" s="15" t="s">
        <v>280</v>
      </c>
      <c r="K164" s="15" t="s">
        <v>24</v>
      </c>
      <c r="L164" s="15">
        <v>15</v>
      </c>
      <c r="M164" s="15">
        <v>1.17</v>
      </c>
      <c r="N164" s="15" t="s">
        <v>76</v>
      </c>
      <c r="O164" s="15" t="s">
        <v>76</v>
      </c>
      <c r="P164" s="14">
        <v>550500</v>
      </c>
      <c r="Q164" s="13">
        <v>46230.688888888886</v>
      </c>
      <c r="R164" s="15" t="s">
        <v>109</v>
      </c>
      <c r="S164" s="11" t="str">
        <f t="shared" si="4"/>
        <v>2026-07-27</v>
      </c>
      <c r="T164" s="11">
        <f>IF($E164="","",IF(COUNTIF($E$2:$E164,$E164)=1,1,0))</f>
        <v>0</v>
      </c>
      <c r="U164" s="11" t="str">
        <f>IF(T164=1,SUM($T$2:T164),"")</f>
        <v/>
      </c>
      <c r="V164" s="11">
        <f>IF(OR($R164="",$R164="-"),"",IF(COUNTIF($R$2:$R164,$R164)=1,1,0))</f>
        <v>0</v>
      </c>
      <c r="W164" s="11" t="str">
        <f>IF(V164=1,SUM($V$2:V164),"")</f>
        <v/>
      </c>
      <c r="X164" s="11" t="str">
        <f t="shared" si="5"/>
        <v>SHOPEE</v>
      </c>
    </row>
    <row r="165" spans="1:24">
      <c r="A165" s="15" t="s">
        <v>79</v>
      </c>
      <c r="B165" s="15" t="s">
        <v>83</v>
      </c>
      <c r="C165" s="15" t="s">
        <v>365</v>
      </c>
      <c r="D165" s="13">
        <v>46230.688194444447</v>
      </c>
      <c r="E165" s="15" t="s">
        <v>73</v>
      </c>
      <c r="F165" s="15" t="s">
        <v>367</v>
      </c>
      <c r="G165" s="15" t="s">
        <v>74</v>
      </c>
      <c r="H165" s="15" t="s">
        <v>75</v>
      </c>
      <c r="I165" s="14">
        <v>63000</v>
      </c>
      <c r="J165" s="15" t="s">
        <v>368</v>
      </c>
      <c r="K165" s="15" t="s">
        <v>26</v>
      </c>
      <c r="L165" s="15">
        <v>1</v>
      </c>
      <c r="M165" s="15">
        <v>3</v>
      </c>
      <c r="N165" s="15" t="s">
        <v>76</v>
      </c>
      <c r="O165" s="15" t="s">
        <v>76</v>
      </c>
      <c r="P165" s="14">
        <v>110550</v>
      </c>
      <c r="Q165" s="13">
        <v>46230.688888888886</v>
      </c>
      <c r="R165" s="15" t="s">
        <v>143</v>
      </c>
      <c r="S165" s="11" t="str">
        <f t="shared" si="4"/>
        <v>2026-07-27</v>
      </c>
      <c r="T165" s="11">
        <f>IF($E165="","",IF(COUNTIF($E$2:$E165,$E165)=1,1,0))</f>
        <v>0</v>
      </c>
      <c r="U165" s="11" t="str">
        <f>IF(T165=1,SUM($T$2:T165),"")</f>
        <v/>
      </c>
      <c r="V165" s="11">
        <f>IF(OR($R165="",$R165="-"),"",IF(COUNTIF($R$2:$R165,$R165)=1,1,0))</f>
        <v>0</v>
      </c>
      <c r="W165" s="11" t="str">
        <f>IF(V165=1,SUM($V$2:V165),"")</f>
        <v/>
      </c>
      <c r="X165" s="11" t="str">
        <f t="shared" si="5"/>
        <v>SHOPEE</v>
      </c>
    </row>
    <row r="166" spans="1:24">
      <c r="A166" s="15" t="s">
        <v>79</v>
      </c>
      <c r="B166" s="15" t="s">
        <v>83</v>
      </c>
      <c r="C166" s="15" t="s">
        <v>365</v>
      </c>
      <c r="D166" s="13">
        <v>46230.688194444447</v>
      </c>
      <c r="E166" s="15" t="s">
        <v>73</v>
      </c>
      <c r="F166" s="15" t="s">
        <v>372</v>
      </c>
      <c r="G166" s="15" t="s">
        <v>74</v>
      </c>
      <c r="H166" s="15" t="s">
        <v>75</v>
      </c>
      <c r="I166" s="14">
        <v>64000</v>
      </c>
      <c r="J166" s="15" t="s">
        <v>373</v>
      </c>
      <c r="K166" s="15" t="s">
        <v>24</v>
      </c>
      <c r="L166" s="15">
        <v>4</v>
      </c>
      <c r="M166" s="15">
        <v>4</v>
      </c>
      <c r="N166" s="15" t="s">
        <v>76</v>
      </c>
      <c r="O166" s="15" t="s">
        <v>76</v>
      </c>
      <c r="P166" s="14">
        <v>147400</v>
      </c>
      <c r="Q166" s="13">
        <v>46230.688888888886</v>
      </c>
      <c r="R166" s="15" t="s">
        <v>109</v>
      </c>
      <c r="S166" s="11" t="str">
        <f t="shared" si="4"/>
        <v>2026-07-27</v>
      </c>
      <c r="T166" s="11">
        <f>IF($E166="","",IF(COUNTIF($E$2:$E166,$E166)=1,1,0))</f>
        <v>0</v>
      </c>
      <c r="U166" s="11" t="str">
        <f>IF(T166=1,SUM($T$2:T166),"")</f>
        <v/>
      </c>
      <c r="V166" s="11">
        <f>IF(OR($R166="",$R166="-"),"",IF(COUNTIF($R$2:$R166,$R166)=1,1,0))</f>
        <v>0</v>
      </c>
      <c r="W166" s="11" t="str">
        <f>IF(V166=1,SUM($V$2:V166),"")</f>
        <v/>
      </c>
      <c r="X166" s="11" t="str">
        <f t="shared" si="5"/>
        <v>SHOPEE</v>
      </c>
    </row>
    <row r="167" spans="1:24">
      <c r="A167" s="15" t="s">
        <v>79</v>
      </c>
      <c r="B167" s="15" t="s">
        <v>83</v>
      </c>
      <c r="C167" s="15" t="s">
        <v>365</v>
      </c>
      <c r="D167" s="13">
        <v>46230.688194444447</v>
      </c>
      <c r="E167" s="15" t="s">
        <v>73</v>
      </c>
      <c r="F167" s="15" t="s">
        <v>371</v>
      </c>
      <c r="G167" s="15" t="s">
        <v>74</v>
      </c>
      <c r="H167" s="15" t="s">
        <v>75</v>
      </c>
      <c r="I167" s="14">
        <v>24000</v>
      </c>
      <c r="J167" s="15" t="s">
        <v>280</v>
      </c>
      <c r="K167" s="15" t="s">
        <v>24</v>
      </c>
      <c r="L167" s="15">
        <v>20</v>
      </c>
      <c r="M167" s="15">
        <v>1.56</v>
      </c>
      <c r="N167" s="15" t="s">
        <v>76</v>
      </c>
      <c r="O167" s="15" t="s">
        <v>76</v>
      </c>
      <c r="P167" s="14">
        <v>734000</v>
      </c>
      <c r="Q167" s="13">
        <v>46230.688888888886</v>
      </c>
      <c r="R167" s="15" t="s">
        <v>109</v>
      </c>
      <c r="S167" s="11" t="str">
        <f t="shared" si="4"/>
        <v>2026-07-27</v>
      </c>
      <c r="T167" s="11">
        <f>IF($E167="","",IF(COUNTIF($E$2:$E167,$E167)=1,1,0))</f>
        <v>0</v>
      </c>
      <c r="U167" s="11" t="str">
        <f>IF(T167=1,SUM($T$2:T167),"")</f>
        <v/>
      </c>
      <c r="V167" s="11">
        <f>IF(OR($R167="",$R167="-"),"",IF(COUNTIF($R$2:$R167,$R167)=1,1,0))</f>
        <v>0</v>
      </c>
      <c r="W167" s="11" t="str">
        <f>IF(V167=1,SUM($V$2:V167),"")</f>
        <v/>
      </c>
      <c r="X167" s="11" t="str">
        <f t="shared" si="5"/>
        <v>SHOPEE</v>
      </c>
    </row>
    <row r="168" spans="1:24">
      <c r="A168" s="15" t="s">
        <v>79</v>
      </c>
      <c r="B168" s="15" t="s">
        <v>83</v>
      </c>
      <c r="C168" s="15" t="s">
        <v>365</v>
      </c>
      <c r="D168" s="13">
        <v>46230.688194444447</v>
      </c>
      <c r="E168" s="15" t="s">
        <v>73</v>
      </c>
      <c r="F168" s="15" t="s">
        <v>369</v>
      </c>
      <c r="G168" s="15" t="s">
        <v>74</v>
      </c>
      <c r="H168" s="15" t="s">
        <v>75</v>
      </c>
      <c r="I168" s="14">
        <v>29000</v>
      </c>
      <c r="J168" s="15" t="s">
        <v>370</v>
      </c>
      <c r="K168" s="15" t="s">
        <v>24</v>
      </c>
      <c r="L168" s="15">
        <v>2</v>
      </c>
      <c r="M168" s="15">
        <v>0.16</v>
      </c>
      <c r="N168" s="15" t="s">
        <v>76</v>
      </c>
      <c r="O168" s="15" t="s">
        <v>76</v>
      </c>
      <c r="P168" s="14">
        <v>73400</v>
      </c>
      <c r="Q168" s="13">
        <v>46230.688888888886</v>
      </c>
      <c r="R168" s="15" t="s">
        <v>109</v>
      </c>
      <c r="S168" s="11" t="str">
        <f t="shared" si="4"/>
        <v>2026-07-27</v>
      </c>
      <c r="T168" s="11">
        <f>IF($E168="","",IF(COUNTIF($E$2:$E168,$E168)=1,1,0))</f>
        <v>0</v>
      </c>
      <c r="U168" s="11" t="str">
        <f>IF(T168=1,SUM($T$2:T168),"")</f>
        <v/>
      </c>
      <c r="V168" s="11">
        <f>IF(OR($R168="",$R168="-"),"",IF(COUNTIF($R$2:$R168,$R168)=1,1,0))</f>
        <v>0</v>
      </c>
      <c r="W168" s="11" t="str">
        <f>IF(V168=1,SUM($V$2:V168),"")</f>
        <v/>
      </c>
      <c r="X168" s="11" t="str">
        <f t="shared" si="5"/>
        <v>SHOPEE</v>
      </c>
    </row>
    <row r="169" spans="1:24">
      <c r="A169" s="15" t="s">
        <v>79</v>
      </c>
      <c r="B169" s="15" t="s">
        <v>83</v>
      </c>
      <c r="C169" s="15" t="s">
        <v>374</v>
      </c>
      <c r="D169" s="13">
        <v>46230.679861111108</v>
      </c>
      <c r="E169" s="15" t="s">
        <v>73</v>
      </c>
      <c r="F169" s="15" t="s">
        <v>375</v>
      </c>
      <c r="G169" s="15" t="s">
        <v>74</v>
      </c>
      <c r="H169" s="15" t="s">
        <v>75</v>
      </c>
      <c r="I169" s="14">
        <v>12000</v>
      </c>
      <c r="J169" s="15" t="s">
        <v>376</v>
      </c>
      <c r="K169" s="15" t="s">
        <v>24</v>
      </c>
      <c r="L169" s="15">
        <v>2</v>
      </c>
      <c r="M169" s="15">
        <v>0.1</v>
      </c>
      <c r="N169" s="15" t="s">
        <v>76</v>
      </c>
      <c r="O169" s="15" t="s">
        <v>76</v>
      </c>
      <c r="P169" s="14">
        <v>20000</v>
      </c>
      <c r="Q169" s="13">
        <v>46230.679861111108</v>
      </c>
      <c r="R169" s="15" t="s">
        <v>231</v>
      </c>
      <c r="S169" s="11" t="str">
        <f t="shared" si="4"/>
        <v>2026-07-27</v>
      </c>
      <c r="T169" s="11">
        <f>IF($E169="","",IF(COUNTIF($E$2:$E169,$E169)=1,1,0))</f>
        <v>0</v>
      </c>
      <c r="U169" s="11" t="str">
        <f>IF(T169=1,SUM($T$2:T169),"")</f>
        <v/>
      </c>
      <c r="V169" s="11">
        <f>IF(OR($R169="",$R169="-"),"",IF(COUNTIF($R$2:$R169,$R169)=1,1,0))</f>
        <v>1</v>
      </c>
      <c r="W169" s="11">
        <f>IF(V169=1,SUM($V$2:V169),"")</f>
        <v>64</v>
      </c>
      <c r="X169" s="11" t="str">
        <f t="shared" si="5"/>
        <v>SHOPEE</v>
      </c>
    </row>
    <row r="170" spans="1:24">
      <c r="A170" s="15" t="s">
        <v>79</v>
      </c>
      <c r="B170" s="15" t="s">
        <v>80</v>
      </c>
      <c r="C170" s="15" t="s">
        <v>377</v>
      </c>
      <c r="D170" s="13">
        <v>46230.625</v>
      </c>
      <c r="E170" s="15" t="s">
        <v>111</v>
      </c>
      <c r="F170" s="15" t="s">
        <v>378</v>
      </c>
      <c r="G170" s="15" t="s">
        <v>74</v>
      </c>
      <c r="H170" s="15" t="s">
        <v>75</v>
      </c>
      <c r="I170" s="14">
        <v>12000</v>
      </c>
      <c r="J170" s="15" t="s">
        <v>105</v>
      </c>
      <c r="K170" s="15" t="s">
        <v>24</v>
      </c>
      <c r="L170" s="15">
        <v>1</v>
      </c>
      <c r="M170" s="15">
        <v>0.4</v>
      </c>
      <c r="N170" s="15" t="s">
        <v>76</v>
      </c>
      <c r="O170" s="15" t="s">
        <v>76</v>
      </c>
      <c r="P170" s="14">
        <v>96999</v>
      </c>
      <c r="Q170" s="13">
        <v>46230.625</v>
      </c>
      <c r="R170" s="15" t="s">
        <v>379</v>
      </c>
      <c r="S170" s="11" t="str">
        <f t="shared" si="4"/>
        <v>2026-07-27</v>
      </c>
      <c r="T170" s="11">
        <f>IF($E170="","",IF(COUNTIF($E$2:$E170,$E170)=1,1,0))</f>
        <v>0</v>
      </c>
      <c r="U170" s="11" t="str">
        <f>IF(T170=1,SUM($T$2:T170),"")</f>
        <v/>
      </c>
      <c r="V170" s="11">
        <f>IF(OR($R170="",$R170="-"),"",IF(COUNTIF($R$2:$R170,$R170)=1,1,0))</f>
        <v>1</v>
      </c>
      <c r="W170" s="11">
        <f>IF(V170=1,SUM($V$2:V170),"")</f>
        <v>65</v>
      </c>
      <c r="X170" s="11" t="str">
        <f t="shared" si="5"/>
        <v>SHOPEE</v>
      </c>
    </row>
    <row r="171" spans="1:24">
      <c r="A171" s="15" t="s">
        <v>79</v>
      </c>
      <c r="B171" s="15" t="s">
        <v>80</v>
      </c>
      <c r="C171" s="15" t="s">
        <v>380</v>
      </c>
      <c r="D171" s="13">
        <v>46230.393750000003</v>
      </c>
      <c r="E171" s="15" t="s">
        <v>95</v>
      </c>
      <c r="F171" s="15" t="s">
        <v>381</v>
      </c>
      <c r="G171" s="15" t="s">
        <v>74</v>
      </c>
      <c r="H171" s="15" t="s">
        <v>75</v>
      </c>
      <c r="I171" s="14">
        <v>12000</v>
      </c>
      <c r="J171" s="15" t="s">
        <v>144</v>
      </c>
      <c r="K171" s="15" t="s">
        <v>24</v>
      </c>
      <c r="L171" s="15">
        <v>1</v>
      </c>
      <c r="M171" s="15">
        <v>0.6</v>
      </c>
      <c r="N171" s="15" t="s">
        <v>76</v>
      </c>
      <c r="O171" s="15" t="s">
        <v>76</v>
      </c>
      <c r="P171" s="14">
        <v>105000</v>
      </c>
      <c r="Q171" s="13">
        <v>46230.394444444442</v>
      </c>
      <c r="R171" s="15" t="s">
        <v>382</v>
      </c>
      <c r="S171" s="11" t="str">
        <f t="shared" si="4"/>
        <v>2026-07-27</v>
      </c>
      <c r="T171" s="11">
        <f>IF($E171="","",IF(COUNTIF($E$2:$E171,$E171)=1,1,0))</f>
        <v>0</v>
      </c>
      <c r="U171" s="11" t="str">
        <f>IF(T171=1,SUM($T$2:T171),"")</f>
        <v/>
      </c>
      <c r="V171" s="11">
        <f>IF(OR($R171="",$R171="-"),"",IF(COUNTIF($R$2:$R171,$R171)=1,1,0))</f>
        <v>1</v>
      </c>
      <c r="W171" s="11">
        <f>IF(V171=1,SUM($V$2:V171),"")</f>
        <v>66</v>
      </c>
      <c r="X171" s="11" t="str">
        <f t="shared" si="5"/>
        <v>SHOPEE</v>
      </c>
    </row>
    <row r="172" spans="1:24">
      <c r="A172" s="15" t="s">
        <v>79</v>
      </c>
      <c r="B172" s="15" t="s">
        <v>83</v>
      </c>
      <c r="C172" s="15" t="s">
        <v>383</v>
      </c>
      <c r="D172" s="13">
        <v>46230.367361111108</v>
      </c>
      <c r="E172" s="15" t="s">
        <v>95</v>
      </c>
      <c r="F172" s="15" t="s">
        <v>384</v>
      </c>
      <c r="G172" s="15" t="s">
        <v>74</v>
      </c>
      <c r="H172" s="15" t="s">
        <v>75</v>
      </c>
      <c r="I172" s="14">
        <v>6000</v>
      </c>
      <c r="J172" s="15" t="s">
        <v>294</v>
      </c>
      <c r="K172" s="15" t="s">
        <v>27</v>
      </c>
      <c r="L172" s="15">
        <v>5</v>
      </c>
      <c r="M172" s="15">
        <v>0.25</v>
      </c>
      <c r="N172" s="15" t="s">
        <v>76</v>
      </c>
      <c r="O172" s="15" t="s">
        <v>76</v>
      </c>
      <c r="P172" s="14">
        <v>110000</v>
      </c>
      <c r="Q172" s="13">
        <v>46230.367361111108</v>
      </c>
      <c r="R172" s="15" t="s">
        <v>385</v>
      </c>
      <c r="S172" s="11" t="str">
        <f t="shared" si="4"/>
        <v>2026-07-27</v>
      </c>
      <c r="T172" s="11">
        <f>IF($E172="","",IF(COUNTIF($E$2:$E172,$E172)=1,1,0))</f>
        <v>0</v>
      </c>
      <c r="U172" s="11" t="str">
        <f>IF(T172=1,SUM($T$2:T172),"")</f>
        <v/>
      </c>
      <c r="V172" s="11">
        <f>IF(OR($R172="",$R172="-"),"",IF(COUNTIF($R$2:$R172,$R172)=1,1,0))</f>
        <v>1</v>
      </c>
      <c r="W172" s="11">
        <f>IF(V172=1,SUM($V$2:V172),"")</f>
        <v>67</v>
      </c>
      <c r="X172" s="11" t="str">
        <f t="shared" si="5"/>
        <v>SHOPEE</v>
      </c>
    </row>
    <row r="173" spans="1:24">
      <c r="A173" s="15" t="s">
        <v>79</v>
      </c>
      <c r="B173" s="15" t="s">
        <v>83</v>
      </c>
      <c r="C173" s="15" t="s">
        <v>386</v>
      </c>
      <c r="D173" s="13">
        <v>46229.815972222219</v>
      </c>
      <c r="E173" s="15" t="s">
        <v>73</v>
      </c>
      <c r="F173" s="15" t="s">
        <v>387</v>
      </c>
      <c r="G173" s="15" t="s">
        <v>74</v>
      </c>
      <c r="H173" s="15" t="s">
        <v>75</v>
      </c>
      <c r="I173" s="14">
        <v>12000</v>
      </c>
      <c r="J173" s="15" t="s">
        <v>217</v>
      </c>
      <c r="K173" s="15" t="s">
        <v>24</v>
      </c>
      <c r="L173" s="15">
        <v>1</v>
      </c>
      <c r="M173" s="15">
        <v>1</v>
      </c>
      <c r="N173" s="15" t="s">
        <v>76</v>
      </c>
      <c r="O173" s="15" t="s">
        <v>76</v>
      </c>
      <c r="P173" s="14">
        <v>40000</v>
      </c>
      <c r="Q173" s="13">
        <v>46229.815972222219</v>
      </c>
      <c r="R173" s="15" t="s">
        <v>108</v>
      </c>
      <c r="S173" s="11" t="str">
        <f t="shared" si="4"/>
        <v>2026-07-26</v>
      </c>
      <c r="T173" s="11">
        <f>IF($E173="","",IF(COUNTIF($E$2:$E173,$E173)=1,1,0))</f>
        <v>0</v>
      </c>
      <c r="U173" s="11" t="str">
        <f>IF(T173=1,SUM($T$2:T173),"")</f>
        <v/>
      </c>
      <c r="V173" s="11">
        <f>IF(OR($R173="",$R173="-"),"",IF(COUNTIF($R$2:$R173,$R173)=1,1,0))</f>
        <v>1</v>
      </c>
      <c r="W173" s="11">
        <f>IF(V173=1,SUM($V$2:V173),"")</f>
        <v>68</v>
      </c>
      <c r="X173" s="11" t="str">
        <f t="shared" si="5"/>
        <v>SHOPEE</v>
      </c>
    </row>
    <row r="174" spans="1:24">
      <c r="A174" s="15" t="s">
        <v>79</v>
      </c>
      <c r="B174" s="15" t="s">
        <v>83</v>
      </c>
      <c r="C174" s="15" t="s">
        <v>388</v>
      </c>
      <c r="D174" s="13">
        <v>46229.806944444441</v>
      </c>
      <c r="E174" s="15" t="s">
        <v>73</v>
      </c>
      <c r="F174" s="15" t="s">
        <v>389</v>
      </c>
      <c r="G174" s="15" t="s">
        <v>74</v>
      </c>
      <c r="H174" s="15" t="s">
        <v>75</v>
      </c>
      <c r="I174" s="14">
        <v>12000</v>
      </c>
      <c r="J174" s="15" t="s">
        <v>99</v>
      </c>
      <c r="K174" s="15" t="s">
        <v>24</v>
      </c>
      <c r="L174" s="15">
        <v>1</v>
      </c>
      <c r="M174" s="15">
        <v>1</v>
      </c>
      <c r="N174" s="15" t="s">
        <v>76</v>
      </c>
      <c r="O174" s="15" t="s">
        <v>76</v>
      </c>
      <c r="P174" s="14">
        <v>127000</v>
      </c>
      <c r="Q174" s="13">
        <v>46229.806944444441</v>
      </c>
      <c r="R174" s="15" t="s">
        <v>184</v>
      </c>
      <c r="S174" s="11" t="str">
        <f t="shared" si="4"/>
        <v>2026-07-26</v>
      </c>
      <c r="T174" s="11">
        <f>IF($E174="","",IF(COUNTIF($E$2:$E174,$E174)=1,1,0))</f>
        <v>0</v>
      </c>
      <c r="U174" s="11" t="str">
        <f>IF(T174=1,SUM($T$2:T174),"")</f>
        <v/>
      </c>
      <c r="V174" s="11">
        <f>IF(OR($R174="",$R174="-"),"",IF(COUNTIF($R$2:$R174,$R174)=1,1,0))</f>
        <v>0</v>
      </c>
      <c r="W174" s="11" t="str">
        <f>IF(V174=1,SUM($V$2:V174),"")</f>
        <v/>
      </c>
      <c r="X174" s="11" t="str">
        <f t="shared" si="5"/>
        <v>SHOPEE</v>
      </c>
    </row>
    <row r="175" spans="1:24">
      <c r="A175" s="15" t="s">
        <v>79</v>
      </c>
      <c r="B175" s="15" t="s">
        <v>83</v>
      </c>
      <c r="C175" s="15" t="s">
        <v>390</v>
      </c>
      <c r="D175" s="13">
        <v>46229.805555555555</v>
      </c>
      <c r="E175" s="15" t="s">
        <v>73</v>
      </c>
      <c r="F175" s="15" t="s">
        <v>391</v>
      </c>
      <c r="G175" s="15" t="s">
        <v>74</v>
      </c>
      <c r="H175" s="15" t="s">
        <v>75</v>
      </c>
      <c r="I175" s="14">
        <v>24000</v>
      </c>
      <c r="J175" s="15" t="s">
        <v>392</v>
      </c>
      <c r="K175" s="15" t="s">
        <v>27</v>
      </c>
      <c r="L175" s="15">
        <v>1</v>
      </c>
      <c r="M175" s="15">
        <v>0.5</v>
      </c>
      <c r="N175" s="15" t="s">
        <v>76</v>
      </c>
      <c r="O175" s="15" t="s">
        <v>76</v>
      </c>
      <c r="P175" s="14">
        <v>300000</v>
      </c>
      <c r="Q175" s="13">
        <v>46229.805555555555</v>
      </c>
      <c r="R175" s="15" t="s">
        <v>393</v>
      </c>
      <c r="S175" s="11" t="str">
        <f t="shared" si="4"/>
        <v>2026-07-26</v>
      </c>
      <c r="T175" s="11">
        <f>IF($E175="","",IF(COUNTIF($E$2:$E175,$E175)=1,1,0))</f>
        <v>0</v>
      </c>
      <c r="U175" s="11" t="str">
        <f>IF(T175=1,SUM($T$2:T175),"")</f>
        <v/>
      </c>
      <c r="V175" s="11">
        <f>IF(OR($R175="",$R175="-"),"",IF(COUNTIF($R$2:$R175,$R175)=1,1,0))</f>
        <v>1</v>
      </c>
      <c r="W175" s="11">
        <f>IF(V175=1,SUM($V$2:V175),"")</f>
        <v>69</v>
      </c>
      <c r="X175" s="11" t="str">
        <f t="shared" si="5"/>
        <v>SHOPEE</v>
      </c>
    </row>
    <row r="176" spans="1:24">
      <c r="A176" s="15" t="s">
        <v>79</v>
      </c>
      <c r="B176" s="15" t="s">
        <v>83</v>
      </c>
      <c r="C176" s="15" t="s">
        <v>394</v>
      </c>
      <c r="D176" s="13">
        <v>46229.798611111109</v>
      </c>
      <c r="E176" s="15" t="s">
        <v>73</v>
      </c>
      <c r="F176" s="15" t="s">
        <v>395</v>
      </c>
      <c r="G176" s="15" t="s">
        <v>74</v>
      </c>
      <c r="H176" s="15" t="s">
        <v>75</v>
      </c>
      <c r="I176" s="14">
        <v>31000</v>
      </c>
      <c r="J176" s="15" t="s">
        <v>122</v>
      </c>
      <c r="K176" s="15" t="s">
        <v>24</v>
      </c>
      <c r="L176" s="15">
        <v>12</v>
      </c>
      <c r="M176" s="15">
        <v>1.2</v>
      </c>
      <c r="N176" s="15" t="s">
        <v>76</v>
      </c>
      <c r="O176" s="15" t="s">
        <v>76</v>
      </c>
      <c r="P176" s="14">
        <v>255000</v>
      </c>
      <c r="Q176" s="13">
        <v>46229.798611111109</v>
      </c>
      <c r="R176" s="15" t="s">
        <v>118</v>
      </c>
      <c r="S176" s="11" t="str">
        <f t="shared" si="4"/>
        <v>2026-07-26</v>
      </c>
      <c r="T176" s="11">
        <f>IF($E176="","",IF(COUNTIF($E$2:$E176,$E176)=1,1,0))</f>
        <v>0</v>
      </c>
      <c r="U176" s="11" t="str">
        <f>IF(T176=1,SUM($T$2:T176),"")</f>
        <v/>
      </c>
      <c r="V176" s="11">
        <f>IF(OR($R176="",$R176="-"),"",IF(COUNTIF($R$2:$R176,$R176)=1,1,0))</f>
        <v>0</v>
      </c>
      <c r="W176" s="11" t="str">
        <f>IF(V176=1,SUM($V$2:V176),"")</f>
        <v/>
      </c>
      <c r="X176" s="11" t="str">
        <f t="shared" si="5"/>
        <v>SHOPEE</v>
      </c>
    </row>
    <row r="177" spans="1:24">
      <c r="A177" s="15" t="s">
        <v>79</v>
      </c>
      <c r="B177" s="15" t="s">
        <v>83</v>
      </c>
      <c r="C177" s="15" t="s">
        <v>396</v>
      </c>
      <c r="D177" s="13">
        <v>46229.720138888886</v>
      </c>
      <c r="E177" s="15" t="s">
        <v>73</v>
      </c>
      <c r="F177" s="15" t="s">
        <v>397</v>
      </c>
      <c r="G177" s="15" t="s">
        <v>74</v>
      </c>
      <c r="H177" s="15" t="s">
        <v>75</v>
      </c>
      <c r="I177" s="14">
        <v>14000</v>
      </c>
      <c r="J177" s="15" t="s">
        <v>202</v>
      </c>
      <c r="K177" s="15" t="s">
        <v>24</v>
      </c>
      <c r="L177" s="15">
        <v>1</v>
      </c>
      <c r="M177" s="15">
        <v>1</v>
      </c>
      <c r="N177" s="15" t="s">
        <v>76</v>
      </c>
      <c r="O177" s="15" t="s">
        <v>76</v>
      </c>
      <c r="P177" s="15">
        <v>99</v>
      </c>
      <c r="Q177" s="13">
        <v>46229.720138888886</v>
      </c>
      <c r="R177" s="15" t="s">
        <v>189</v>
      </c>
      <c r="S177" s="11" t="str">
        <f t="shared" si="4"/>
        <v>2026-07-26</v>
      </c>
      <c r="T177" s="11">
        <f>IF($E177="","",IF(COUNTIF($E$2:$E177,$E177)=1,1,0))</f>
        <v>0</v>
      </c>
      <c r="U177" s="11" t="str">
        <f>IF(T177=1,SUM($T$2:T177),"")</f>
        <v/>
      </c>
      <c r="V177" s="11">
        <f>IF(OR($R177="",$R177="-"),"",IF(COUNTIF($R$2:$R177,$R177)=1,1,0))</f>
        <v>1</v>
      </c>
      <c r="W177" s="11">
        <f>IF(V177=1,SUM($V$2:V177),"")</f>
        <v>70</v>
      </c>
      <c r="X177" s="11" t="str">
        <f t="shared" si="5"/>
        <v>SHOPEE</v>
      </c>
    </row>
    <row r="178" spans="1:24">
      <c r="A178" s="15" t="s">
        <v>79</v>
      </c>
      <c r="B178" s="15" t="s">
        <v>83</v>
      </c>
      <c r="C178" s="15" t="s">
        <v>398</v>
      </c>
      <c r="D178" s="13">
        <v>46229.713888888888</v>
      </c>
      <c r="E178" s="15" t="s">
        <v>73</v>
      </c>
      <c r="F178" s="15" t="s">
        <v>399</v>
      </c>
      <c r="G178" s="15" t="s">
        <v>74</v>
      </c>
      <c r="H178" s="15" t="s">
        <v>75</v>
      </c>
      <c r="I178" s="14">
        <v>12000</v>
      </c>
      <c r="J178" s="15" t="s">
        <v>248</v>
      </c>
      <c r="K178" s="15" t="s">
        <v>24</v>
      </c>
      <c r="L178" s="15">
        <v>1</v>
      </c>
      <c r="M178" s="15">
        <v>0.17</v>
      </c>
      <c r="N178" s="15" t="s">
        <v>76</v>
      </c>
      <c r="O178" s="15" t="s">
        <v>76</v>
      </c>
      <c r="P178" s="14">
        <v>1000</v>
      </c>
      <c r="Q178" s="13">
        <v>46229.717361111114</v>
      </c>
      <c r="R178" s="15" t="s">
        <v>400</v>
      </c>
      <c r="S178" s="11" t="str">
        <f t="shared" si="4"/>
        <v>2026-07-26</v>
      </c>
      <c r="T178" s="11">
        <f>IF($E178="","",IF(COUNTIF($E$2:$E178,$E178)=1,1,0))</f>
        <v>0</v>
      </c>
      <c r="U178" s="11" t="str">
        <f>IF(T178=1,SUM($T$2:T178),"")</f>
        <v/>
      </c>
      <c r="V178" s="11">
        <f>IF(OR($R178="",$R178="-"),"",IF(COUNTIF($R$2:$R178,$R178)=1,1,0))</f>
        <v>1</v>
      </c>
      <c r="W178" s="11">
        <f>IF(V178=1,SUM($V$2:V178),"")</f>
        <v>71</v>
      </c>
      <c r="X178" s="11" t="str">
        <f t="shared" si="5"/>
        <v>SHOPEE</v>
      </c>
    </row>
    <row r="179" spans="1:24">
      <c r="A179" s="15" t="s">
        <v>79</v>
      </c>
      <c r="B179" s="15" t="s">
        <v>83</v>
      </c>
      <c r="C179" s="15" t="s">
        <v>398</v>
      </c>
      <c r="D179" s="13">
        <v>46229.713888888888</v>
      </c>
      <c r="E179" s="15" t="s">
        <v>73</v>
      </c>
      <c r="F179" s="15" t="s">
        <v>403</v>
      </c>
      <c r="G179" s="15" t="s">
        <v>74</v>
      </c>
      <c r="H179" s="15" t="s">
        <v>75</v>
      </c>
      <c r="I179" s="14">
        <v>12000</v>
      </c>
      <c r="J179" s="15" t="s">
        <v>163</v>
      </c>
      <c r="K179" s="15" t="s">
        <v>24</v>
      </c>
      <c r="L179" s="15">
        <v>1</v>
      </c>
      <c r="M179" s="15">
        <v>0.17</v>
      </c>
      <c r="N179" s="15" t="s">
        <v>76</v>
      </c>
      <c r="O179" s="15" t="s">
        <v>76</v>
      </c>
      <c r="P179" s="14">
        <v>1000</v>
      </c>
      <c r="Q179" s="13">
        <v>46229.717361111114</v>
      </c>
      <c r="R179" s="15" t="s">
        <v>400</v>
      </c>
      <c r="S179" s="11" t="str">
        <f t="shared" si="4"/>
        <v>2026-07-26</v>
      </c>
      <c r="T179" s="11">
        <f>IF($E179="","",IF(COUNTIF($E$2:$E179,$E179)=1,1,0))</f>
        <v>0</v>
      </c>
      <c r="U179" s="11" t="str">
        <f>IF(T179=1,SUM($T$2:T179),"")</f>
        <v/>
      </c>
      <c r="V179" s="11">
        <f>IF(OR($R179="",$R179="-"),"",IF(COUNTIF($R$2:$R179,$R179)=1,1,0))</f>
        <v>0</v>
      </c>
      <c r="W179" s="11" t="str">
        <f>IF(V179=1,SUM($V$2:V179),"")</f>
        <v/>
      </c>
      <c r="X179" s="11" t="str">
        <f t="shared" si="5"/>
        <v>SHOPEE</v>
      </c>
    </row>
    <row r="180" spans="1:24">
      <c r="A180" s="15" t="s">
        <v>79</v>
      </c>
      <c r="B180" s="15" t="s">
        <v>83</v>
      </c>
      <c r="C180" s="15" t="s">
        <v>398</v>
      </c>
      <c r="D180" s="13">
        <v>46229.713888888888</v>
      </c>
      <c r="E180" s="15" t="s">
        <v>73</v>
      </c>
      <c r="F180" s="15" t="s">
        <v>404</v>
      </c>
      <c r="G180" s="15" t="s">
        <v>74</v>
      </c>
      <c r="H180" s="15" t="s">
        <v>75</v>
      </c>
      <c r="I180" s="14">
        <v>12000</v>
      </c>
      <c r="J180" s="15" t="s">
        <v>100</v>
      </c>
      <c r="K180" s="15" t="s">
        <v>24</v>
      </c>
      <c r="L180" s="15">
        <v>1</v>
      </c>
      <c r="M180" s="15">
        <v>0.17</v>
      </c>
      <c r="N180" s="15" t="s">
        <v>76</v>
      </c>
      <c r="O180" s="15" t="s">
        <v>76</v>
      </c>
      <c r="P180" s="14">
        <v>1000</v>
      </c>
      <c r="Q180" s="13">
        <v>46229.717361111114</v>
      </c>
      <c r="R180" s="15" t="s">
        <v>79</v>
      </c>
      <c r="S180" s="11" t="str">
        <f t="shared" si="4"/>
        <v>2026-07-26</v>
      </c>
      <c r="T180" s="11">
        <f>IF($E180="","",IF(COUNTIF($E$2:$E180,$E180)=1,1,0))</f>
        <v>0</v>
      </c>
      <c r="U180" s="11" t="str">
        <f>IF(T180=1,SUM($T$2:T180),"")</f>
        <v/>
      </c>
      <c r="V180" s="11">
        <f>IF(OR($R180="",$R180="-"),"",IF(COUNTIF($R$2:$R180,$R180)=1,1,0))</f>
        <v>1</v>
      </c>
      <c r="W180" s="11">
        <f>IF(V180=1,SUM($V$2:V180),"")</f>
        <v>72</v>
      </c>
      <c r="X180" s="11" t="str">
        <f t="shared" si="5"/>
        <v>SHOPEE</v>
      </c>
    </row>
    <row r="181" spans="1:24">
      <c r="A181" s="15" t="s">
        <v>79</v>
      </c>
      <c r="B181" s="15" t="s">
        <v>83</v>
      </c>
      <c r="C181" s="15" t="s">
        <v>398</v>
      </c>
      <c r="D181" s="13">
        <v>46229.713888888888</v>
      </c>
      <c r="E181" s="15" t="s">
        <v>73</v>
      </c>
      <c r="F181" s="15" t="s">
        <v>405</v>
      </c>
      <c r="G181" s="15" t="s">
        <v>74</v>
      </c>
      <c r="H181" s="15" t="s">
        <v>75</v>
      </c>
      <c r="I181" s="14">
        <v>18000</v>
      </c>
      <c r="J181" s="15" t="s">
        <v>332</v>
      </c>
      <c r="K181" s="15" t="s">
        <v>24</v>
      </c>
      <c r="L181" s="15">
        <v>1</v>
      </c>
      <c r="M181" s="15">
        <v>0.17</v>
      </c>
      <c r="N181" s="15" t="s">
        <v>76</v>
      </c>
      <c r="O181" s="15" t="s">
        <v>76</v>
      </c>
      <c r="P181" s="14">
        <v>1000</v>
      </c>
      <c r="Q181" s="13">
        <v>46229.717361111114</v>
      </c>
      <c r="R181" s="15" t="s">
        <v>400</v>
      </c>
      <c r="S181" s="11" t="str">
        <f t="shared" si="4"/>
        <v>2026-07-26</v>
      </c>
      <c r="T181" s="11">
        <f>IF($E181="","",IF(COUNTIF($E$2:$E181,$E181)=1,1,0))</f>
        <v>0</v>
      </c>
      <c r="U181" s="11" t="str">
        <f>IF(T181=1,SUM($T$2:T181),"")</f>
        <v/>
      </c>
      <c r="V181" s="11">
        <f>IF(OR($R181="",$R181="-"),"",IF(COUNTIF($R$2:$R181,$R181)=1,1,0))</f>
        <v>0</v>
      </c>
      <c r="W181" s="11" t="str">
        <f>IF(V181=1,SUM($V$2:V181),"")</f>
        <v/>
      </c>
      <c r="X181" s="11" t="str">
        <f t="shared" si="5"/>
        <v>SHOPEE</v>
      </c>
    </row>
    <row r="182" spans="1:24">
      <c r="A182" s="15" t="s">
        <v>79</v>
      </c>
      <c r="B182" s="15" t="s">
        <v>83</v>
      </c>
      <c r="C182" s="15" t="s">
        <v>398</v>
      </c>
      <c r="D182" s="13">
        <v>46229.713888888888</v>
      </c>
      <c r="E182" s="15" t="s">
        <v>73</v>
      </c>
      <c r="F182" s="15" t="s">
        <v>401</v>
      </c>
      <c r="G182" s="15" t="s">
        <v>74</v>
      </c>
      <c r="H182" s="15" t="s">
        <v>75</v>
      </c>
      <c r="I182" s="14">
        <v>89000</v>
      </c>
      <c r="J182" s="15" t="s">
        <v>402</v>
      </c>
      <c r="K182" s="15" t="s">
        <v>24</v>
      </c>
      <c r="L182" s="15">
        <v>1</v>
      </c>
      <c r="M182" s="15">
        <v>0.17</v>
      </c>
      <c r="N182" s="15" t="s">
        <v>76</v>
      </c>
      <c r="O182" s="15" t="s">
        <v>76</v>
      </c>
      <c r="P182" s="14">
        <v>1000</v>
      </c>
      <c r="Q182" s="13">
        <v>46229.717361111114</v>
      </c>
      <c r="R182" s="15" t="s">
        <v>400</v>
      </c>
      <c r="S182" s="11" t="str">
        <f t="shared" si="4"/>
        <v>2026-07-26</v>
      </c>
      <c r="T182" s="11">
        <f>IF($E182="","",IF(COUNTIF($E$2:$E182,$E182)=1,1,0))</f>
        <v>0</v>
      </c>
      <c r="U182" s="11" t="str">
        <f>IF(T182=1,SUM($T$2:T182),"")</f>
        <v/>
      </c>
      <c r="V182" s="11">
        <f>IF(OR($R182="",$R182="-"),"",IF(COUNTIF($R$2:$R182,$R182)=1,1,0))</f>
        <v>0</v>
      </c>
      <c r="W182" s="11" t="str">
        <f>IF(V182=1,SUM($V$2:V182),"")</f>
        <v/>
      </c>
      <c r="X182" s="11" t="str">
        <f t="shared" si="5"/>
        <v>SHOPEE</v>
      </c>
    </row>
    <row r="183" spans="1:24">
      <c r="A183" s="15" t="s">
        <v>79</v>
      </c>
      <c r="B183" s="15" t="s">
        <v>83</v>
      </c>
      <c r="C183" s="15" t="s">
        <v>406</v>
      </c>
      <c r="D183" s="13">
        <v>46229.692361111112</v>
      </c>
      <c r="E183" s="15" t="s">
        <v>73</v>
      </c>
      <c r="F183" s="15" t="s">
        <v>407</v>
      </c>
      <c r="G183" s="15" t="s">
        <v>74</v>
      </c>
      <c r="H183" s="15" t="s">
        <v>75</v>
      </c>
      <c r="I183" s="14">
        <v>12000</v>
      </c>
      <c r="J183" s="15" t="s">
        <v>105</v>
      </c>
      <c r="K183" s="15" t="s">
        <v>24</v>
      </c>
      <c r="L183" s="15">
        <v>1</v>
      </c>
      <c r="M183" s="15">
        <v>0.48</v>
      </c>
      <c r="N183" s="15" t="s">
        <v>76</v>
      </c>
      <c r="O183" s="15" t="s">
        <v>76</v>
      </c>
      <c r="P183" s="14">
        <v>325000</v>
      </c>
      <c r="Q183" s="13">
        <v>46229.692361111112</v>
      </c>
      <c r="R183" s="15" t="s">
        <v>207</v>
      </c>
      <c r="S183" s="11" t="str">
        <f t="shared" si="4"/>
        <v>2026-07-26</v>
      </c>
      <c r="T183" s="11">
        <f>IF($E183="","",IF(COUNTIF($E$2:$E183,$E183)=1,1,0))</f>
        <v>0</v>
      </c>
      <c r="U183" s="11" t="str">
        <f>IF(T183=1,SUM($T$2:T183),"")</f>
        <v/>
      </c>
      <c r="V183" s="11">
        <f>IF(OR($R183="",$R183="-"),"",IF(COUNTIF($R$2:$R183,$R183)=1,1,0))</f>
        <v>1</v>
      </c>
      <c r="W183" s="11">
        <f>IF(V183=1,SUM($V$2:V183),"")</f>
        <v>73</v>
      </c>
      <c r="X183" s="11" t="str">
        <f t="shared" si="5"/>
        <v>SHOPEE</v>
      </c>
    </row>
    <row r="184" spans="1:24">
      <c r="A184" s="15" t="s">
        <v>79</v>
      </c>
      <c r="B184" s="15" t="s">
        <v>83</v>
      </c>
      <c r="C184" s="15" t="s">
        <v>408</v>
      </c>
      <c r="D184" s="13">
        <v>46229.648611111108</v>
      </c>
      <c r="E184" s="15" t="s">
        <v>73</v>
      </c>
      <c r="F184" s="15" t="s">
        <v>409</v>
      </c>
      <c r="G184" s="15" t="s">
        <v>74</v>
      </c>
      <c r="H184" s="15" t="s">
        <v>75</v>
      </c>
      <c r="I184" s="14">
        <v>24000</v>
      </c>
      <c r="J184" s="15" t="s">
        <v>321</v>
      </c>
      <c r="K184" s="15" t="s">
        <v>24</v>
      </c>
      <c r="L184" s="15">
        <v>1</v>
      </c>
      <c r="M184" s="15">
        <v>2</v>
      </c>
      <c r="N184" s="15" t="s">
        <v>76</v>
      </c>
      <c r="O184" s="15" t="s">
        <v>76</v>
      </c>
      <c r="P184" s="14">
        <v>30000</v>
      </c>
      <c r="Q184" s="13">
        <v>46229.648611111108</v>
      </c>
      <c r="R184" s="15" t="s">
        <v>79</v>
      </c>
      <c r="S184" s="11" t="str">
        <f t="shared" si="4"/>
        <v>2026-07-26</v>
      </c>
      <c r="T184" s="11">
        <f>IF($E184="","",IF(COUNTIF($E$2:$E184,$E184)=1,1,0))</f>
        <v>0</v>
      </c>
      <c r="U184" s="11" t="str">
        <f>IF(T184=1,SUM($T$2:T184),"")</f>
        <v/>
      </c>
      <c r="V184" s="11">
        <f>IF(OR($R184="",$R184="-"),"",IF(COUNTIF($R$2:$R184,$R184)=1,1,0))</f>
        <v>0</v>
      </c>
      <c r="W184" s="11" t="str">
        <f>IF(V184=1,SUM($V$2:V184),"")</f>
        <v/>
      </c>
      <c r="X184" s="11" t="str">
        <f t="shared" si="5"/>
        <v>SHOPEE</v>
      </c>
    </row>
    <row r="185" spans="1:24">
      <c r="A185" s="15" t="s">
        <v>79</v>
      </c>
      <c r="B185" s="15" t="s">
        <v>83</v>
      </c>
      <c r="C185" s="15" t="s">
        <v>410</v>
      </c>
      <c r="D185" s="13">
        <v>46229.643055555556</v>
      </c>
      <c r="E185" s="15" t="s">
        <v>73</v>
      </c>
      <c r="F185" s="15" t="s">
        <v>411</v>
      </c>
      <c r="G185" s="15" t="s">
        <v>74</v>
      </c>
      <c r="H185" s="15" t="s">
        <v>75</v>
      </c>
      <c r="I185" s="14">
        <v>8000</v>
      </c>
      <c r="J185" s="15" t="s">
        <v>224</v>
      </c>
      <c r="K185" s="15" t="s">
        <v>27</v>
      </c>
      <c r="L185" s="15">
        <v>1</v>
      </c>
      <c r="M185" s="15">
        <v>0.35</v>
      </c>
      <c r="N185" s="15" t="s">
        <v>76</v>
      </c>
      <c r="O185" s="15" t="s">
        <v>76</v>
      </c>
      <c r="P185" s="14">
        <v>8500</v>
      </c>
      <c r="Q185" s="13">
        <v>46229.643055555556</v>
      </c>
      <c r="R185" s="15" t="s">
        <v>193</v>
      </c>
      <c r="S185" s="11" t="str">
        <f t="shared" si="4"/>
        <v>2026-07-26</v>
      </c>
      <c r="T185" s="11">
        <f>IF($E185="","",IF(COUNTIF($E$2:$E185,$E185)=1,1,0))</f>
        <v>0</v>
      </c>
      <c r="U185" s="11" t="str">
        <f>IF(T185=1,SUM($T$2:T185),"")</f>
        <v/>
      </c>
      <c r="V185" s="11">
        <f>IF(OR($R185="",$R185="-"),"",IF(COUNTIF($R$2:$R185,$R185)=1,1,0))</f>
        <v>0</v>
      </c>
      <c r="W185" s="11" t="str">
        <f>IF(V185=1,SUM($V$2:V185),"")</f>
        <v/>
      </c>
      <c r="X185" s="11" t="str">
        <f t="shared" si="5"/>
        <v>SHOPEE</v>
      </c>
    </row>
    <row r="186" spans="1:24">
      <c r="A186" s="15" t="s">
        <v>79</v>
      </c>
      <c r="B186" s="15" t="s">
        <v>83</v>
      </c>
      <c r="C186" s="15" t="s">
        <v>410</v>
      </c>
      <c r="D186" s="13">
        <v>46229.643055555556</v>
      </c>
      <c r="E186" s="15" t="s">
        <v>73</v>
      </c>
      <c r="F186" s="15" t="s">
        <v>412</v>
      </c>
      <c r="G186" s="15" t="s">
        <v>74</v>
      </c>
      <c r="H186" s="15" t="s">
        <v>75</v>
      </c>
      <c r="I186" s="14">
        <v>26000</v>
      </c>
      <c r="J186" s="15" t="s">
        <v>413</v>
      </c>
      <c r="K186" s="15" t="s">
        <v>24</v>
      </c>
      <c r="L186" s="15">
        <v>1</v>
      </c>
      <c r="M186" s="15">
        <v>0.35</v>
      </c>
      <c r="N186" s="15" t="s">
        <v>76</v>
      </c>
      <c r="O186" s="15" t="s">
        <v>76</v>
      </c>
      <c r="P186" s="14">
        <v>8500</v>
      </c>
      <c r="Q186" s="13">
        <v>46229.643055555556</v>
      </c>
      <c r="R186" s="15" t="s">
        <v>193</v>
      </c>
      <c r="S186" s="11" t="str">
        <f t="shared" si="4"/>
        <v>2026-07-26</v>
      </c>
      <c r="T186" s="11">
        <f>IF($E186="","",IF(COUNTIF($E$2:$E186,$E186)=1,1,0))</f>
        <v>0</v>
      </c>
      <c r="U186" s="11" t="str">
        <f>IF(T186=1,SUM($T$2:T186),"")</f>
        <v/>
      </c>
      <c r="V186" s="11">
        <f>IF(OR($R186="",$R186="-"),"",IF(COUNTIF($R$2:$R186,$R186)=1,1,0))</f>
        <v>0</v>
      </c>
      <c r="W186" s="11" t="str">
        <f>IF(V186=1,SUM($V$2:V186),"")</f>
        <v/>
      </c>
      <c r="X186" s="11" t="str">
        <f t="shared" si="5"/>
        <v>SHOPEE</v>
      </c>
    </row>
    <row r="187" spans="1:24">
      <c r="A187" s="15" t="s">
        <v>79</v>
      </c>
      <c r="B187" s="15" t="s">
        <v>83</v>
      </c>
      <c r="C187" s="15" t="s">
        <v>410</v>
      </c>
      <c r="D187" s="13">
        <v>46229.643055555556</v>
      </c>
      <c r="E187" s="15" t="s">
        <v>73</v>
      </c>
      <c r="F187" s="15" t="s">
        <v>418</v>
      </c>
      <c r="G187" s="15" t="s">
        <v>74</v>
      </c>
      <c r="H187" s="15" t="s">
        <v>75</v>
      </c>
      <c r="I187" s="14">
        <v>22000</v>
      </c>
      <c r="J187" s="15" t="s">
        <v>419</v>
      </c>
      <c r="K187" s="15" t="s">
        <v>24</v>
      </c>
      <c r="L187" s="15">
        <v>1</v>
      </c>
      <c r="M187" s="15">
        <v>0.65</v>
      </c>
      <c r="N187" s="15" t="s">
        <v>76</v>
      </c>
      <c r="O187" s="15" t="s">
        <v>76</v>
      </c>
      <c r="P187" s="14">
        <v>16000</v>
      </c>
      <c r="Q187" s="13">
        <v>46229.643055555556</v>
      </c>
      <c r="R187" s="15" t="s">
        <v>193</v>
      </c>
      <c r="S187" s="11" t="str">
        <f t="shared" si="4"/>
        <v>2026-07-26</v>
      </c>
      <c r="T187" s="11">
        <f>IF($E187="","",IF(COUNTIF($E$2:$E187,$E187)=1,1,0))</f>
        <v>0</v>
      </c>
      <c r="U187" s="11" t="str">
        <f>IF(T187=1,SUM($T$2:T187),"")</f>
        <v/>
      </c>
      <c r="V187" s="11">
        <f>IF(OR($R187="",$R187="-"),"",IF(COUNTIF($R$2:$R187,$R187)=1,1,0))</f>
        <v>0</v>
      </c>
      <c r="W187" s="11" t="str">
        <f>IF(V187=1,SUM($V$2:V187),"")</f>
        <v/>
      </c>
      <c r="X187" s="11" t="str">
        <f t="shared" si="5"/>
        <v>SHOPEE</v>
      </c>
    </row>
    <row r="188" spans="1:24">
      <c r="A188" s="15" t="s">
        <v>79</v>
      </c>
      <c r="B188" s="15" t="s">
        <v>83</v>
      </c>
      <c r="C188" s="15" t="s">
        <v>410</v>
      </c>
      <c r="D188" s="13">
        <v>46229.643055555556</v>
      </c>
      <c r="E188" s="15" t="s">
        <v>73</v>
      </c>
      <c r="F188" s="15" t="s">
        <v>416</v>
      </c>
      <c r="G188" s="15" t="s">
        <v>74</v>
      </c>
      <c r="H188" s="15" t="s">
        <v>75</v>
      </c>
      <c r="I188" s="14">
        <v>41000</v>
      </c>
      <c r="J188" s="15" t="s">
        <v>417</v>
      </c>
      <c r="K188" s="15" t="s">
        <v>24</v>
      </c>
      <c r="L188" s="15">
        <v>1</v>
      </c>
      <c r="M188" s="15">
        <v>0.9</v>
      </c>
      <c r="N188" s="15" t="s">
        <v>76</v>
      </c>
      <c r="O188" s="15" t="s">
        <v>76</v>
      </c>
      <c r="P188" s="14">
        <v>44500</v>
      </c>
      <c r="Q188" s="13">
        <v>46229.643055555556</v>
      </c>
      <c r="R188" s="15" t="s">
        <v>193</v>
      </c>
      <c r="S188" s="11" t="str">
        <f t="shared" si="4"/>
        <v>2026-07-26</v>
      </c>
      <c r="T188" s="11">
        <f>IF($E188="","",IF(COUNTIF($E$2:$E188,$E188)=1,1,0))</f>
        <v>0</v>
      </c>
      <c r="U188" s="11" t="str">
        <f>IF(T188=1,SUM($T$2:T188),"")</f>
        <v/>
      </c>
      <c r="V188" s="11">
        <f>IF(OR($R188="",$R188="-"),"",IF(COUNTIF($R$2:$R188,$R188)=1,1,0))</f>
        <v>0</v>
      </c>
      <c r="W188" s="11" t="str">
        <f>IF(V188=1,SUM($V$2:V188),"")</f>
        <v/>
      </c>
      <c r="X188" s="11" t="str">
        <f t="shared" si="5"/>
        <v>SHOPEE</v>
      </c>
    </row>
    <row r="189" spans="1:24">
      <c r="A189" s="15" t="s">
        <v>79</v>
      </c>
      <c r="B189" s="15" t="s">
        <v>83</v>
      </c>
      <c r="C189" s="15" t="s">
        <v>410</v>
      </c>
      <c r="D189" s="13">
        <v>46229.643055555556</v>
      </c>
      <c r="E189" s="15" t="s">
        <v>73</v>
      </c>
      <c r="F189" s="15" t="s">
        <v>415</v>
      </c>
      <c r="G189" s="15" t="s">
        <v>74</v>
      </c>
      <c r="H189" s="15" t="s">
        <v>75</v>
      </c>
      <c r="I189" s="14">
        <v>13000</v>
      </c>
      <c r="J189" s="15" t="s">
        <v>262</v>
      </c>
      <c r="K189" s="15" t="s">
        <v>24</v>
      </c>
      <c r="L189" s="15">
        <v>1</v>
      </c>
      <c r="M189" s="15">
        <v>0.1</v>
      </c>
      <c r="N189" s="15" t="s">
        <v>76</v>
      </c>
      <c r="O189" s="15" t="s">
        <v>76</v>
      </c>
      <c r="P189" s="14">
        <v>189500</v>
      </c>
      <c r="Q189" s="13">
        <v>46229.643055555556</v>
      </c>
      <c r="R189" s="15" t="s">
        <v>193</v>
      </c>
      <c r="S189" s="11" t="str">
        <f t="shared" si="4"/>
        <v>2026-07-26</v>
      </c>
      <c r="T189" s="11">
        <f>IF($E189="","",IF(COUNTIF($E$2:$E189,$E189)=1,1,0))</f>
        <v>0</v>
      </c>
      <c r="U189" s="11" t="str">
        <f>IF(T189=1,SUM($T$2:T189),"")</f>
        <v/>
      </c>
      <c r="V189" s="11">
        <f>IF(OR($R189="",$R189="-"),"",IF(COUNTIF($R$2:$R189,$R189)=1,1,0))</f>
        <v>0</v>
      </c>
      <c r="W189" s="11" t="str">
        <f>IF(V189=1,SUM($V$2:V189),"")</f>
        <v/>
      </c>
      <c r="X189" s="11" t="str">
        <f t="shared" si="5"/>
        <v>SHOPEE</v>
      </c>
    </row>
    <row r="190" spans="1:24">
      <c r="A190" s="15" t="s">
        <v>79</v>
      </c>
      <c r="B190" s="15" t="s">
        <v>83</v>
      </c>
      <c r="C190" s="15" t="s">
        <v>410</v>
      </c>
      <c r="D190" s="13">
        <v>46229.643055555556</v>
      </c>
      <c r="E190" s="15" t="s">
        <v>73</v>
      </c>
      <c r="F190" s="15" t="s">
        <v>414</v>
      </c>
      <c r="G190" s="15" t="s">
        <v>74</v>
      </c>
      <c r="H190" s="15" t="s">
        <v>75</v>
      </c>
      <c r="I190" s="14">
        <v>12000</v>
      </c>
      <c r="J190" s="15" t="s">
        <v>145</v>
      </c>
      <c r="K190" s="15" t="s">
        <v>24</v>
      </c>
      <c r="L190" s="15">
        <v>1</v>
      </c>
      <c r="M190" s="15">
        <v>0.35</v>
      </c>
      <c r="N190" s="15" t="s">
        <v>76</v>
      </c>
      <c r="O190" s="15" t="s">
        <v>76</v>
      </c>
      <c r="P190" s="14">
        <v>8500</v>
      </c>
      <c r="Q190" s="13">
        <v>46229.643055555556</v>
      </c>
      <c r="R190" s="15" t="s">
        <v>193</v>
      </c>
      <c r="S190" s="11" t="str">
        <f t="shared" si="4"/>
        <v>2026-07-26</v>
      </c>
      <c r="T190" s="11">
        <f>IF($E190="","",IF(COUNTIF($E$2:$E190,$E190)=1,1,0))</f>
        <v>0</v>
      </c>
      <c r="U190" s="11" t="str">
        <f>IF(T190=1,SUM($T$2:T190),"")</f>
        <v/>
      </c>
      <c r="V190" s="11">
        <f>IF(OR($R190="",$R190="-"),"",IF(COUNTIF($R$2:$R190,$R190)=1,1,0))</f>
        <v>0</v>
      </c>
      <c r="W190" s="11" t="str">
        <f>IF(V190=1,SUM($V$2:V190),"")</f>
        <v/>
      </c>
      <c r="X190" s="11" t="str">
        <f t="shared" si="5"/>
        <v>SHOPEE</v>
      </c>
    </row>
    <row r="191" spans="1:24">
      <c r="A191" s="15" t="s">
        <v>79</v>
      </c>
      <c r="B191" s="15" t="s">
        <v>83</v>
      </c>
      <c r="C191" s="15" t="s">
        <v>420</v>
      </c>
      <c r="D191" s="13">
        <v>46229.565972222219</v>
      </c>
      <c r="E191" s="15" t="s">
        <v>73</v>
      </c>
      <c r="F191" s="15" t="s">
        <v>421</v>
      </c>
      <c r="G191" s="15" t="s">
        <v>74</v>
      </c>
      <c r="H191" s="15" t="s">
        <v>75</v>
      </c>
      <c r="I191" s="14">
        <v>25000</v>
      </c>
      <c r="J191" s="15" t="s">
        <v>422</v>
      </c>
      <c r="K191" s="15" t="s">
        <v>27</v>
      </c>
      <c r="L191" s="15">
        <v>1</v>
      </c>
      <c r="M191" s="15">
        <v>0.33</v>
      </c>
      <c r="N191" s="15" t="s">
        <v>76</v>
      </c>
      <c r="O191" s="15" t="s">
        <v>76</v>
      </c>
      <c r="P191" s="14">
        <v>709000</v>
      </c>
      <c r="Q191" s="13">
        <v>46229.566666666666</v>
      </c>
      <c r="R191" s="15" t="s">
        <v>79</v>
      </c>
      <c r="S191" s="11" t="str">
        <f t="shared" si="4"/>
        <v>2026-07-26</v>
      </c>
      <c r="T191" s="11">
        <f>IF($E191="","",IF(COUNTIF($E$2:$E191,$E191)=1,1,0))</f>
        <v>0</v>
      </c>
      <c r="U191" s="11" t="str">
        <f>IF(T191=1,SUM($T$2:T191),"")</f>
        <v/>
      </c>
      <c r="V191" s="11">
        <f>IF(OR($R191="",$R191="-"),"",IF(COUNTIF($R$2:$R191,$R191)=1,1,0))</f>
        <v>0</v>
      </c>
      <c r="W191" s="11" t="str">
        <f>IF(V191=1,SUM($V$2:V191),"")</f>
        <v/>
      </c>
      <c r="X191" s="11" t="str">
        <f t="shared" si="5"/>
        <v>SHOPEE</v>
      </c>
    </row>
    <row r="192" spans="1:24">
      <c r="A192" s="15" t="s">
        <v>79</v>
      </c>
      <c r="B192" s="15" t="s">
        <v>83</v>
      </c>
      <c r="C192" s="15" t="s">
        <v>420</v>
      </c>
      <c r="D192" s="13">
        <v>46229.565972222219</v>
      </c>
      <c r="E192" s="15" t="s">
        <v>73</v>
      </c>
      <c r="F192" s="15" t="s">
        <v>423</v>
      </c>
      <c r="G192" s="15" t="s">
        <v>74</v>
      </c>
      <c r="H192" s="15" t="s">
        <v>75</v>
      </c>
      <c r="I192" s="14">
        <v>13000</v>
      </c>
      <c r="J192" s="15" t="s">
        <v>262</v>
      </c>
      <c r="K192" s="15" t="s">
        <v>24</v>
      </c>
      <c r="L192" s="15">
        <v>1</v>
      </c>
      <c r="M192" s="15">
        <v>0.33</v>
      </c>
      <c r="N192" s="15" t="s">
        <v>76</v>
      </c>
      <c r="O192" s="15" t="s">
        <v>76</v>
      </c>
      <c r="P192" s="14">
        <v>809000</v>
      </c>
      <c r="Q192" s="13">
        <v>46229.566666666666</v>
      </c>
      <c r="R192" s="15" t="s">
        <v>424</v>
      </c>
      <c r="S192" s="11" t="str">
        <f t="shared" si="4"/>
        <v>2026-07-26</v>
      </c>
      <c r="T192" s="11">
        <f>IF($E192="","",IF(COUNTIF($E$2:$E192,$E192)=1,1,0))</f>
        <v>0</v>
      </c>
      <c r="U192" s="11" t="str">
        <f>IF(T192=1,SUM($T$2:T192),"")</f>
        <v/>
      </c>
      <c r="V192" s="11">
        <f>IF(OR($R192="",$R192="-"),"",IF(COUNTIF($R$2:$R192,$R192)=1,1,0))</f>
        <v>1</v>
      </c>
      <c r="W192" s="11">
        <f>IF(V192=1,SUM($V$2:V192),"")</f>
        <v>74</v>
      </c>
      <c r="X192" s="11" t="str">
        <f t="shared" si="5"/>
        <v>SHOPEE</v>
      </c>
    </row>
    <row r="193" spans="1:24">
      <c r="A193" s="15" t="s">
        <v>79</v>
      </c>
      <c r="B193" s="15" t="s">
        <v>83</v>
      </c>
      <c r="C193" s="15" t="s">
        <v>420</v>
      </c>
      <c r="D193" s="13">
        <v>46229.565972222219</v>
      </c>
      <c r="E193" s="15" t="s">
        <v>73</v>
      </c>
      <c r="F193" s="15" t="s">
        <v>425</v>
      </c>
      <c r="G193" s="15" t="s">
        <v>74</v>
      </c>
      <c r="H193" s="15" t="s">
        <v>75</v>
      </c>
      <c r="I193" s="14">
        <v>12000</v>
      </c>
      <c r="J193" s="15" t="s">
        <v>254</v>
      </c>
      <c r="K193" s="15" t="s">
        <v>24</v>
      </c>
      <c r="L193" s="15">
        <v>1</v>
      </c>
      <c r="M193" s="15">
        <v>0.33</v>
      </c>
      <c r="N193" s="15" t="s">
        <v>76</v>
      </c>
      <c r="O193" s="15" t="s">
        <v>76</v>
      </c>
      <c r="P193" s="14">
        <v>869000</v>
      </c>
      <c r="Q193" s="13">
        <v>46229.566666666666</v>
      </c>
      <c r="R193" s="15" t="s">
        <v>79</v>
      </c>
      <c r="S193" s="11" t="str">
        <f t="shared" si="4"/>
        <v>2026-07-26</v>
      </c>
      <c r="T193" s="11">
        <f>IF($E193="","",IF(COUNTIF($E$2:$E193,$E193)=1,1,0))</f>
        <v>0</v>
      </c>
      <c r="U193" s="11" t="str">
        <f>IF(T193=1,SUM($T$2:T193),"")</f>
        <v/>
      </c>
      <c r="V193" s="11">
        <f>IF(OR($R193="",$R193="-"),"",IF(COUNTIF($R$2:$R193,$R193)=1,1,0))</f>
        <v>0</v>
      </c>
      <c r="W193" s="11" t="str">
        <f>IF(V193=1,SUM($V$2:V193),"")</f>
        <v/>
      </c>
      <c r="X193" s="11" t="str">
        <f t="shared" si="5"/>
        <v>SHOPEE</v>
      </c>
    </row>
    <row r="194" spans="1:24">
      <c r="A194" s="15" t="s">
        <v>79</v>
      </c>
      <c r="B194" s="15" t="s">
        <v>80</v>
      </c>
      <c r="C194" s="15" t="s">
        <v>426</v>
      </c>
      <c r="D194" s="13">
        <v>46229.554861111108</v>
      </c>
      <c r="E194" s="15" t="s">
        <v>73</v>
      </c>
      <c r="F194" s="15" t="s">
        <v>427</v>
      </c>
      <c r="G194" s="15" t="s">
        <v>74</v>
      </c>
      <c r="H194" s="15" t="s">
        <v>75</v>
      </c>
      <c r="I194" s="14">
        <v>12000</v>
      </c>
      <c r="J194" s="15" t="s">
        <v>100</v>
      </c>
      <c r="K194" s="15" t="s">
        <v>24</v>
      </c>
      <c r="L194" s="15">
        <v>1</v>
      </c>
      <c r="M194" s="15">
        <v>0.24</v>
      </c>
      <c r="N194" s="15" t="s">
        <v>76</v>
      </c>
      <c r="O194" s="15" t="s">
        <v>76</v>
      </c>
      <c r="P194" s="14">
        <v>169000</v>
      </c>
      <c r="Q194" s="13">
        <v>46229.554861111108</v>
      </c>
      <c r="R194" s="15" t="s">
        <v>428</v>
      </c>
      <c r="S194" s="11" t="str">
        <f t="shared" ref="S194:S257" si="6">IF(Q194="","",TEXT(Q194,"yyyy-mm-dd"))</f>
        <v>2026-07-26</v>
      </c>
      <c r="T194" s="11">
        <f>IF($E194="","",IF(COUNTIF($E$2:$E194,$E194)=1,1,0))</f>
        <v>0</v>
      </c>
      <c r="U194" s="11" t="str">
        <f>IF(T194=1,SUM($T$2:T194),"")</f>
        <v/>
      </c>
      <c r="V194" s="11">
        <f>IF(OR($R194="",$R194="-"),"",IF(COUNTIF($R$2:$R194,$R194)=1,1,0))</f>
        <v>0</v>
      </c>
      <c r="W194" s="11" t="str">
        <f>IF(V194=1,SUM($V$2:V194),"")</f>
        <v/>
      </c>
      <c r="X194" s="11" t="str">
        <f t="shared" ref="X194:X257" si="7">IF(ISNUMBER(SEARCH("SHOPEE",B194)),"SHOPEE",IF(ISNUMBER(SEARCH("TOKOPEDIA",B194)),"TOKOPEDIA",IF(ISNUMBER(SEARCH("LASTANA",B194)),"LASTANA EXPRESS",IF(ISNUMBER(SEARCH("FASHION MARKETPLACE",B194)),"FASHION MARKETPLACE",IF(ISNUMBER(SEARCH("GLOBAL DIGITAL NIAGA",B194)),"GLOBAL DIGITAL NIAGA",IF(ISNUMBER(SEARCH("TOKGISTIC",B194)),"TOKGISTIC",IF(ISNUMBER(SEARCH("TOCO RAMAI",B194)),"TOCO RAMAI DIGITAL",B194)))))))</f>
        <v>SHOPEE</v>
      </c>
    </row>
    <row r="195" spans="1:24">
      <c r="A195" s="15" t="s">
        <v>79</v>
      </c>
      <c r="B195" s="15" t="s">
        <v>83</v>
      </c>
      <c r="C195" s="15" t="s">
        <v>429</v>
      </c>
      <c r="D195" s="13">
        <v>46229.537499999999</v>
      </c>
      <c r="E195" s="15" t="s">
        <v>95</v>
      </c>
      <c r="F195" s="15" t="s">
        <v>430</v>
      </c>
      <c r="G195" s="15" t="s">
        <v>74</v>
      </c>
      <c r="H195" s="15" t="s">
        <v>75</v>
      </c>
      <c r="I195" s="14">
        <v>21500</v>
      </c>
      <c r="J195" s="15" t="s">
        <v>431</v>
      </c>
      <c r="K195" s="15" t="s">
        <v>27</v>
      </c>
      <c r="L195" s="15">
        <v>1</v>
      </c>
      <c r="M195" s="15">
        <v>0.5</v>
      </c>
      <c r="N195" s="15" t="s">
        <v>76</v>
      </c>
      <c r="O195" s="15" t="s">
        <v>76</v>
      </c>
      <c r="P195" s="14">
        <v>300000</v>
      </c>
      <c r="Q195" s="13">
        <v>46229.537499999999</v>
      </c>
      <c r="R195" s="15" t="s">
        <v>79</v>
      </c>
      <c r="S195" s="11" t="str">
        <f t="shared" si="6"/>
        <v>2026-07-26</v>
      </c>
      <c r="T195" s="11">
        <f>IF($E195="","",IF(COUNTIF($E$2:$E195,$E195)=1,1,0))</f>
        <v>0</v>
      </c>
      <c r="U195" s="11" t="str">
        <f>IF(T195=1,SUM($T$2:T195),"")</f>
        <v/>
      </c>
      <c r="V195" s="11">
        <f>IF(OR($R195="",$R195="-"),"",IF(COUNTIF($R$2:$R195,$R195)=1,1,0))</f>
        <v>0</v>
      </c>
      <c r="W195" s="11" t="str">
        <f>IF(V195=1,SUM($V$2:V195),"")</f>
        <v/>
      </c>
      <c r="X195" s="11" t="str">
        <f t="shared" si="7"/>
        <v>SHOPEE</v>
      </c>
    </row>
    <row r="196" spans="1:24">
      <c r="A196" s="15" t="s">
        <v>79</v>
      </c>
      <c r="B196" s="15" t="s">
        <v>83</v>
      </c>
      <c r="C196" s="15" t="s">
        <v>432</v>
      </c>
      <c r="D196" s="13">
        <v>46229.524305555555</v>
      </c>
      <c r="E196" s="15" t="s">
        <v>95</v>
      </c>
      <c r="F196" s="15" t="s">
        <v>433</v>
      </c>
      <c r="G196" s="15" t="s">
        <v>74</v>
      </c>
      <c r="H196" s="15" t="s">
        <v>75</v>
      </c>
      <c r="I196" s="14">
        <v>36000</v>
      </c>
      <c r="J196" s="15" t="s">
        <v>185</v>
      </c>
      <c r="K196" s="15" t="s">
        <v>24</v>
      </c>
      <c r="L196" s="15">
        <v>2</v>
      </c>
      <c r="M196" s="15">
        <v>3</v>
      </c>
      <c r="N196" s="15" t="s">
        <v>76</v>
      </c>
      <c r="O196" s="15" t="s">
        <v>76</v>
      </c>
      <c r="P196" s="14">
        <v>122222</v>
      </c>
      <c r="Q196" s="13">
        <v>46229.524305555555</v>
      </c>
      <c r="R196" s="15" t="s">
        <v>434</v>
      </c>
      <c r="S196" s="11" t="str">
        <f t="shared" si="6"/>
        <v>2026-07-26</v>
      </c>
      <c r="T196" s="11">
        <f>IF($E196="","",IF(COUNTIF($E$2:$E196,$E196)=1,1,0))</f>
        <v>0</v>
      </c>
      <c r="U196" s="11" t="str">
        <f>IF(T196=1,SUM($T$2:T196),"")</f>
        <v/>
      </c>
      <c r="V196" s="11">
        <f>IF(OR($R196="",$R196="-"),"",IF(COUNTIF($R$2:$R196,$R196)=1,1,0))</f>
        <v>1</v>
      </c>
      <c r="W196" s="11">
        <f>IF(V196=1,SUM($V$2:V196),"")</f>
        <v>75</v>
      </c>
      <c r="X196" s="11" t="str">
        <f t="shared" si="7"/>
        <v>SHOPEE</v>
      </c>
    </row>
    <row r="197" spans="1:24">
      <c r="A197" s="15" t="s">
        <v>79</v>
      </c>
      <c r="B197" s="15" t="s">
        <v>83</v>
      </c>
      <c r="C197" s="15" t="s">
        <v>435</v>
      </c>
      <c r="D197" s="13">
        <v>46229.522916666669</v>
      </c>
      <c r="E197" s="15" t="s">
        <v>95</v>
      </c>
      <c r="F197" s="15" t="s">
        <v>436</v>
      </c>
      <c r="G197" s="15" t="s">
        <v>74</v>
      </c>
      <c r="H197" s="15" t="s">
        <v>75</v>
      </c>
      <c r="I197" s="14">
        <v>24000</v>
      </c>
      <c r="J197" s="15" t="s">
        <v>238</v>
      </c>
      <c r="K197" s="15" t="s">
        <v>24</v>
      </c>
      <c r="L197" s="15">
        <v>2</v>
      </c>
      <c r="M197" s="15">
        <v>1.4</v>
      </c>
      <c r="N197" s="15" t="s">
        <v>76</v>
      </c>
      <c r="O197" s="15" t="s">
        <v>76</v>
      </c>
      <c r="P197" s="14">
        <v>66000</v>
      </c>
      <c r="Q197" s="13">
        <v>46229.523611111108</v>
      </c>
      <c r="R197" s="15" t="s">
        <v>147</v>
      </c>
      <c r="S197" s="11" t="str">
        <f t="shared" si="6"/>
        <v>2026-07-26</v>
      </c>
      <c r="T197" s="11">
        <f>IF($E197="","",IF(COUNTIF($E$2:$E197,$E197)=1,1,0))</f>
        <v>0</v>
      </c>
      <c r="U197" s="11" t="str">
        <f>IF(T197=1,SUM($T$2:T197),"")</f>
        <v/>
      </c>
      <c r="V197" s="11">
        <f>IF(OR($R197="",$R197="-"),"",IF(COUNTIF($R$2:$R197,$R197)=1,1,0))</f>
        <v>0</v>
      </c>
      <c r="W197" s="11" t="str">
        <f>IF(V197=1,SUM($V$2:V197),"")</f>
        <v/>
      </c>
      <c r="X197" s="11" t="str">
        <f t="shared" si="7"/>
        <v>SHOPEE</v>
      </c>
    </row>
    <row r="198" spans="1:24">
      <c r="A198" s="15" t="s">
        <v>79</v>
      </c>
      <c r="B198" s="15" t="s">
        <v>80</v>
      </c>
      <c r="C198" s="15" t="s">
        <v>437</v>
      </c>
      <c r="D198" s="13">
        <v>46229.42083333333</v>
      </c>
      <c r="E198" s="15" t="s">
        <v>95</v>
      </c>
      <c r="F198" s="15" t="s">
        <v>438</v>
      </c>
      <c r="G198" s="15" t="s">
        <v>74</v>
      </c>
      <c r="H198" s="15" t="s">
        <v>75</v>
      </c>
      <c r="I198" s="14">
        <v>12000</v>
      </c>
      <c r="J198" s="15" t="s">
        <v>140</v>
      </c>
      <c r="K198" s="15" t="s">
        <v>24</v>
      </c>
      <c r="L198" s="15">
        <v>1</v>
      </c>
      <c r="M198" s="15">
        <v>0.45</v>
      </c>
      <c r="N198" s="15" t="s">
        <v>76</v>
      </c>
      <c r="O198" s="15" t="s">
        <v>76</v>
      </c>
      <c r="P198" s="14">
        <v>86999</v>
      </c>
      <c r="Q198" s="13">
        <v>46229.42083333333</v>
      </c>
      <c r="R198" s="15" t="s">
        <v>304</v>
      </c>
      <c r="S198" s="11" t="str">
        <f t="shared" si="6"/>
        <v>2026-07-26</v>
      </c>
      <c r="T198" s="11">
        <f>IF($E198="","",IF(COUNTIF($E$2:$E198,$E198)=1,1,0))</f>
        <v>0</v>
      </c>
      <c r="U198" s="11" t="str">
        <f>IF(T198=1,SUM($T$2:T198),"")</f>
        <v/>
      </c>
      <c r="V198" s="11">
        <f>IF(OR($R198="",$R198="-"),"",IF(COUNTIF($R$2:$R198,$R198)=1,1,0))</f>
        <v>1</v>
      </c>
      <c r="W198" s="11">
        <f>IF(V198=1,SUM($V$2:V198),"")</f>
        <v>76</v>
      </c>
      <c r="X198" s="11" t="str">
        <f t="shared" si="7"/>
        <v>SHOPEE</v>
      </c>
    </row>
    <row r="199" spans="1:24">
      <c r="A199" s="15" t="s">
        <v>79</v>
      </c>
      <c r="B199" s="15" t="s">
        <v>80</v>
      </c>
      <c r="C199" s="15" t="s">
        <v>439</v>
      </c>
      <c r="D199" s="13">
        <v>46229.420138888891</v>
      </c>
      <c r="E199" s="15" t="s">
        <v>95</v>
      </c>
      <c r="F199" s="15" t="s">
        <v>440</v>
      </c>
      <c r="G199" s="15" t="s">
        <v>74</v>
      </c>
      <c r="H199" s="15" t="s">
        <v>75</v>
      </c>
      <c r="I199" s="14">
        <v>12000</v>
      </c>
      <c r="J199" s="15" t="s">
        <v>140</v>
      </c>
      <c r="K199" s="15" t="s">
        <v>24</v>
      </c>
      <c r="L199" s="15">
        <v>1</v>
      </c>
      <c r="M199" s="15">
        <v>0.45</v>
      </c>
      <c r="N199" s="15" t="s">
        <v>76</v>
      </c>
      <c r="O199" s="15" t="s">
        <v>76</v>
      </c>
      <c r="P199" s="14">
        <v>125999</v>
      </c>
      <c r="Q199" s="13">
        <v>46229.420138888891</v>
      </c>
      <c r="R199" s="15" t="s">
        <v>304</v>
      </c>
      <c r="S199" s="11" t="str">
        <f t="shared" si="6"/>
        <v>2026-07-26</v>
      </c>
      <c r="T199" s="11">
        <f>IF($E199="","",IF(COUNTIF($E$2:$E199,$E199)=1,1,0))</f>
        <v>0</v>
      </c>
      <c r="U199" s="11" t="str">
        <f>IF(T199=1,SUM($T$2:T199),"")</f>
        <v/>
      </c>
      <c r="V199" s="11">
        <f>IF(OR($R199="",$R199="-"),"",IF(COUNTIF($R$2:$R199,$R199)=1,1,0))</f>
        <v>0</v>
      </c>
      <c r="W199" s="11" t="str">
        <f>IF(V199=1,SUM($V$2:V199),"")</f>
        <v/>
      </c>
      <c r="X199" s="11" t="str">
        <f t="shared" si="7"/>
        <v>SHOPEE</v>
      </c>
    </row>
    <row r="200" spans="1:24">
      <c r="A200" s="15" t="s">
        <v>79</v>
      </c>
      <c r="B200" s="15" t="s">
        <v>83</v>
      </c>
      <c r="C200" s="15" t="s">
        <v>441</v>
      </c>
      <c r="D200" s="13">
        <v>46228.888194444444</v>
      </c>
      <c r="E200" s="15" t="s">
        <v>73</v>
      </c>
      <c r="F200" s="15" t="s">
        <v>442</v>
      </c>
      <c r="G200" s="15" t="s">
        <v>74</v>
      </c>
      <c r="H200" s="15" t="s">
        <v>75</v>
      </c>
      <c r="I200" s="14">
        <v>18000</v>
      </c>
      <c r="J200" s="15" t="s">
        <v>443</v>
      </c>
      <c r="K200" s="15" t="s">
        <v>25</v>
      </c>
      <c r="L200" s="15">
        <v>1</v>
      </c>
      <c r="M200" s="15">
        <v>1.29</v>
      </c>
      <c r="N200" s="15" t="s">
        <v>76</v>
      </c>
      <c r="O200" s="15" t="s">
        <v>76</v>
      </c>
      <c r="P200" s="14">
        <v>1999000</v>
      </c>
      <c r="Q200" s="13">
        <v>46228.888888888891</v>
      </c>
      <c r="R200" s="15" t="s">
        <v>444</v>
      </c>
      <c r="S200" s="11" t="str">
        <f t="shared" si="6"/>
        <v>2026-07-25</v>
      </c>
      <c r="T200" s="11">
        <f>IF($E200="","",IF(COUNTIF($E$2:$E200,$E200)=1,1,0))</f>
        <v>0</v>
      </c>
      <c r="U200" s="11" t="str">
        <f>IF(T200=1,SUM($T$2:T200),"")</f>
        <v/>
      </c>
      <c r="V200" s="11">
        <f>IF(OR($R200="",$R200="-"),"",IF(COUNTIF($R$2:$R200,$R200)=1,1,0))</f>
        <v>1</v>
      </c>
      <c r="W200" s="11">
        <f>IF(V200=1,SUM($V$2:V200),"")</f>
        <v>77</v>
      </c>
      <c r="X200" s="11" t="str">
        <f t="shared" si="7"/>
        <v>SHOPEE</v>
      </c>
    </row>
    <row r="201" spans="1:24">
      <c r="A201" s="15" t="s">
        <v>79</v>
      </c>
      <c r="B201" s="15" t="s">
        <v>80</v>
      </c>
      <c r="C201" s="15" t="s">
        <v>445</v>
      </c>
      <c r="D201" s="13">
        <v>46228.792361111111</v>
      </c>
      <c r="E201" s="15" t="s">
        <v>265</v>
      </c>
      <c r="F201" s="15" t="s">
        <v>446</v>
      </c>
      <c r="G201" s="15" t="s">
        <v>74</v>
      </c>
      <c r="H201" s="15" t="s">
        <v>75</v>
      </c>
      <c r="I201" s="14">
        <v>12000</v>
      </c>
      <c r="J201" s="15" t="s">
        <v>136</v>
      </c>
      <c r="K201" s="15" t="s">
        <v>24</v>
      </c>
      <c r="L201" s="15">
        <v>1</v>
      </c>
      <c r="M201" s="15">
        <v>0.4</v>
      </c>
      <c r="N201" s="15" t="s">
        <v>76</v>
      </c>
      <c r="O201" s="15" t="s">
        <v>76</v>
      </c>
      <c r="P201" s="14">
        <v>502600</v>
      </c>
      <c r="Q201" s="13">
        <v>46228.792361111111</v>
      </c>
      <c r="R201" s="15" t="s">
        <v>447</v>
      </c>
      <c r="S201" s="11" t="str">
        <f t="shared" si="6"/>
        <v>2026-07-25</v>
      </c>
      <c r="T201" s="11">
        <f>IF($E201="","",IF(COUNTIF($E$2:$E201,$E201)=1,1,0))</f>
        <v>0</v>
      </c>
      <c r="U201" s="11" t="str">
        <f>IF(T201=1,SUM($T$2:T201),"")</f>
        <v/>
      </c>
      <c r="V201" s="11">
        <f>IF(OR($R201="",$R201="-"),"",IF(COUNTIF($R$2:$R201,$R201)=1,1,0))</f>
        <v>1</v>
      </c>
      <c r="W201" s="11">
        <f>IF(V201=1,SUM($V$2:V201),"")</f>
        <v>78</v>
      </c>
      <c r="X201" s="11" t="str">
        <f t="shared" si="7"/>
        <v>SHOPEE</v>
      </c>
    </row>
    <row r="202" spans="1:24">
      <c r="A202" s="15" t="s">
        <v>79</v>
      </c>
      <c r="B202" s="15" t="s">
        <v>83</v>
      </c>
      <c r="C202" s="15" t="s">
        <v>448</v>
      </c>
      <c r="D202" s="13">
        <v>46228.763888888891</v>
      </c>
      <c r="E202" s="15" t="s">
        <v>265</v>
      </c>
      <c r="F202" s="15" t="s">
        <v>449</v>
      </c>
      <c r="G202" s="15" t="s">
        <v>74</v>
      </c>
      <c r="H202" s="15" t="s">
        <v>75</v>
      </c>
      <c r="I202" s="14">
        <v>12000</v>
      </c>
      <c r="J202" s="15" t="s">
        <v>92</v>
      </c>
      <c r="K202" s="15" t="s">
        <v>24</v>
      </c>
      <c r="L202" s="15">
        <v>1</v>
      </c>
      <c r="M202" s="15">
        <v>0.44</v>
      </c>
      <c r="N202" s="15" t="s">
        <v>76</v>
      </c>
      <c r="O202" s="15" t="s">
        <v>76</v>
      </c>
      <c r="P202" s="14">
        <v>29000</v>
      </c>
      <c r="Q202" s="13">
        <v>46228.763888888891</v>
      </c>
      <c r="R202" s="15" t="s">
        <v>133</v>
      </c>
      <c r="S202" s="11" t="str">
        <f t="shared" si="6"/>
        <v>2026-07-25</v>
      </c>
      <c r="T202" s="11">
        <f>IF($E202="","",IF(COUNTIF($E$2:$E202,$E202)=1,1,0))</f>
        <v>0</v>
      </c>
      <c r="U202" s="11" t="str">
        <f>IF(T202=1,SUM($T$2:T202),"")</f>
        <v/>
      </c>
      <c r="V202" s="11">
        <f>IF(OR($R202="",$R202="-"),"",IF(COUNTIF($R$2:$R202,$R202)=1,1,0))</f>
        <v>0</v>
      </c>
      <c r="W202" s="11" t="str">
        <f>IF(V202=1,SUM($V$2:V202),"")</f>
        <v/>
      </c>
      <c r="X202" s="11" t="str">
        <f t="shared" si="7"/>
        <v>SHOPEE</v>
      </c>
    </row>
    <row r="203" spans="1:24">
      <c r="A203" s="15" t="s">
        <v>79</v>
      </c>
      <c r="B203" s="15" t="s">
        <v>83</v>
      </c>
      <c r="C203" s="15" t="s">
        <v>450</v>
      </c>
      <c r="D203" s="13">
        <v>46228.743750000001</v>
      </c>
      <c r="E203" s="15" t="s">
        <v>265</v>
      </c>
      <c r="F203" s="15" t="s">
        <v>451</v>
      </c>
      <c r="G203" s="15" t="s">
        <v>74</v>
      </c>
      <c r="H203" s="15" t="s">
        <v>75</v>
      </c>
      <c r="I203" s="14">
        <v>10000</v>
      </c>
      <c r="J203" s="15" t="s">
        <v>452</v>
      </c>
      <c r="K203" s="15" t="s">
        <v>27</v>
      </c>
      <c r="L203" s="15">
        <v>1</v>
      </c>
      <c r="M203" s="15">
        <v>0.17</v>
      </c>
      <c r="N203" s="15" t="s">
        <v>76</v>
      </c>
      <c r="O203" s="15" t="s">
        <v>76</v>
      </c>
      <c r="P203" s="14">
        <v>57000</v>
      </c>
      <c r="Q203" s="13">
        <v>46228.743750000001</v>
      </c>
      <c r="R203" s="15" t="s">
        <v>91</v>
      </c>
      <c r="S203" s="11" t="str">
        <f t="shared" si="6"/>
        <v>2026-07-25</v>
      </c>
      <c r="T203" s="11">
        <f>IF($E203="","",IF(COUNTIF($E$2:$E203,$E203)=1,1,0))</f>
        <v>0</v>
      </c>
      <c r="U203" s="11" t="str">
        <f>IF(T203=1,SUM($T$2:T203),"")</f>
        <v/>
      </c>
      <c r="V203" s="11">
        <f>IF(OR($R203="",$R203="-"),"",IF(COUNTIF($R$2:$R203,$R203)=1,1,0))</f>
        <v>0</v>
      </c>
      <c r="W203" s="11" t="str">
        <f>IF(V203=1,SUM($V$2:V203),"")</f>
        <v/>
      </c>
      <c r="X203" s="11" t="str">
        <f t="shared" si="7"/>
        <v>SHOPEE</v>
      </c>
    </row>
    <row r="204" spans="1:24">
      <c r="A204" s="15" t="s">
        <v>79</v>
      </c>
      <c r="B204" s="15" t="s">
        <v>83</v>
      </c>
      <c r="C204" s="15" t="s">
        <v>450</v>
      </c>
      <c r="D204" s="13">
        <v>46228.743750000001</v>
      </c>
      <c r="E204" s="15" t="s">
        <v>265</v>
      </c>
      <c r="F204" s="15" t="s">
        <v>453</v>
      </c>
      <c r="G204" s="15" t="s">
        <v>74</v>
      </c>
      <c r="H204" s="15" t="s">
        <v>75</v>
      </c>
      <c r="I204" s="14">
        <v>5500</v>
      </c>
      <c r="J204" s="15" t="s">
        <v>134</v>
      </c>
      <c r="K204" s="15" t="s">
        <v>28</v>
      </c>
      <c r="L204" s="15">
        <v>1</v>
      </c>
      <c r="M204" s="15">
        <v>0.13</v>
      </c>
      <c r="N204" s="15" t="s">
        <v>76</v>
      </c>
      <c r="O204" s="15" t="s">
        <v>76</v>
      </c>
      <c r="P204" s="14">
        <v>24000</v>
      </c>
      <c r="Q204" s="13">
        <v>46228.743750000001</v>
      </c>
      <c r="R204" s="15" t="s">
        <v>91</v>
      </c>
      <c r="S204" s="11" t="str">
        <f t="shared" si="6"/>
        <v>2026-07-25</v>
      </c>
      <c r="T204" s="11">
        <f>IF($E204="","",IF(COUNTIF($E$2:$E204,$E204)=1,1,0))</f>
        <v>0</v>
      </c>
      <c r="U204" s="11" t="str">
        <f>IF(T204=1,SUM($T$2:T204),"")</f>
        <v/>
      </c>
      <c r="V204" s="11">
        <f>IF(OR($R204="",$R204="-"),"",IF(COUNTIF($R$2:$R204,$R204)=1,1,0))</f>
        <v>0</v>
      </c>
      <c r="W204" s="11" t="str">
        <f>IF(V204=1,SUM($V$2:V204),"")</f>
        <v/>
      </c>
      <c r="X204" s="11" t="str">
        <f t="shared" si="7"/>
        <v>SHOPEE</v>
      </c>
    </row>
    <row r="205" spans="1:24">
      <c r="A205" s="15" t="s">
        <v>79</v>
      </c>
      <c r="B205" s="15" t="s">
        <v>83</v>
      </c>
      <c r="C205" s="15" t="s">
        <v>450</v>
      </c>
      <c r="D205" s="13">
        <v>46228.743750000001</v>
      </c>
      <c r="E205" s="15" t="s">
        <v>265</v>
      </c>
      <c r="F205" s="15" t="s">
        <v>454</v>
      </c>
      <c r="G205" s="15" t="s">
        <v>74</v>
      </c>
      <c r="H205" s="15" t="s">
        <v>75</v>
      </c>
      <c r="I205" s="14">
        <v>14000</v>
      </c>
      <c r="J205" s="15" t="s">
        <v>345</v>
      </c>
      <c r="K205" s="15" t="s">
        <v>24</v>
      </c>
      <c r="L205" s="15">
        <v>1</v>
      </c>
      <c r="M205" s="15">
        <v>0.2</v>
      </c>
      <c r="N205" s="15" t="s">
        <v>76</v>
      </c>
      <c r="O205" s="15" t="s">
        <v>76</v>
      </c>
      <c r="P205" s="14">
        <v>60000</v>
      </c>
      <c r="Q205" s="13">
        <v>46228.743750000001</v>
      </c>
      <c r="R205" s="15" t="s">
        <v>91</v>
      </c>
      <c r="S205" s="11" t="str">
        <f t="shared" si="6"/>
        <v>2026-07-25</v>
      </c>
      <c r="T205" s="11">
        <f>IF($E205="","",IF(COUNTIF($E$2:$E205,$E205)=1,1,0))</f>
        <v>0</v>
      </c>
      <c r="U205" s="11" t="str">
        <f>IF(T205=1,SUM($T$2:T205),"")</f>
        <v/>
      </c>
      <c r="V205" s="11">
        <f>IF(OR($R205="",$R205="-"),"",IF(COUNTIF($R$2:$R205,$R205)=1,1,0))</f>
        <v>0</v>
      </c>
      <c r="W205" s="11" t="str">
        <f>IF(V205=1,SUM($V$2:V205),"")</f>
        <v/>
      </c>
      <c r="X205" s="11" t="str">
        <f t="shared" si="7"/>
        <v>SHOPEE</v>
      </c>
    </row>
    <row r="206" spans="1:24">
      <c r="A206" s="15" t="s">
        <v>79</v>
      </c>
      <c r="B206" s="15" t="s">
        <v>83</v>
      </c>
      <c r="C206" s="15" t="s">
        <v>455</v>
      </c>
      <c r="D206" s="13">
        <v>46228.740972222222</v>
      </c>
      <c r="E206" s="15" t="s">
        <v>73</v>
      </c>
      <c r="F206" s="15" t="s">
        <v>456</v>
      </c>
      <c r="G206" s="15" t="s">
        <v>74</v>
      </c>
      <c r="H206" s="15" t="s">
        <v>75</v>
      </c>
      <c r="I206" s="14">
        <v>12000</v>
      </c>
      <c r="J206" s="15" t="s">
        <v>322</v>
      </c>
      <c r="K206" s="15" t="s">
        <v>24</v>
      </c>
      <c r="L206" s="15">
        <v>3</v>
      </c>
      <c r="M206" s="15">
        <v>0.15</v>
      </c>
      <c r="N206" s="15" t="s">
        <v>76</v>
      </c>
      <c r="O206" s="15" t="s">
        <v>76</v>
      </c>
      <c r="P206" s="14">
        <v>41973</v>
      </c>
      <c r="Q206" s="13">
        <v>46228.740972222222</v>
      </c>
      <c r="R206" s="15" t="s">
        <v>457</v>
      </c>
      <c r="S206" s="11" t="str">
        <f t="shared" si="6"/>
        <v>2026-07-25</v>
      </c>
      <c r="T206" s="11">
        <f>IF($E206="","",IF(COUNTIF($E$2:$E206,$E206)=1,1,0))</f>
        <v>0</v>
      </c>
      <c r="U206" s="11" t="str">
        <f>IF(T206=1,SUM($T$2:T206),"")</f>
        <v/>
      </c>
      <c r="V206" s="11">
        <f>IF(OR($R206="",$R206="-"),"",IF(COUNTIF($R$2:$R206,$R206)=1,1,0))</f>
        <v>0</v>
      </c>
      <c r="W206" s="11" t="str">
        <f>IF(V206=1,SUM($V$2:V206),"")</f>
        <v/>
      </c>
      <c r="X206" s="11" t="str">
        <f t="shared" si="7"/>
        <v>SHOPEE</v>
      </c>
    </row>
    <row r="207" spans="1:24">
      <c r="A207" s="15" t="s">
        <v>79</v>
      </c>
      <c r="B207" s="15" t="s">
        <v>83</v>
      </c>
      <c r="C207" s="15" t="s">
        <v>455</v>
      </c>
      <c r="D207" s="13">
        <v>46228.740972222222</v>
      </c>
      <c r="E207" s="15" t="s">
        <v>73</v>
      </c>
      <c r="F207" s="15" t="s">
        <v>458</v>
      </c>
      <c r="G207" s="15" t="s">
        <v>74</v>
      </c>
      <c r="H207" s="15" t="s">
        <v>75</v>
      </c>
      <c r="I207" s="14">
        <v>11000</v>
      </c>
      <c r="J207" s="15" t="s">
        <v>459</v>
      </c>
      <c r="K207" s="15" t="s">
        <v>27</v>
      </c>
      <c r="L207" s="15">
        <v>2</v>
      </c>
      <c r="M207" s="15">
        <v>0.09</v>
      </c>
      <c r="N207" s="15" t="s">
        <v>76</v>
      </c>
      <c r="O207" s="15" t="s">
        <v>76</v>
      </c>
      <c r="P207" s="14">
        <v>70822</v>
      </c>
      <c r="Q207" s="13">
        <v>46228.740972222222</v>
      </c>
      <c r="R207" s="15" t="s">
        <v>457</v>
      </c>
      <c r="S207" s="11" t="str">
        <f t="shared" si="6"/>
        <v>2026-07-25</v>
      </c>
      <c r="T207" s="11">
        <f>IF($E207="","",IF(COUNTIF($E$2:$E207,$E207)=1,1,0))</f>
        <v>0</v>
      </c>
      <c r="U207" s="11" t="str">
        <f>IF(T207=1,SUM($T$2:T207),"")</f>
        <v/>
      </c>
      <c r="V207" s="11">
        <f>IF(OR($R207="",$R207="-"),"",IF(COUNTIF($R$2:$R207,$R207)=1,1,0))</f>
        <v>0</v>
      </c>
      <c r="W207" s="11" t="str">
        <f>IF(V207=1,SUM($V$2:V207),"")</f>
        <v/>
      </c>
      <c r="X207" s="11" t="str">
        <f t="shared" si="7"/>
        <v>SHOPEE</v>
      </c>
    </row>
    <row r="208" spans="1:24">
      <c r="A208" s="15" t="s">
        <v>79</v>
      </c>
      <c r="B208" s="15" t="s">
        <v>83</v>
      </c>
      <c r="C208" s="15" t="s">
        <v>455</v>
      </c>
      <c r="D208" s="13">
        <v>46228.740972222222</v>
      </c>
      <c r="E208" s="15" t="s">
        <v>73</v>
      </c>
      <c r="F208" s="15" t="s">
        <v>460</v>
      </c>
      <c r="G208" s="15" t="s">
        <v>74</v>
      </c>
      <c r="H208" s="15" t="s">
        <v>75</v>
      </c>
      <c r="I208" s="14">
        <v>21000</v>
      </c>
      <c r="J208" s="15" t="s">
        <v>461</v>
      </c>
      <c r="K208" s="15" t="s">
        <v>24</v>
      </c>
      <c r="L208" s="15">
        <v>2</v>
      </c>
      <c r="M208" s="15">
        <v>0.09</v>
      </c>
      <c r="N208" s="15" t="s">
        <v>76</v>
      </c>
      <c r="O208" s="15" t="s">
        <v>76</v>
      </c>
      <c r="P208" s="14">
        <v>70822</v>
      </c>
      <c r="Q208" s="13">
        <v>46228.740972222222</v>
      </c>
      <c r="R208" s="15" t="s">
        <v>457</v>
      </c>
      <c r="S208" s="11" t="str">
        <f t="shared" si="6"/>
        <v>2026-07-25</v>
      </c>
      <c r="T208" s="11">
        <f>IF($E208="","",IF(COUNTIF($E$2:$E208,$E208)=1,1,0))</f>
        <v>0</v>
      </c>
      <c r="U208" s="11" t="str">
        <f>IF(T208=1,SUM($T$2:T208),"")</f>
        <v/>
      </c>
      <c r="V208" s="11">
        <f>IF(OR($R208="",$R208="-"),"",IF(COUNTIF($R$2:$R208,$R208)=1,1,0))</f>
        <v>0</v>
      </c>
      <c r="W208" s="11" t="str">
        <f>IF(V208=1,SUM($V$2:V208),"")</f>
        <v/>
      </c>
      <c r="X208" s="11" t="str">
        <f t="shared" si="7"/>
        <v>SHOPEE</v>
      </c>
    </row>
    <row r="209" spans="1:24">
      <c r="A209" s="15" t="s">
        <v>79</v>
      </c>
      <c r="B209" s="15" t="s">
        <v>83</v>
      </c>
      <c r="C209" s="15" t="s">
        <v>462</v>
      </c>
      <c r="D209" s="13">
        <v>46228.723611111112</v>
      </c>
      <c r="E209" s="15" t="s">
        <v>265</v>
      </c>
      <c r="F209" s="15" t="s">
        <v>463</v>
      </c>
      <c r="G209" s="15" t="s">
        <v>74</v>
      </c>
      <c r="H209" s="15" t="s">
        <v>75</v>
      </c>
      <c r="I209" s="14">
        <v>12000</v>
      </c>
      <c r="J209" s="15" t="s">
        <v>136</v>
      </c>
      <c r="K209" s="15" t="s">
        <v>24</v>
      </c>
      <c r="L209" s="15">
        <v>1</v>
      </c>
      <c r="M209" s="15">
        <v>1</v>
      </c>
      <c r="N209" s="15" t="s">
        <v>76</v>
      </c>
      <c r="O209" s="15" t="s">
        <v>76</v>
      </c>
      <c r="P209" s="14">
        <v>4140000</v>
      </c>
      <c r="Q209" s="13">
        <v>46228.724305555559</v>
      </c>
      <c r="R209" s="15" t="s">
        <v>86</v>
      </c>
      <c r="S209" s="11" t="str">
        <f t="shared" si="6"/>
        <v>2026-07-25</v>
      </c>
      <c r="T209" s="11">
        <f>IF($E209="","",IF(COUNTIF($E$2:$E209,$E209)=1,1,0))</f>
        <v>0</v>
      </c>
      <c r="U209" s="11" t="str">
        <f>IF(T209=1,SUM($T$2:T209),"")</f>
        <v/>
      </c>
      <c r="V209" s="11">
        <f>IF(OR($R209="",$R209="-"),"",IF(COUNTIF($R$2:$R209,$R209)=1,1,0))</f>
        <v>0</v>
      </c>
      <c r="W209" s="11" t="str">
        <f>IF(V209=1,SUM($V$2:V209),"")</f>
        <v/>
      </c>
      <c r="X209" s="11" t="str">
        <f t="shared" si="7"/>
        <v>SHOPEE</v>
      </c>
    </row>
    <row r="210" spans="1:24">
      <c r="A210" s="15" t="s">
        <v>79</v>
      </c>
      <c r="B210" s="15" t="s">
        <v>83</v>
      </c>
      <c r="C210" s="15" t="s">
        <v>462</v>
      </c>
      <c r="D210" s="13">
        <v>46228.723611111112</v>
      </c>
      <c r="E210" s="15" t="s">
        <v>265</v>
      </c>
      <c r="F210" s="15" t="s">
        <v>464</v>
      </c>
      <c r="G210" s="15" t="s">
        <v>74</v>
      </c>
      <c r="H210" s="15" t="s">
        <v>75</v>
      </c>
      <c r="I210" s="14">
        <v>21000</v>
      </c>
      <c r="J210" s="15" t="s">
        <v>288</v>
      </c>
      <c r="K210" s="15" t="s">
        <v>24</v>
      </c>
      <c r="L210" s="15">
        <v>1</v>
      </c>
      <c r="M210" s="15">
        <v>1</v>
      </c>
      <c r="N210" s="15" t="s">
        <v>76</v>
      </c>
      <c r="O210" s="15" t="s">
        <v>76</v>
      </c>
      <c r="P210" s="14">
        <v>1140000</v>
      </c>
      <c r="Q210" s="13">
        <v>46228.724305555559</v>
      </c>
      <c r="R210" s="15" t="s">
        <v>86</v>
      </c>
      <c r="S210" s="11" t="str">
        <f t="shared" si="6"/>
        <v>2026-07-25</v>
      </c>
      <c r="T210" s="11">
        <f>IF($E210="","",IF(COUNTIF($E$2:$E210,$E210)=1,1,0))</f>
        <v>0</v>
      </c>
      <c r="U210" s="11" t="str">
        <f>IF(T210=1,SUM($T$2:T210),"")</f>
        <v/>
      </c>
      <c r="V210" s="11">
        <f>IF(OR($R210="",$R210="-"),"",IF(COUNTIF($R$2:$R210,$R210)=1,1,0))</f>
        <v>0</v>
      </c>
      <c r="W210" s="11" t="str">
        <f>IF(V210=1,SUM($V$2:V210),"")</f>
        <v/>
      </c>
      <c r="X210" s="11" t="str">
        <f t="shared" si="7"/>
        <v>SHOPEE</v>
      </c>
    </row>
    <row r="211" spans="1:24">
      <c r="A211" s="15" t="s">
        <v>79</v>
      </c>
      <c r="B211" s="15" t="s">
        <v>83</v>
      </c>
      <c r="C211" s="15" t="s">
        <v>465</v>
      </c>
      <c r="D211" s="13">
        <v>46228.722222222219</v>
      </c>
      <c r="E211" s="15" t="s">
        <v>265</v>
      </c>
      <c r="F211" s="15" t="s">
        <v>466</v>
      </c>
      <c r="G211" s="15" t="s">
        <v>74</v>
      </c>
      <c r="H211" s="15" t="s">
        <v>75</v>
      </c>
      <c r="I211" s="14">
        <v>12000</v>
      </c>
      <c r="J211" s="15" t="s">
        <v>467</v>
      </c>
      <c r="K211" s="15" t="s">
        <v>24</v>
      </c>
      <c r="L211" s="15">
        <v>1</v>
      </c>
      <c r="M211" s="15">
        <v>7.0000000000000007E-2</v>
      </c>
      <c r="N211" s="15" t="s">
        <v>76</v>
      </c>
      <c r="O211" s="15" t="s">
        <v>76</v>
      </c>
      <c r="P211" s="14">
        <v>83000</v>
      </c>
      <c r="Q211" s="13">
        <v>46228.722222222219</v>
      </c>
      <c r="R211" s="15" t="s">
        <v>468</v>
      </c>
      <c r="S211" s="11" t="str">
        <f t="shared" si="6"/>
        <v>2026-07-25</v>
      </c>
      <c r="T211" s="11">
        <f>IF($E211="","",IF(COUNTIF($E$2:$E211,$E211)=1,1,0))</f>
        <v>0</v>
      </c>
      <c r="U211" s="11" t="str">
        <f>IF(T211=1,SUM($T$2:T211),"")</f>
        <v/>
      </c>
      <c r="V211" s="11">
        <f>IF(OR($R211="",$R211="-"),"",IF(COUNTIF($R$2:$R211,$R211)=1,1,0))</f>
        <v>1</v>
      </c>
      <c r="W211" s="11">
        <f>IF(V211=1,SUM($V$2:V211),"")</f>
        <v>79</v>
      </c>
      <c r="X211" s="11" t="str">
        <f t="shared" si="7"/>
        <v>SHOPEE</v>
      </c>
    </row>
    <row r="212" spans="1:24">
      <c r="A212" s="15" t="s">
        <v>79</v>
      </c>
      <c r="B212" s="15" t="s">
        <v>80</v>
      </c>
      <c r="C212" s="15" t="s">
        <v>469</v>
      </c>
      <c r="D212" s="13">
        <v>46228.624305555553</v>
      </c>
      <c r="E212" s="15" t="s">
        <v>73</v>
      </c>
      <c r="F212" s="15" t="s">
        <v>470</v>
      </c>
      <c r="G212" s="15" t="s">
        <v>74</v>
      </c>
      <c r="H212" s="15" t="s">
        <v>75</v>
      </c>
      <c r="I212" s="14">
        <v>12000</v>
      </c>
      <c r="J212" s="15" t="s">
        <v>157</v>
      </c>
      <c r="K212" s="15" t="s">
        <v>24</v>
      </c>
      <c r="L212" s="15">
        <v>1</v>
      </c>
      <c r="M212" s="15">
        <v>0.45</v>
      </c>
      <c r="N212" s="15" t="s">
        <v>76</v>
      </c>
      <c r="O212" s="15" t="s">
        <v>76</v>
      </c>
      <c r="P212" s="14">
        <v>37057</v>
      </c>
      <c r="Q212" s="13">
        <v>46228.626388888886</v>
      </c>
      <c r="R212" s="15" t="s">
        <v>471</v>
      </c>
      <c r="S212" s="11" t="str">
        <f t="shared" si="6"/>
        <v>2026-07-25</v>
      </c>
      <c r="T212" s="11">
        <f>IF($E212="","",IF(COUNTIF($E$2:$E212,$E212)=1,1,0))</f>
        <v>0</v>
      </c>
      <c r="U212" s="11" t="str">
        <f>IF(T212=1,SUM($T$2:T212),"")</f>
        <v/>
      </c>
      <c r="V212" s="11">
        <f>IF(OR($R212="",$R212="-"),"",IF(COUNTIF($R$2:$R212,$R212)=1,1,0))</f>
        <v>0</v>
      </c>
      <c r="W212" s="11" t="str">
        <f>IF(V212=1,SUM($V$2:V212),"")</f>
        <v/>
      </c>
      <c r="X212" s="11" t="str">
        <f t="shared" si="7"/>
        <v>SHOPEE</v>
      </c>
    </row>
    <row r="213" spans="1:24">
      <c r="A213" s="15" t="s">
        <v>79</v>
      </c>
      <c r="B213" s="15" t="s">
        <v>83</v>
      </c>
      <c r="C213" s="15" t="s">
        <v>472</v>
      </c>
      <c r="D213" s="13">
        <v>46228.616666666669</v>
      </c>
      <c r="E213" s="15" t="s">
        <v>265</v>
      </c>
      <c r="F213" s="15" t="s">
        <v>473</v>
      </c>
      <c r="G213" s="15" t="s">
        <v>74</v>
      </c>
      <c r="H213" s="15" t="s">
        <v>75</v>
      </c>
      <c r="I213" s="14">
        <v>12000</v>
      </c>
      <c r="J213" s="15" t="s">
        <v>321</v>
      </c>
      <c r="K213" s="15" t="s">
        <v>24</v>
      </c>
      <c r="L213" s="15">
        <v>1</v>
      </c>
      <c r="M213" s="15">
        <v>0.2</v>
      </c>
      <c r="N213" s="15" t="s">
        <v>76</v>
      </c>
      <c r="O213" s="15" t="s">
        <v>76</v>
      </c>
      <c r="P213" s="14">
        <v>467950</v>
      </c>
      <c r="Q213" s="13">
        <v>46228.617361111108</v>
      </c>
      <c r="R213" s="15" t="s">
        <v>138</v>
      </c>
      <c r="S213" s="11" t="str">
        <f t="shared" si="6"/>
        <v>2026-07-25</v>
      </c>
      <c r="T213" s="11">
        <f>IF($E213="","",IF(COUNTIF($E$2:$E213,$E213)=1,1,0))</f>
        <v>0</v>
      </c>
      <c r="U213" s="11" t="str">
        <f>IF(T213=1,SUM($T$2:T213),"")</f>
        <v/>
      </c>
      <c r="V213" s="11">
        <f>IF(OR($R213="",$R213="-"),"",IF(COUNTIF($R$2:$R213,$R213)=1,1,0))</f>
        <v>0</v>
      </c>
      <c r="W213" s="11" t="str">
        <f>IF(V213=1,SUM($V$2:V213),"")</f>
        <v/>
      </c>
      <c r="X213" s="11" t="str">
        <f t="shared" si="7"/>
        <v>SHOPEE</v>
      </c>
    </row>
    <row r="214" spans="1:24">
      <c r="A214" s="15" t="s">
        <v>79</v>
      </c>
      <c r="B214" s="15" t="s">
        <v>83</v>
      </c>
      <c r="C214" s="15" t="s">
        <v>474</v>
      </c>
      <c r="D214" s="13">
        <v>46228.570138888892</v>
      </c>
      <c r="E214" s="15" t="s">
        <v>111</v>
      </c>
      <c r="F214" s="15" t="s">
        <v>475</v>
      </c>
      <c r="G214" s="15" t="s">
        <v>74</v>
      </c>
      <c r="H214" s="15" t="s">
        <v>75</v>
      </c>
      <c r="I214" s="14">
        <v>108000</v>
      </c>
      <c r="J214" s="15" t="s">
        <v>333</v>
      </c>
      <c r="K214" s="15" t="s">
        <v>24</v>
      </c>
      <c r="L214" s="15">
        <v>1</v>
      </c>
      <c r="M214" s="15">
        <v>3.5</v>
      </c>
      <c r="N214" s="15" t="s">
        <v>76</v>
      </c>
      <c r="O214" s="15" t="s">
        <v>76</v>
      </c>
      <c r="P214" s="14">
        <v>239000</v>
      </c>
      <c r="Q214" s="13">
        <v>46228.570138888892</v>
      </c>
      <c r="R214" s="15" t="s">
        <v>98</v>
      </c>
      <c r="S214" s="11" t="str">
        <f t="shared" si="6"/>
        <v>2026-07-25</v>
      </c>
      <c r="T214" s="11">
        <f>IF($E214="","",IF(COUNTIF($E$2:$E214,$E214)=1,1,0))</f>
        <v>0</v>
      </c>
      <c r="U214" s="11" t="str">
        <f>IF(T214=1,SUM($T$2:T214),"")</f>
        <v/>
      </c>
      <c r="V214" s="11">
        <f>IF(OR($R214="",$R214="-"),"",IF(COUNTIF($R$2:$R214,$R214)=1,1,0))</f>
        <v>0</v>
      </c>
      <c r="W214" s="11" t="str">
        <f>IF(V214=1,SUM($V$2:V214),"")</f>
        <v/>
      </c>
      <c r="X214" s="11" t="str">
        <f t="shared" si="7"/>
        <v>SHOPEE</v>
      </c>
    </row>
    <row r="215" spans="1:24">
      <c r="A215" s="15" t="s">
        <v>79</v>
      </c>
      <c r="B215" s="15" t="s">
        <v>80</v>
      </c>
      <c r="C215" s="15" t="s">
        <v>476</v>
      </c>
      <c r="D215" s="13">
        <v>46228.473611111112</v>
      </c>
      <c r="E215" s="15" t="s">
        <v>111</v>
      </c>
      <c r="F215" s="15" t="s">
        <v>477</v>
      </c>
      <c r="G215" s="15" t="s">
        <v>74</v>
      </c>
      <c r="H215" s="15" t="s">
        <v>75</v>
      </c>
      <c r="I215" s="14">
        <v>12000</v>
      </c>
      <c r="J215" s="15" t="s">
        <v>478</v>
      </c>
      <c r="K215" s="15" t="s">
        <v>24</v>
      </c>
      <c r="L215" s="15">
        <v>1</v>
      </c>
      <c r="M215" s="15">
        <v>0.44</v>
      </c>
      <c r="N215" s="15" t="s">
        <v>76</v>
      </c>
      <c r="O215" s="15" t="s">
        <v>76</v>
      </c>
      <c r="P215" s="14">
        <v>125000</v>
      </c>
      <c r="Q215" s="13">
        <v>46228.473611111112</v>
      </c>
      <c r="R215" s="15" t="s">
        <v>479</v>
      </c>
      <c r="S215" s="11" t="str">
        <f t="shared" si="6"/>
        <v>2026-07-25</v>
      </c>
      <c r="T215" s="11">
        <f>IF($E215="","",IF(COUNTIF($E$2:$E215,$E215)=1,1,0))</f>
        <v>0</v>
      </c>
      <c r="U215" s="11" t="str">
        <f>IF(T215=1,SUM($T$2:T215),"")</f>
        <v/>
      </c>
      <c r="V215" s="11">
        <f>IF(OR($R215="",$R215="-"),"",IF(COUNTIF($R$2:$R215,$R215)=1,1,0))</f>
        <v>1</v>
      </c>
      <c r="W215" s="11">
        <f>IF(V215=1,SUM($V$2:V215),"")</f>
        <v>80</v>
      </c>
      <c r="X215" s="11" t="str">
        <f t="shared" si="7"/>
        <v>SHOPEE</v>
      </c>
    </row>
    <row r="216" spans="1:24">
      <c r="A216" s="15" t="s">
        <v>79</v>
      </c>
      <c r="B216" s="15" t="s">
        <v>80</v>
      </c>
      <c r="C216" s="15" t="s">
        <v>480</v>
      </c>
      <c r="D216" s="13">
        <v>46228.435416666667</v>
      </c>
      <c r="E216" s="15" t="s">
        <v>111</v>
      </c>
      <c r="F216" s="15" t="s">
        <v>481</v>
      </c>
      <c r="G216" s="15" t="s">
        <v>74</v>
      </c>
      <c r="H216" s="15" t="s">
        <v>75</v>
      </c>
      <c r="I216" s="14">
        <v>24000</v>
      </c>
      <c r="J216" s="15" t="s">
        <v>145</v>
      </c>
      <c r="K216" s="15" t="s">
        <v>24</v>
      </c>
      <c r="L216" s="15">
        <v>1</v>
      </c>
      <c r="M216" s="15">
        <v>1.35</v>
      </c>
      <c r="N216" s="15" t="s">
        <v>76</v>
      </c>
      <c r="O216" s="15" t="s">
        <v>76</v>
      </c>
      <c r="P216" s="14">
        <v>205000</v>
      </c>
      <c r="Q216" s="13">
        <v>46228.436111111114</v>
      </c>
      <c r="R216" s="15" t="s">
        <v>482</v>
      </c>
      <c r="S216" s="11" t="str">
        <f t="shared" si="6"/>
        <v>2026-07-25</v>
      </c>
      <c r="T216" s="11">
        <f>IF($E216="","",IF(COUNTIF($E$2:$E216,$E216)=1,1,0))</f>
        <v>0</v>
      </c>
      <c r="U216" s="11" t="str">
        <f>IF(T216=1,SUM($T$2:T216),"")</f>
        <v/>
      </c>
      <c r="V216" s="11">
        <f>IF(OR($R216="",$R216="-"),"",IF(COUNTIF($R$2:$R216,$R216)=1,1,0))</f>
        <v>1</v>
      </c>
      <c r="W216" s="11">
        <f>IF(V216=1,SUM($V$2:V216),"")</f>
        <v>81</v>
      </c>
      <c r="X216" s="11" t="str">
        <f t="shared" si="7"/>
        <v>SHOPEE</v>
      </c>
    </row>
    <row r="217" spans="1:24">
      <c r="A217" s="15" t="s">
        <v>79</v>
      </c>
      <c r="B217" s="15" t="s">
        <v>80</v>
      </c>
      <c r="C217" s="15" t="s">
        <v>480</v>
      </c>
      <c r="D217" s="13">
        <v>46228.435416666667</v>
      </c>
      <c r="E217" s="15" t="s">
        <v>111</v>
      </c>
      <c r="F217" s="15" t="s">
        <v>484</v>
      </c>
      <c r="G217" s="15" t="s">
        <v>74</v>
      </c>
      <c r="H217" s="15" t="s">
        <v>75</v>
      </c>
      <c r="I217" s="14">
        <v>36000</v>
      </c>
      <c r="J217" s="15" t="s">
        <v>145</v>
      </c>
      <c r="K217" s="15" t="s">
        <v>24</v>
      </c>
      <c r="L217" s="15">
        <v>2</v>
      </c>
      <c r="M217" s="15">
        <v>2.7</v>
      </c>
      <c r="N217" s="15" t="s">
        <v>76</v>
      </c>
      <c r="O217" s="15" t="s">
        <v>76</v>
      </c>
      <c r="P217" s="14">
        <v>410000</v>
      </c>
      <c r="Q217" s="13">
        <v>46228.436111111114</v>
      </c>
      <c r="R217" s="15" t="s">
        <v>482</v>
      </c>
      <c r="S217" s="11" t="str">
        <f t="shared" si="6"/>
        <v>2026-07-25</v>
      </c>
      <c r="T217" s="11">
        <f>IF($E217="","",IF(COUNTIF($E$2:$E217,$E217)=1,1,0))</f>
        <v>0</v>
      </c>
      <c r="U217" s="11" t="str">
        <f>IF(T217=1,SUM($T$2:T217),"")</f>
        <v/>
      </c>
      <c r="V217" s="11">
        <f>IF(OR($R217="",$R217="-"),"",IF(COUNTIF($R$2:$R217,$R217)=1,1,0))</f>
        <v>0</v>
      </c>
      <c r="W217" s="11" t="str">
        <f>IF(V217=1,SUM($V$2:V217),"")</f>
        <v/>
      </c>
      <c r="X217" s="11" t="str">
        <f t="shared" si="7"/>
        <v>SHOPEE</v>
      </c>
    </row>
    <row r="218" spans="1:24">
      <c r="A218" s="15" t="s">
        <v>79</v>
      </c>
      <c r="B218" s="15" t="s">
        <v>80</v>
      </c>
      <c r="C218" s="15" t="s">
        <v>480</v>
      </c>
      <c r="D218" s="13">
        <v>46228.435416666667</v>
      </c>
      <c r="E218" s="15" t="s">
        <v>111</v>
      </c>
      <c r="F218" s="15" t="s">
        <v>483</v>
      </c>
      <c r="G218" s="15" t="s">
        <v>74</v>
      </c>
      <c r="H218" s="15" t="s">
        <v>75</v>
      </c>
      <c r="I218" s="14">
        <v>24000</v>
      </c>
      <c r="J218" s="15" t="s">
        <v>145</v>
      </c>
      <c r="K218" s="15" t="s">
        <v>24</v>
      </c>
      <c r="L218" s="15">
        <v>1</v>
      </c>
      <c r="M218" s="15">
        <v>1.35</v>
      </c>
      <c r="N218" s="15" t="s">
        <v>76</v>
      </c>
      <c r="O218" s="15" t="s">
        <v>76</v>
      </c>
      <c r="P218" s="14">
        <v>205000</v>
      </c>
      <c r="Q218" s="13">
        <v>46228.436111111114</v>
      </c>
      <c r="R218" s="15" t="s">
        <v>482</v>
      </c>
      <c r="S218" s="11" t="str">
        <f t="shared" si="6"/>
        <v>2026-07-25</v>
      </c>
      <c r="T218" s="11">
        <f>IF($E218="","",IF(COUNTIF($E$2:$E218,$E218)=1,1,0))</f>
        <v>0</v>
      </c>
      <c r="U218" s="11" t="str">
        <f>IF(T218=1,SUM($T$2:T218),"")</f>
        <v/>
      </c>
      <c r="V218" s="11">
        <f>IF(OR($R218="",$R218="-"),"",IF(COUNTIF($R$2:$R218,$R218)=1,1,0))</f>
        <v>0</v>
      </c>
      <c r="W218" s="11" t="str">
        <f>IF(V218=1,SUM($V$2:V218),"")</f>
        <v/>
      </c>
      <c r="X218" s="11" t="str">
        <f t="shared" si="7"/>
        <v>SHOPEE</v>
      </c>
    </row>
    <row r="219" spans="1:24">
      <c r="A219" s="15" t="s">
        <v>79</v>
      </c>
      <c r="B219" s="15" t="s">
        <v>83</v>
      </c>
      <c r="C219" s="15" t="s">
        <v>485</v>
      </c>
      <c r="D219" s="13">
        <v>46228.422222222223</v>
      </c>
      <c r="E219" s="15" t="s">
        <v>111</v>
      </c>
      <c r="F219" s="15" t="s">
        <v>486</v>
      </c>
      <c r="G219" s="15" t="s">
        <v>74</v>
      </c>
      <c r="H219" s="15" t="s">
        <v>75</v>
      </c>
      <c r="I219" s="14">
        <v>12000</v>
      </c>
      <c r="J219" s="15" t="s">
        <v>194</v>
      </c>
      <c r="K219" s="15" t="s">
        <v>24</v>
      </c>
      <c r="L219" s="15">
        <v>1</v>
      </c>
      <c r="M219" s="15">
        <v>1</v>
      </c>
      <c r="N219" s="15" t="s">
        <v>76</v>
      </c>
      <c r="O219" s="15" t="s">
        <v>76</v>
      </c>
      <c r="P219" s="14">
        <v>100000</v>
      </c>
      <c r="Q219" s="13">
        <v>46228.422222222223</v>
      </c>
      <c r="R219" s="15" t="s">
        <v>108</v>
      </c>
      <c r="S219" s="11" t="str">
        <f t="shared" si="6"/>
        <v>2026-07-25</v>
      </c>
      <c r="T219" s="11">
        <f>IF($E219="","",IF(COUNTIF($E$2:$E219,$E219)=1,1,0))</f>
        <v>0</v>
      </c>
      <c r="U219" s="11" t="str">
        <f>IF(T219=1,SUM($T$2:T219),"")</f>
        <v/>
      </c>
      <c r="V219" s="11">
        <f>IF(OR($R219="",$R219="-"),"",IF(COUNTIF($R$2:$R219,$R219)=1,1,0))</f>
        <v>0</v>
      </c>
      <c r="W219" s="11" t="str">
        <f>IF(V219=1,SUM($V$2:V219),"")</f>
        <v/>
      </c>
      <c r="X219" s="11" t="str">
        <f t="shared" si="7"/>
        <v>SHOPEE</v>
      </c>
    </row>
    <row r="220" spans="1:24">
      <c r="A220" s="15" t="s">
        <v>79</v>
      </c>
      <c r="B220" s="15" t="s">
        <v>83</v>
      </c>
      <c r="C220" s="15" t="s">
        <v>487</v>
      </c>
      <c r="D220" s="13">
        <v>46228.421527777777</v>
      </c>
      <c r="E220" s="15" t="s">
        <v>111</v>
      </c>
      <c r="F220" s="15" t="s">
        <v>488</v>
      </c>
      <c r="G220" s="15" t="s">
        <v>74</v>
      </c>
      <c r="H220" s="15" t="s">
        <v>75</v>
      </c>
      <c r="I220" s="14">
        <v>15000</v>
      </c>
      <c r="J220" s="15" t="s">
        <v>279</v>
      </c>
      <c r="K220" s="15" t="s">
        <v>24</v>
      </c>
      <c r="L220" s="15">
        <v>1</v>
      </c>
      <c r="M220" s="15">
        <v>1</v>
      </c>
      <c r="N220" s="15" t="s">
        <v>76</v>
      </c>
      <c r="O220" s="15" t="s">
        <v>76</v>
      </c>
      <c r="P220" s="14">
        <v>115000</v>
      </c>
      <c r="Q220" s="13">
        <v>46228.421527777777</v>
      </c>
      <c r="R220" s="15" t="s">
        <v>184</v>
      </c>
      <c r="S220" s="11" t="str">
        <f t="shared" si="6"/>
        <v>2026-07-25</v>
      </c>
      <c r="T220" s="11">
        <f>IF($E220="","",IF(COUNTIF($E$2:$E220,$E220)=1,1,0))</f>
        <v>0</v>
      </c>
      <c r="U220" s="11" t="str">
        <f>IF(T220=1,SUM($T$2:T220),"")</f>
        <v/>
      </c>
      <c r="V220" s="11">
        <f>IF(OR($R220="",$R220="-"),"",IF(COUNTIF($R$2:$R220,$R220)=1,1,0))</f>
        <v>0</v>
      </c>
      <c r="W220" s="11" t="str">
        <f>IF(V220=1,SUM($V$2:V220),"")</f>
        <v/>
      </c>
      <c r="X220" s="11" t="str">
        <f t="shared" si="7"/>
        <v>SHOPEE</v>
      </c>
    </row>
    <row r="221" spans="1:24">
      <c r="A221" s="15" t="s">
        <v>79</v>
      </c>
      <c r="B221" s="15" t="s">
        <v>83</v>
      </c>
      <c r="C221" s="15" t="s">
        <v>489</v>
      </c>
      <c r="D221" s="13">
        <v>46228.340277777781</v>
      </c>
      <c r="E221" s="15" t="s">
        <v>111</v>
      </c>
      <c r="F221" s="15" t="s">
        <v>490</v>
      </c>
      <c r="G221" s="15" t="s">
        <v>74</v>
      </c>
      <c r="H221" s="15" t="s">
        <v>75</v>
      </c>
      <c r="I221" s="14">
        <v>12000</v>
      </c>
      <c r="J221" s="15" t="s">
        <v>491</v>
      </c>
      <c r="K221" s="15" t="s">
        <v>24</v>
      </c>
      <c r="L221" s="15">
        <v>1</v>
      </c>
      <c r="M221" s="15">
        <v>1</v>
      </c>
      <c r="N221" s="15" t="s">
        <v>76</v>
      </c>
      <c r="O221" s="15" t="s">
        <v>76</v>
      </c>
      <c r="P221" s="15">
        <v>99</v>
      </c>
      <c r="Q221" s="13">
        <v>46228.34097222222</v>
      </c>
      <c r="R221" s="15" t="s">
        <v>175</v>
      </c>
      <c r="S221" s="11" t="str">
        <f t="shared" si="6"/>
        <v>2026-07-25</v>
      </c>
      <c r="T221" s="11">
        <f>IF($E221="","",IF(COUNTIF($E$2:$E221,$E221)=1,1,0))</f>
        <v>0</v>
      </c>
      <c r="U221" s="11" t="str">
        <f>IF(T221=1,SUM($T$2:T221),"")</f>
        <v/>
      </c>
      <c r="V221" s="11">
        <f>IF(OR($R221="",$R221="-"),"",IF(COUNTIF($R$2:$R221,$R221)=1,1,0))</f>
        <v>0</v>
      </c>
      <c r="W221" s="11" t="str">
        <f>IF(V221=1,SUM($V$2:V221),"")</f>
        <v/>
      </c>
      <c r="X221" s="11" t="str">
        <f t="shared" si="7"/>
        <v>SHOPEE</v>
      </c>
    </row>
    <row r="222" spans="1:24">
      <c r="A222" s="15" t="s">
        <v>79</v>
      </c>
      <c r="B222" s="15" t="s">
        <v>80</v>
      </c>
      <c r="C222" s="15" t="s">
        <v>492</v>
      </c>
      <c r="D222" s="13">
        <v>46227.863888888889</v>
      </c>
      <c r="E222" s="15" t="s">
        <v>265</v>
      </c>
      <c r="F222" s="15" t="s">
        <v>493</v>
      </c>
      <c r="G222" s="15" t="s">
        <v>74</v>
      </c>
      <c r="H222" s="15" t="s">
        <v>75</v>
      </c>
      <c r="I222" s="14">
        <v>12000</v>
      </c>
      <c r="J222" s="15" t="s">
        <v>494</v>
      </c>
      <c r="K222" s="15" t="s">
        <v>24</v>
      </c>
      <c r="L222" s="15">
        <v>1</v>
      </c>
      <c r="M222" s="15">
        <v>0.5</v>
      </c>
      <c r="N222" s="15" t="s">
        <v>76</v>
      </c>
      <c r="O222" s="15" t="s">
        <v>76</v>
      </c>
      <c r="P222" s="14">
        <v>43918</v>
      </c>
      <c r="Q222" s="13">
        <v>46227.863888888889</v>
      </c>
      <c r="R222" s="15" t="s">
        <v>495</v>
      </c>
      <c r="S222" s="11" t="str">
        <f t="shared" si="6"/>
        <v>2026-07-24</v>
      </c>
      <c r="T222" s="11">
        <f>IF($E222="","",IF(COUNTIF($E$2:$E222,$E222)=1,1,0))</f>
        <v>0</v>
      </c>
      <c r="U222" s="11" t="str">
        <f>IF(T222=1,SUM($T$2:T222),"")</f>
        <v/>
      </c>
      <c r="V222" s="11">
        <f>IF(OR($R222="",$R222="-"),"",IF(COUNTIF($R$2:$R222,$R222)=1,1,0))</f>
        <v>1</v>
      </c>
      <c r="W222" s="11">
        <f>IF(V222=1,SUM($V$2:V222),"")</f>
        <v>82</v>
      </c>
      <c r="X222" s="11" t="str">
        <f t="shared" si="7"/>
        <v>SHOPEE</v>
      </c>
    </row>
    <row r="223" spans="1:24">
      <c r="A223" s="15" t="s">
        <v>79</v>
      </c>
      <c r="B223" s="15" t="s">
        <v>80</v>
      </c>
      <c r="C223" s="15" t="s">
        <v>496</v>
      </c>
      <c r="D223" s="13">
        <v>46227.847916666666</v>
      </c>
      <c r="E223" s="15" t="s">
        <v>265</v>
      </c>
      <c r="F223" s="15" t="s">
        <v>497</v>
      </c>
      <c r="G223" s="15" t="s">
        <v>74</v>
      </c>
      <c r="H223" s="15" t="s">
        <v>75</v>
      </c>
      <c r="I223" s="14">
        <v>12000</v>
      </c>
      <c r="J223" s="15" t="s">
        <v>81</v>
      </c>
      <c r="K223" s="15" t="s">
        <v>24</v>
      </c>
      <c r="L223" s="15">
        <v>1</v>
      </c>
      <c r="M223" s="15">
        <v>0.3</v>
      </c>
      <c r="N223" s="15" t="s">
        <v>76</v>
      </c>
      <c r="O223" s="15" t="s">
        <v>76</v>
      </c>
      <c r="P223" s="14">
        <v>99000</v>
      </c>
      <c r="Q223" s="13">
        <v>46227.847916666666</v>
      </c>
      <c r="R223" s="15" t="s">
        <v>498</v>
      </c>
      <c r="S223" s="11" t="str">
        <f t="shared" si="6"/>
        <v>2026-07-24</v>
      </c>
      <c r="T223" s="11">
        <f>IF($E223="","",IF(COUNTIF($E$2:$E223,$E223)=1,1,0))</f>
        <v>0</v>
      </c>
      <c r="U223" s="11" t="str">
        <f>IF(T223=1,SUM($T$2:T223),"")</f>
        <v/>
      </c>
      <c r="V223" s="11">
        <f>IF(OR($R223="",$R223="-"),"",IF(COUNTIF($R$2:$R223,$R223)=1,1,0))</f>
        <v>1</v>
      </c>
      <c r="W223" s="11">
        <f>IF(V223=1,SUM($V$2:V223),"")</f>
        <v>83</v>
      </c>
      <c r="X223" s="11" t="str">
        <f t="shared" si="7"/>
        <v>SHOPEE</v>
      </c>
    </row>
    <row r="224" spans="1:24">
      <c r="A224" s="15" t="s">
        <v>110</v>
      </c>
      <c r="B224" s="15" t="s">
        <v>114</v>
      </c>
      <c r="C224" s="15" t="s">
        <v>499</v>
      </c>
      <c r="D224" s="13">
        <v>46227.84375</v>
      </c>
      <c r="E224" s="15" t="s">
        <v>265</v>
      </c>
      <c r="F224" s="15" t="s">
        <v>500</v>
      </c>
      <c r="G224" s="15" t="s">
        <v>74</v>
      </c>
      <c r="H224" s="15" t="s">
        <v>75</v>
      </c>
      <c r="I224" s="14">
        <v>10000</v>
      </c>
      <c r="J224" s="15" t="s">
        <v>115</v>
      </c>
      <c r="K224" s="15" t="s">
        <v>24</v>
      </c>
      <c r="L224" s="15">
        <v>1</v>
      </c>
      <c r="M224" s="15">
        <v>1</v>
      </c>
      <c r="N224" s="15" t="s">
        <v>76</v>
      </c>
      <c r="O224" s="15" t="s">
        <v>76</v>
      </c>
      <c r="P224" s="14">
        <v>220000</v>
      </c>
      <c r="Q224" s="13">
        <v>46227.84375</v>
      </c>
      <c r="R224" s="15" t="s">
        <v>501</v>
      </c>
      <c r="S224" s="11" t="str">
        <f t="shared" si="6"/>
        <v>2026-07-24</v>
      </c>
      <c r="T224" s="11">
        <f>IF($E224="","",IF(COUNTIF($E$2:$E224,$E224)=1,1,0))</f>
        <v>0</v>
      </c>
      <c r="U224" s="11" t="str">
        <f>IF(T224=1,SUM($T$2:T224),"")</f>
        <v/>
      </c>
      <c r="V224" s="11">
        <f>IF(OR($R224="",$R224="-"),"",IF(COUNTIF($R$2:$R224,$R224)=1,1,0))</f>
        <v>1</v>
      </c>
      <c r="W224" s="11">
        <f>IF(V224=1,SUM($V$2:V224),"")</f>
        <v>84</v>
      </c>
      <c r="X224" s="11" t="str">
        <f t="shared" si="7"/>
        <v>FASHION MARKETPLACE</v>
      </c>
    </row>
    <row r="225" spans="1:24">
      <c r="A225" s="15" t="s">
        <v>110</v>
      </c>
      <c r="B225" s="15" t="s">
        <v>114</v>
      </c>
      <c r="C225" s="15" t="s">
        <v>502</v>
      </c>
      <c r="D225" s="13">
        <v>46227.840277777781</v>
      </c>
      <c r="E225" s="15" t="s">
        <v>265</v>
      </c>
      <c r="F225" s="15" t="s">
        <v>503</v>
      </c>
      <c r="G225" s="15" t="s">
        <v>74</v>
      </c>
      <c r="H225" s="15" t="s">
        <v>75</v>
      </c>
      <c r="I225" s="14">
        <v>10000</v>
      </c>
      <c r="J225" s="15" t="s">
        <v>115</v>
      </c>
      <c r="K225" s="15" t="s">
        <v>24</v>
      </c>
      <c r="L225" s="15">
        <v>1</v>
      </c>
      <c r="M225" s="15">
        <v>1</v>
      </c>
      <c r="N225" s="15" t="s">
        <v>76</v>
      </c>
      <c r="O225" s="15" t="s">
        <v>76</v>
      </c>
      <c r="P225" s="14">
        <v>399900</v>
      </c>
      <c r="Q225" s="13">
        <v>46227.842361111114</v>
      </c>
      <c r="R225" s="15" t="s">
        <v>501</v>
      </c>
      <c r="S225" s="11" t="str">
        <f t="shared" si="6"/>
        <v>2026-07-24</v>
      </c>
      <c r="T225" s="11">
        <f>IF($E225="","",IF(COUNTIF($E$2:$E225,$E225)=1,1,0))</f>
        <v>0</v>
      </c>
      <c r="U225" s="11" t="str">
        <f>IF(T225=1,SUM($T$2:T225),"")</f>
        <v/>
      </c>
      <c r="V225" s="11">
        <f>IF(OR($R225="",$R225="-"),"",IF(COUNTIF($R$2:$R225,$R225)=1,1,0))</f>
        <v>0</v>
      </c>
      <c r="W225" s="11" t="str">
        <f>IF(V225=1,SUM($V$2:V225),"")</f>
        <v/>
      </c>
      <c r="X225" s="11" t="str">
        <f t="shared" si="7"/>
        <v>FASHION MARKETPLACE</v>
      </c>
    </row>
    <row r="226" spans="1:24">
      <c r="A226" s="15" t="s">
        <v>79</v>
      </c>
      <c r="B226" s="15" t="s">
        <v>83</v>
      </c>
      <c r="C226" s="15" t="s">
        <v>504</v>
      </c>
      <c r="D226" s="13">
        <v>46227.731944444444</v>
      </c>
      <c r="E226" s="15" t="s">
        <v>265</v>
      </c>
      <c r="F226" s="15" t="s">
        <v>505</v>
      </c>
      <c r="G226" s="15" t="s">
        <v>74</v>
      </c>
      <c r="H226" s="15" t="s">
        <v>75</v>
      </c>
      <c r="I226" s="14">
        <v>36000</v>
      </c>
      <c r="J226" s="15" t="s">
        <v>204</v>
      </c>
      <c r="K226" s="15" t="s">
        <v>24</v>
      </c>
      <c r="L226" s="15">
        <v>300</v>
      </c>
      <c r="M226" s="15">
        <v>2.4</v>
      </c>
      <c r="N226" s="15" t="s">
        <v>76</v>
      </c>
      <c r="O226" s="15" t="s">
        <v>76</v>
      </c>
      <c r="P226" s="14">
        <v>300000</v>
      </c>
      <c r="Q226" s="13">
        <v>46227.731944444444</v>
      </c>
      <c r="R226" s="15" t="s">
        <v>109</v>
      </c>
      <c r="S226" s="11" t="str">
        <f t="shared" si="6"/>
        <v>2026-07-24</v>
      </c>
      <c r="T226" s="11">
        <f>IF($E226="","",IF(COUNTIF($E$2:$E226,$E226)=1,1,0))</f>
        <v>0</v>
      </c>
      <c r="U226" s="11" t="str">
        <f>IF(T226=1,SUM($T$2:T226),"")</f>
        <v/>
      </c>
      <c r="V226" s="11">
        <f>IF(OR($R226="",$R226="-"),"",IF(COUNTIF($R$2:$R226,$R226)=1,1,0))</f>
        <v>0</v>
      </c>
      <c r="W226" s="11" t="str">
        <f>IF(V226=1,SUM($V$2:V226),"")</f>
        <v/>
      </c>
      <c r="X226" s="11" t="str">
        <f t="shared" si="7"/>
        <v>SHOPEE</v>
      </c>
    </row>
    <row r="227" spans="1:24">
      <c r="A227" s="15" t="s">
        <v>79</v>
      </c>
      <c r="B227" s="15" t="s">
        <v>83</v>
      </c>
      <c r="C227" s="15" t="s">
        <v>506</v>
      </c>
      <c r="D227" s="13">
        <v>46227.731249999997</v>
      </c>
      <c r="E227" s="15" t="s">
        <v>265</v>
      </c>
      <c r="F227" s="15" t="s">
        <v>507</v>
      </c>
      <c r="G227" s="15" t="s">
        <v>74</v>
      </c>
      <c r="H227" s="15" t="s">
        <v>75</v>
      </c>
      <c r="I227" s="14">
        <v>18000</v>
      </c>
      <c r="J227" s="15" t="s">
        <v>243</v>
      </c>
      <c r="K227" s="15" t="s">
        <v>25</v>
      </c>
      <c r="L227" s="15">
        <v>2</v>
      </c>
      <c r="M227" s="15">
        <v>0.2</v>
      </c>
      <c r="N227" s="15" t="s">
        <v>76</v>
      </c>
      <c r="O227" s="15" t="s">
        <v>76</v>
      </c>
      <c r="P227" s="14">
        <v>47000</v>
      </c>
      <c r="Q227" s="13">
        <v>46227.731944444444</v>
      </c>
      <c r="R227" s="15" t="s">
        <v>90</v>
      </c>
      <c r="S227" s="11" t="str">
        <f t="shared" si="6"/>
        <v>2026-07-24</v>
      </c>
      <c r="T227" s="11">
        <f>IF($E227="","",IF(COUNTIF($E$2:$E227,$E227)=1,1,0))</f>
        <v>0</v>
      </c>
      <c r="U227" s="11" t="str">
        <f>IF(T227=1,SUM($T$2:T227),"")</f>
        <v/>
      </c>
      <c r="V227" s="11">
        <f>IF(OR($R227="",$R227="-"),"",IF(COUNTIF($R$2:$R227,$R227)=1,1,0))</f>
        <v>0</v>
      </c>
      <c r="W227" s="11" t="str">
        <f>IF(V227=1,SUM($V$2:V227),"")</f>
        <v/>
      </c>
      <c r="X227" s="11" t="str">
        <f t="shared" si="7"/>
        <v>SHOPEE</v>
      </c>
    </row>
    <row r="228" spans="1:24">
      <c r="A228" s="15" t="s">
        <v>79</v>
      </c>
      <c r="B228" s="15" t="s">
        <v>83</v>
      </c>
      <c r="C228" s="15" t="s">
        <v>506</v>
      </c>
      <c r="D228" s="13">
        <v>46227.731249999997</v>
      </c>
      <c r="E228" s="15" t="s">
        <v>265</v>
      </c>
      <c r="F228" s="15" t="s">
        <v>508</v>
      </c>
      <c r="G228" s="15" t="s">
        <v>74</v>
      </c>
      <c r="H228" s="15" t="s">
        <v>75</v>
      </c>
      <c r="I228" s="14">
        <v>12000</v>
      </c>
      <c r="J228" s="15" t="s">
        <v>301</v>
      </c>
      <c r="K228" s="15" t="s">
        <v>24</v>
      </c>
      <c r="L228" s="15">
        <v>2</v>
      </c>
      <c r="M228" s="15">
        <v>0.4</v>
      </c>
      <c r="N228" s="15" t="s">
        <v>76</v>
      </c>
      <c r="O228" s="15" t="s">
        <v>76</v>
      </c>
      <c r="P228" s="14">
        <v>114000</v>
      </c>
      <c r="Q228" s="13">
        <v>46227.731944444444</v>
      </c>
      <c r="R228" s="15" t="s">
        <v>91</v>
      </c>
      <c r="S228" s="11" t="str">
        <f t="shared" si="6"/>
        <v>2026-07-24</v>
      </c>
      <c r="T228" s="11">
        <f>IF($E228="","",IF(COUNTIF($E$2:$E228,$E228)=1,1,0))</f>
        <v>0</v>
      </c>
      <c r="U228" s="11" t="str">
        <f>IF(T228=1,SUM($T$2:T228),"")</f>
        <v/>
      </c>
      <c r="V228" s="11">
        <f>IF(OR($R228="",$R228="-"),"",IF(COUNTIF($R$2:$R228,$R228)=1,1,0))</f>
        <v>0</v>
      </c>
      <c r="W228" s="11" t="str">
        <f>IF(V228=1,SUM($V$2:V228),"")</f>
        <v/>
      </c>
      <c r="X228" s="11" t="str">
        <f t="shared" si="7"/>
        <v>SHOPEE</v>
      </c>
    </row>
    <row r="229" spans="1:24">
      <c r="A229" s="15" t="s">
        <v>79</v>
      </c>
      <c r="B229" s="15" t="s">
        <v>83</v>
      </c>
      <c r="C229" s="15" t="s">
        <v>506</v>
      </c>
      <c r="D229" s="13">
        <v>46227.731249999997</v>
      </c>
      <c r="E229" s="15" t="s">
        <v>265</v>
      </c>
      <c r="F229" s="15" t="s">
        <v>509</v>
      </c>
      <c r="G229" s="15" t="s">
        <v>74</v>
      </c>
      <c r="H229" s="15" t="s">
        <v>75</v>
      </c>
      <c r="I229" s="14">
        <v>18000</v>
      </c>
      <c r="J229" s="15" t="s">
        <v>510</v>
      </c>
      <c r="K229" s="15" t="s">
        <v>25</v>
      </c>
      <c r="L229" s="15">
        <v>2</v>
      </c>
      <c r="M229" s="15">
        <v>0.27</v>
      </c>
      <c r="N229" s="15" t="s">
        <v>76</v>
      </c>
      <c r="O229" s="15" t="s">
        <v>76</v>
      </c>
      <c r="P229" s="14">
        <v>45600</v>
      </c>
      <c r="Q229" s="13">
        <v>46227.731944444444</v>
      </c>
      <c r="R229" s="15" t="s">
        <v>90</v>
      </c>
      <c r="S229" s="11" t="str">
        <f t="shared" si="6"/>
        <v>2026-07-24</v>
      </c>
      <c r="T229" s="11">
        <f>IF($E229="","",IF(COUNTIF($E$2:$E229,$E229)=1,1,0))</f>
        <v>0</v>
      </c>
      <c r="U229" s="11" t="str">
        <f>IF(T229=1,SUM($T$2:T229),"")</f>
        <v/>
      </c>
      <c r="V229" s="11">
        <f>IF(OR($R229="",$R229="-"),"",IF(COUNTIF($R$2:$R229,$R229)=1,1,0))</f>
        <v>0</v>
      </c>
      <c r="W229" s="11" t="str">
        <f>IF(V229=1,SUM($V$2:V229),"")</f>
        <v/>
      </c>
      <c r="X229" s="11" t="str">
        <f t="shared" si="7"/>
        <v>SHOPEE</v>
      </c>
    </row>
    <row r="230" spans="1:24">
      <c r="A230" s="15" t="s">
        <v>79</v>
      </c>
      <c r="B230" s="15" t="s">
        <v>80</v>
      </c>
      <c r="C230" s="15" t="s">
        <v>511</v>
      </c>
      <c r="D230" s="13">
        <v>46227.700694444444</v>
      </c>
      <c r="E230" s="15" t="s">
        <v>111</v>
      </c>
      <c r="F230" s="15" t="s">
        <v>512</v>
      </c>
      <c r="G230" s="15" t="s">
        <v>74</v>
      </c>
      <c r="H230" s="15" t="s">
        <v>75</v>
      </c>
      <c r="I230" s="14">
        <v>12000</v>
      </c>
      <c r="J230" s="15" t="s">
        <v>100</v>
      </c>
      <c r="K230" s="15" t="s">
        <v>24</v>
      </c>
      <c r="L230" s="15">
        <v>1</v>
      </c>
      <c r="M230" s="15">
        <v>0.1</v>
      </c>
      <c r="N230" s="15" t="s">
        <v>76</v>
      </c>
      <c r="O230" s="15" t="s">
        <v>76</v>
      </c>
      <c r="P230" s="14">
        <v>83999</v>
      </c>
      <c r="Q230" s="13">
        <v>46227.700694444444</v>
      </c>
      <c r="R230" s="15" t="s">
        <v>513</v>
      </c>
      <c r="S230" s="11" t="str">
        <f t="shared" si="6"/>
        <v>2026-07-24</v>
      </c>
      <c r="T230" s="11">
        <f>IF($E230="","",IF(COUNTIF($E$2:$E230,$E230)=1,1,0))</f>
        <v>0</v>
      </c>
      <c r="U230" s="11" t="str">
        <f>IF(T230=1,SUM($T$2:T230),"")</f>
        <v/>
      </c>
      <c r="V230" s="11">
        <f>IF(OR($R230="",$R230="-"),"",IF(COUNTIF($R$2:$R230,$R230)=1,1,0))</f>
        <v>0</v>
      </c>
      <c r="W230" s="11" t="str">
        <f>IF(V230=1,SUM($V$2:V230),"")</f>
        <v/>
      </c>
      <c r="X230" s="11" t="str">
        <f t="shared" si="7"/>
        <v>SHOPEE</v>
      </c>
    </row>
    <row r="231" spans="1:24">
      <c r="A231" s="15" t="s">
        <v>79</v>
      </c>
      <c r="B231" s="15" t="s">
        <v>80</v>
      </c>
      <c r="C231" s="15" t="s">
        <v>514</v>
      </c>
      <c r="D231" s="13">
        <v>46227.694444444445</v>
      </c>
      <c r="E231" s="15" t="s">
        <v>111</v>
      </c>
      <c r="F231" s="15" t="s">
        <v>515</v>
      </c>
      <c r="G231" s="15" t="s">
        <v>74</v>
      </c>
      <c r="H231" s="15" t="s">
        <v>75</v>
      </c>
      <c r="I231" s="14">
        <v>12000</v>
      </c>
      <c r="J231" s="15" t="s">
        <v>96</v>
      </c>
      <c r="K231" s="15" t="s">
        <v>24</v>
      </c>
      <c r="L231" s="15">
        <v>1</v>
      </c>
      <c r="M231" s="15">
        <v>0.6</v>
      </c>
      <c r="N231" s="15" t="s">
        <v>76</v>
      </c>
      <c r="O231" s="15" t="s">
        <v>76</v>
      </c>
      <c r="P231" s="14">
        <v>289000</v>
      </c>
      <c r="Q231" s="13">
        <v>46227.694444444445</v>
      </c>
      <c r="R231" s="15" t="s">
        <v>516</v>
      </c>
      <c r="S231" s="11" t="str">
        <f t="shared" si="6"/>
        <v>2026-07-24</v>
      </c>
      <c r="T231" s="11">
        <f>IF($E231="","",IF(COUNTIF($E$2:$E231,$E231)=1,1,0))</f>
        <v>0</v>
      </c>
      <c r="U231" s="11" t="str">
        <f>IF(T231=1,SUM($T$2:T231),"")</f>
        <v/>
      </c>
      <c r="V231" s="11">
        <f>IF(OR($R231="",$R231="-"),"",IF(COUNTIF($R$2:$R231,$R231)=1,1,0))</f>
        <v>0</v>
      </c>
      <c r="W231" s="11" t="str">
        <f>IF(V231=1,SUM($V$2:V231),"")</f>
        <v/>
      </c>
      <c r="X231" s="11" t="str">
        <f t="shared" si="7"/>
        <v>SHOPEE</v>
      </c>
    </row>
    <row r="232" spans="1:24">
      <c r="A232" s="15" t="s">
        <v>79</v>
      </c>
      <c r="B232" s="15" t="s">
        <v>80</v>
      </c>
      <c r="C232" s="15" t="s">
        <v>517</v>
      </c>
      <c r="D232" s="13">
        <v>46227.675000000003</v>
      </c>
      <c r="E232" s="15" t="s">
        <v>265</v>
      </c>
      <c r="F232" s="15" t="s">
        <v>518</v>
      </c>
      <c r="G232" s="15" t="s">
        <v>74</v>
      </c>
      <c r="H232" s="15" t="s">
        <v>75</v>
      </c>
      <c r="I232" s="14">
        <v>12000</v>
      </c>
      <c r="J232" s="15" t="s">
        <v>216</v>
      </c>
      <c r="K232" s="15" t="s">
        <v>24</v>
      </c>
      <c r="L232" s="15">
        <v>1</v>
      </c>
      <c r="M232" s="15">
        <v>0.02</v>
      </c>
      <c r="N232" s="15" t="s">
        <v>76</v>
      </c>
      <c r="O232" s="15" t="s">
        <v>76</v>
      </c>
      <c r="P232" s="14">
        <v>12250</v>
      </c>
      <c r="Q232" s="13">
        <v>46227.675000000003</v>
      </c>
      <c r="R232" s="15" t="s">
        <v>127</v>
      </c>
      <c r="S232" s="11" t="str">
        <f t="shared" si="6"/>
        <v>2026-07-24</v>
      </c>
      <c r="T232" s="11">
        <f>IF($E232="","",IF(COUNTIF($E$2:$E232,$E232)=1,1,0))</f>
        <v>0</v>
      </c>
      <c r="U232" s="11" t="str">
        <f>IF(T232=1,SUM($T$2:T232),"")</f>
        <v/>
      </c>
      <c r="V232" s="11">
        <f>IF(OR($R232="",$R232="-"),"",IF(COUNTIF($R$2:$R232,$R232)=1,1,0))</f>
        <v>0</v>
      </c>
      <c r="W232" s="11" t="str">
        <f>IF(V232=1,SUM($V$2:V232),"")</f>
        <v/>
      </c>
      <c r="X232" s="11" t="str">
        <f t="shared" si="7"/>
        <v>SHOPEE</v>
      </c>
    </row>
    <row r="233" spans="1:24">
      <c r="A233" s="15" t="s">
        <v>79</v>
      </c>
      <c r="B233" s="15" t="s">
        <v>83</v>
      </c>
      <c r="C233" s="15" t="s">
        <v>519</v>
      </c>
      <c r="D233" s="13">
        <v>46227.585416666669</v>
      </c>
      <c r="E233" s="15" t="s">
        <v>265</v>
      </c>
      <c r="F233" s="15" t="s">
        <v>520</v>
      </c>
      <c r="G233" s="15" t="s">
        <v>74</v>
      </c>
      <c r="H233" s="15" t="s">
        <v>75</v>
      </c>
      <c r="I233" s="14">
        <v>34000</v>
      </c>
      <c r="J233" s="15" t="s">
        <v>521</v>
      </c>
      <c r="K233" s="15" t="s">
        <v>24</v>
      </c>
      <c r="L233" s="15">
        <v>1</v>
      </c>
      <c r="M233" s="15">
        <v>1</v>
      </c>
      <c r="N233" s="15" t="s">
        <v>76</v>
      </c>
      <c r="O233" s="15" t="s">
        <v>76</v>
      </c>
      <c r="P233" s="14">
        <v>100000</v>
      </c>
      <c r="Q233" s="13">
        <v>46227.585416666669</v>
      </c>
      <c r="R233" s="15" t="s">
        <v>287</v>
      </c>
      <c r="S233" s="11" t="str">
        <f t="shared" si="6"/>
        <v>2026-07-24</v>
      </c>
      <c r="T233" s="11">
        <f>IF($E233="","",IF(COUNTIF($E$2:$E233,$E233)=1,1,0))</f>
        <v>0</v>
      </c>
      <c r="U233" s="11" t="str">
        <f>IF(T233=1,SUM($T$2:T233),"")</f>
        <v/>
      </c>
      <c r="V233" s="11">
        <f>IF(OR($R233="",$R233="-"),"",IF(COUNTIF($R$2:$R233,$R233)=1,1,0))</f>
        <v>0</v>
      </c>
      <c r="W233" s="11" t="str">
        <f>IF(V233=1,SUM($V$2:V233),"")</f>
        <v/>
      </c>
      <c r="X233" s="11" t="str">
        <f t="shared" si="7"/>
        <v>SHOPEE</v>
      </c>
    </row>
    <row r="234" spans="1:24">
      <c r="A234" s="15" t="s">
        <v>79</v>
      </c>
      <c r="B234" s="15" t="s">
        <v>83</v>
      </c>
      <c r="C234" s="15" t="s">
        <v>522</v>
      </c>
      <c r="D234" s="13">
        <v>46227.558333333334</v>
      </c>
      <c r="E234" s="15" t="s">
        <v>95</v>
      </c>
      <c r="F234" s="15" t="s">
        <v>523</v>
      </c>
      <c r="G234" s="15" t="s">
        <v>74</v>
      </c>
      <c r="H234" s="15" t="s">
        <v>75</v>
      </c>
      <c r="I234" s="14">
        <v>18000</v>
      </c>
      <c r="J234" s="15" t="s">
        <v>524</v>
      </c>
      <c r="K234" s="15" t="s">
        <v>25</v>
      </c>
      <c r="L234" s="15">
        <v>4</v>
      </c>
      <c r="M234" s="15">
        <v>0.13</v>
      </c>
      <c r="N234" s="15" t="s">
        <v>76</v>
      </c>
      <c r="O234" s="15" t="s">
        <v>76</v>
      </c>
      <c r="P234" s="14">
        <v>46600</v>
      </c>
      <c r="Q234" s="13">
        <v>46227.558333333334</v>
      </c>
      <c r="R234" s="15" t="s">
        <v>181</v>
      </c>
      <c r="S234" s="11" t="str">
        <f t="shared" si="6"/>
        <v>2026-07-24</v>
      </c>
      <c r="T234" s="11">
        <f>IF($E234="","",IF(COUNTIF($E$2:$E234,$E234)=1,1,0))</f>
        <v>0</v>
      </c>
      <c r="U234" s="11" t="str">
        <f>IF(T234=1,SUM($T$2:T234),"")</f>
        <v/>
      </c>
      <c r="V234" s="11">
        <f>IF(OR($R234="",$R234="-"),"",IF(COUNTIF($R$2:$R234,$R234)=1,1,0))</f>
        <v>0</v>
      </c>
      <c r="W234" s="11" t="str">
        <f>IF(V234=1,SUM($V$2:V234),"")</f>
        <v/>
      </c>
      <c r="X234" s="11" t="str">
        <f t="shared" si="7"/>
        <v>SHOPEE</v>
      </c>
    </row>
    <row r="235" spans="1:24">
      <c r="A235" s="15" t="s">
        <v>79</v>
      </c>
      <c r="B235" s="15" t="s">
        <v>83</v>
      </c>
      <c r="C235" s="15" t="s">
        <v>525</v>
      </c>
      <c r="D235" s="13">
        <v>46227.493055555555</v>
      </c>
      <c r="E235" s="15" t="s">
        <v>95</v>
      </c>
      <c r="F235" s="15" t="s">
        <v>526</v>
      </c>
      <c r="G235" s="15" t="s">
        <v>74</v>
      </c>
      <c r="H235" s="15" t="s">
        <v>75</v>
      </c>
      <c r="I235" s="14">
        <v>12000</v>
      </c>
      <c r="J235" s="15" t="s">
        <v>218</v>
      </c>
      <c r="K235" s="15" t="s">
        <v>24</v>
      </c>
      <c r="L235" s="15">
        <v>1</v>
      </c>
      <c r="M235" s="15">
        <v>1</v>
      </c>
      <c r="N235" s="15" t="s">
        <v>76</v>
      </c>
      <c r="O235" s="15" t="s">
        <v>76</v>
      </c>
      <c r="P235" s="14">
        <v>165000</v>
      </c>
      <c r="Q235" s="13">
        <v>46227.493055555555</v>
      </c>
      <c r="R235" s="15" t="s">
        <v>98</v>
      </c>
      <c r="S235" s="11" t="str">
        <f t="shared" si="6"/>
        <v>2026-07-24</v>
      </c>
      <c r="T235" s="11">
        <f>IF($E235="","",IF(COUNTIF($E$2:$E235,$E235)=1,1,0))</f>
        <v>0</v>
      </c>
      <c r="U235" s="11" t="str">
        <f>IF(T235=1,SUM($T$2:T235),"")</f>
        <v/>
      </c>
      <c r="V235" s="11">
        <f>IF(OR($R235="",$R235="-"),"",IF(COUNTIF($R$2:$R235,$R235)=1,1,0))</f>
        <v>0</v>
      </c>
      <c r="W235" s="11" t="str">
        <f>IF(V235=1,SUM($V$2:V235),"")</f>
        <v/>
      </c>
      <c r="X235" s="11" t="str">
        <f t="shared" si="7"/>
        <v>SHOPEE</v>
      </c>
    </row>
    <row r="236" spans="1:24">
      <c r="A236" s="15" t="s">
        <v>79</v>
      </c>
      <c r="B236" s="15" t="s">
        <v>80</v>
      </c>
      <c r="C236" s="15" t="s">
        <v>527</v>
      </c>
      <c r="D236" s="13">
        <v>46226.864583333336</v>
      </c>
      <c r="E236" s="15" t="s">
        <v>265</v>
      </c>
      <c r="F236" s="15" t="s">
        <v>528</v>
      </c>
      <c r="G236" s="15" t="s">
        <v>74</v>
      </c>
      <c r="H236" s="15" t="s">
        <v>75</v>
      </c>
      <c r="I236" s="14">
        <v>24000</v>
      </c>
      <c r="J236" s="15" t="s">
        <v>132</v>
      </c>
      <c r="K236" s="15" t="s">
        <v>24</v>
      </c>
      <c r="L236" s="15">
        <v>1</v>
      </c>
      <c r="M236" s="15">
        <v>2.2000000000000002</v>
      </c>
      <c r="N236" s="15" t="s">
        <v>76</v>
      </c>
      <c r="O236" s="15" t="s">
        <v>76</v>
      </c>
      <c r="P236" s="14">
        <v>60140</v>
      </c>
      <c r="Q236" s="13">
        <v>46226.864583333336</v>
      </c>
      <c r="R236" s="15" t="s">
        <v>529</v>
      </c>
      <c r="S236" s="11" t="str">
        <f t="shared" si="6"/>
        <v>2026-07-23</v>
      </c>
      <c r="T236" s="11">
        <f>IF($E236="","",IF(COUNTIF($E$2:$E236,$E236)=1,1,0))</f>
        <v>0</v>
      </c>
      <c r="U236" s="11" t="str">
        <f>IF(T236=1,SUM($T$2:T236),"")</f>
        <v/>
      </c>
      <c r="V236" s="11">
        <f>IF(OR($R236="",$R236="-"),"",IF(COUNTIF($R$2:$R236,$R236)=1,1,0))</f>
        <v>1</v>
      </c>
      <c r="W236" s="11">
        <f>IF(V236=1,SUM($V$2:V236),"")</f>
        <v>85</v>
      </c>
      <c r="X236" s="11" t="str">
        <f t="shared" si="7"/>
        <v>SHOPEE</v>
      </c>
    </row>
    <row r="237" spans="1:24">
      <c r="A237" s="15" t="s">
        <v>79</v>
      </c>
      <c r="B237" s="15" t="s">
        <v>83</v>
      </c>
      <c r="C237" s="15" t="s">
        <v>530</v>
      </c>
      <c r="D237" s="13">
        <v>46226.818749999999</v>
      </c>
      <c r="E237" s="15" t="s">
        <v>95</v>
      </c>
      <c r="F237" s="15" t="s">
        <v>531</v>
      </c>
      <c r="G237" s="15" t="s">
        <v>74</v>
      </c>
      <c r="H237" s="15" t="s">
        <v>75</v>
      </c>
      <c r="I237" s="14">
        <v>6000</v>
      </c>
      <c r="J237" s="15" t="s">
        <v>532</v>
      </c>
      <c r="K237" s="15" t="s">
        <v>27</v>
      </c>
      <c r="L237" s="15">
        <v>1</v>
      </c>
      <c r="M237" s="15">
        <v>0.2</v>
      </c>
      <c r="N237" s="15" t="s">
        <v>76</v>
      </c>
      <c r="O237" s="15" t="s">
        <v>76</v>
      </c>
      <c r="P237" s="14">
        <v>25000</v>
      </c>
      <c r="Q237" s="13">
        <v>46226.818749999999</v>
      </c>
      <c r="R237" s="15" t="s">
        <v>289</v>
      </c>
      <c r="S237" s="11" t="str">
        <f t="shared" si="6"/>
        <v>2026-07-23</v>
      </c>
      <c r="T237" s="11">
        <f>IF($E237="","",IF(COUNTIF($E$2:$E237,$E237)=1,1,0))</f>
        <v>0</v>
      </c>
      <c r="U237" s="11" t="str">
        <f>IF(T237=1,SUM($T$2:T237),"")</f>
        <v/>
      </c>
      <c r="V237" s="11">
        <f>IF(OR($R237="",$R237="-"),"",IF(COUNTIF($R$2:$R237,$R237)=1,1,0))</f>
        <v>1</v>
      </c>
      <c r="W237" s="11">
        <f>IF(V237=1,SUM($V$2:V237),"")</f>
        <v>86</v>
      </c>
      <c r="X237" s="11" t="str">
        <f t="shared" si="7"/>
        <v>SHOPEE</v>
      </c>
    </row>
    <row r="238" spans="1:24">
      <c r="A238" s="15" t="s">
        <v>79</v>
      </c>
      <c r="B238" s="15" t="s">
        <v>83</v>
      </c>
      <c r="C238" s="15" t="s">
        <v>533</v>
      </c>
      <c r="D238" s="13">
        <v>46226.818749999999</v>
      </c>
      <c r="E238" s="15" t="s">
        <v>95</v>
      </c>
      <c r="F238" s="15" t="s">
        <v>534</v>
      </c>
      <c r="G238" s="15" t="s">
        <v>74</v>
      </c>
      <c r="H238" s="15" t="s">
        <v>75</v>
      </c>
      <c r="I238" s="14">
        <v>12000</v>
      </c>
      <c r="J238" s="15" t="s">
        <v>163</v>
      </c>
      <c r="K238" s="15" t="s">
        <v>24</v>
      </c>
      <c r="L238" s="15">
        <v>1</v>
      </c>
      <c r="M238" s="15">
        <v>0.2</v>
      </c>
      <c r="N238" s="15" t="s">
        <v>76</v>
      </c>
      <c r="O238" s="15" t="s">
        <v>76</v>
      </c>
      <c r="P238" s="14">
        <v>469647</v>
      </c>
      <c r="Q238" s="13">
        <v>46226.818749999999</v>
      </c>
      <c r="R238" s="15" t="s">
        <v>211</v>
      </c>
      <c r="S238" s="11" t="str">
        <f t="shared" si="6"/>
        <v>2026-07-23</v>
      </c>
      <c r="T238" s="11">
        <f>IF($E238="","",IF(COUNTIF($E$2:$E238,$E238)=1,1,0))</f>
        <v>0</v>
      </c>
      <c r="U238" s="11" t="str">
        <f>IF(T238=1,SUM($T$2:T238),"")</f>
        <v/>
      </c>
      <c r="V238" s="11">
        <f>IF(OR($R238="",$R238="-"),"",IF(COUNTIF($R$2:$R238,$R238)=1,1,0))</f>
        <v>1</v>
      </c>
      <c r="W238" s="11">
        <f>IF(V238=1,SUM($V$2:V238),"")</f>
        <v>87</v>
      </c>
      <c r="X238" s="11" t="str">
        <f t="shared" si="7"/>
        <v>SHOPEE</v>
      </c>
    </row>
    <row r="239" spans="1:24">
      <c r="A239" s="15" t="s">
        <v>79</v>
      </c>
      <c r="B239" s="15" t="s">
        <v>83</v>
      </c>
      <c r="C239" s="15" t="s">
        <v>535</v>
      </c>
      <c r="D239" s="13">
        <v>46226.802083333336</v>
      </c>
      <c r="E239" s="15" t="s">
        <v>111</v>
      </c>
      <c r="F239" s="15" t="s">
        <v>536</v>
      </c>
      <c r="G239" s="15" t="s">
        <v>74</v>
      </c>
      <c r="H239" s="15" t="s">
        <v>75</v>
      </c>
      <c r="I239" s="14">
        <v>9000</v>
      </c>
      <c r="J239" s="15" t="s">
        <v>537</v>
      </c>
      <c r="K239" s="15" t="s">
        <v>27</v>
      </c>
      <c r="L239" s="15">
        <v>1</v>
      </c>
      <c r="M239" s="15">
        <v>0.1</v>
      </c>
      <c r="N239" s="15" t="s">
        <v>76</v>
      </c>
      <c r="O239" s="15" t="s">
        <v>76</v>
      </c>
      <c r="P239" s="14">
        <v>39100</v>
      </c>
      <c r="Q239" s="13">
        <v>46226.802777777775</v>
      </c>
      <c r="R239" s="15" t="s">
        <v>118</v>
      </c>
      <c r="S239" s="11" t="str">
        <f t="shared" si="6"/>
        <v>2026-07-23</v>
      </c>
      <c r="T239" s="11">
        <f>IF($E239="","",IF(COUNTIF($E$2:$E239,$E239)=1,1,0))</f>
        <v>0</v>
      </c>
      <c r="U239" s="11" t="str">
        <f>IF(T239=1,SUM($T$2:T239),"")</f>
        <v/>
      </c>
      <c r="V239" s="11">
        <f>IF(OR($R239="",$R239="-"),"",IF(COUNTIF($R$2:$R239,$R239)=1,1,0))</f>
        <v>0</v>
      </c>
      <c r="W239" s="11" t="str">
        <f>IF(V239=1,SUM($V$2:V239),"")</f>
        <v/>
      </c>
      <c r="X239" s="11" t="str">
        <f t="shared" si="7"/>
        <v>SHOPEE</v>
      </c>
    </row>
    <row r="240" spans="1:24">
      <c r="A240" s="15" t="s">
        <v>79</v>
      </c>
      <c r="B240" s="15" t="s">
        <v>83</v>
      </c>
      <c r="C240" s="15" t="s">
        <v>535</v>
      </c>
      <c r="D240" s="13">
        <v>46226.802083333336</v>
      </c>
      <c r="E240" s="15" t="s">
        <v>111</v>
      </c>
      <c r="F240" s="15" t="s">
        <v>538</v>
      </c>
      <c r="G240" s="15" t="s">
        <v>74</v>
      </c>
      <c r="H240" s="15" t="s">
        <v>75</v>
      </c>
      <c r="I240" s="14">
        <v>15000</v>
      </c>
      <c r="J240" s="15" t="s">
        <v>174</v>
      </c>
      <c r="K240" s="15" t="s">
        <v>25</v>
      </c>
      <c r="L240" s="15">
        <v>3</v>
      </c>
      <c r="M240" s="15">
        <v>0.32</v>
      </c>
      <c r="N240" s="15" t="s">
        <v>76</v>
      </c>
      <c r="O240" s="15" t="s">
        <v>76</v>
      </c>
      <c r="P240" s="14">
        <v>684000</v>
      </c>
      <c r="Q240" s="13">
        <v>46226.802777777775</v>
      </c>
      <c r="R240" s="15" t="s">
        <v>143</v>
      </c>
      <c r="S240" s="11" t="str">
        <f t="shared" si="6"/>
        <v>2026-07-23</v>
      </c>
      <c r="T240" s="11">
        <f>IF($E240="","",IF(COUNTIF($E$2:$E240,$E240)=1,1,0))</f>
        <v>0</v>
      </c>
      <c r="U240" s="11" t="str">
        <f>IF(T240=1,SUM($T$2:T240),"")</f>
        <v/>
      </c>
      <c r="V240" s="11">
        <f>IF(OR($R240="",$R240="-"),"",IF(COUNTIF($R$2:$R240,$R240)=1,1,0))</f>
        <v>0</v>
      </c>
      <c r="W240" s="11" t="str">
        <f>IF(V240=1,SUM($V$2:V240),"")</f>
        <v/>
      </c>
      <c r="X240" s="11" t="str">
        <f t="shared" si="7"/>
        <v>SHOPEE</v>
      </c>
    </row>
    <row r="241" spans="1:24">
      <c r="A241" s="15" t="s">
        <v>79</v>
      </c>
      <c r="B241" s="15" t="s">
        <v>80</v>
      </c>
      <c r="C241" s="15" t="s">
        <v>539</v>
      </c>
      <c r="D241" s="13">
        <v>46226.775694444441</v>
      </c>
      <c r="E241" s="15" t="s">
        <v>111</v>
      </c>
      <c r="F241" s="15" t="s">
        <v>540</v>
      </c>
      <c r="G241" s="15" t="s">
        <v>74</v>
      </c>
      <c r="H241" s="15" t="s">
        <v>75</v>
      </c>
      <c r="I241" s="14">
        <v>12000</v>
      </c>
      <c r="J241" s="15" t="s">
        <v>315</v>
      </c>
      <c r="K241" s="15" t="s">
        <v>24</v>
      </c>
      <c r="L241" s="15">
        <v>2</v>
      </c>
      <c r="M241" s="15">
        <v>0.72</v>
      </c>
      <c r="N241" s="15" t="s">
        <v>76</v>
      </c>
      <c r="O241" s="15" t="s">
        <v>76</v>
      </c>
      <c r="P241" s="14">
        <v>299999</v>
      </c>
      <c r="Q241" s="13">
        <v>46226.776388888888</v>
      </c>
      <c r="R241" s="15" t="s">
        <v>541</v>
      </c>
      <c r="S241" s="11" t="str">
        <f t="shared" si="6"/>
        <v>2026-07-23</v>
      </c>
      <c r="T241" s="11">
        <f>IF($E241="","",IF(COUNTIF($E$2:$E241,$E241)=1,1,0))</f>
        <v>0</v>
      </c>
      <c r="U241" s="11" t="str">
        <f>IF(T241=1,SUM($T$2:T241),"")</f>
        <v/>
      </c>
      <c r="V241" s="11">
        <f>IF(OR($R241="",$R241="-"),"",IF(COUNTIF($R$2:$R241,$R241)=1,1,0))</f>
        <v>1</v>
      </c>
      <c r="W241" s="11">
        <f>IF(V241=1,SUM($V$2:V241),"")</f>
        <v>88</v>
      </c>
      <c r="X241" s="11" t="str">
        <f t="shared" si="7"/>
        <v>SHOPEE</v>
      </c>
    </row>
    <row r="242" spans="1:24">
      <c r="A242" s="15" t="s">
        <v>79</v>
      </c>
      <c r="B242" s="15" t="s">
        <v>83</v>
      </c>
      <c r="C242" s="15" t="s">
        <v>542</v>
      </c>
      <c r="D242" s="13">
        <v>46226.725694444445</v>
      </c>
      <c r="E242" s="15" t="s">
        <v>265</v>
      </c>
      <c r="F242" s="15" t="s">
        <v>543</v>
      </c>
      <c r="G242" s="15" t="s">
        <v>74</v>
      </c>
      <c r="H242" s="15" t="s">
        <v>75</v>
      </c>
      <c r="I242" s="14">
        <v>12000</v>
      </c>
      <c r="J242" s="15" t="s">
        <v>229</v>
      </c>
      <c r="K242" s="15" t="s">
        <v>24</v>
      </c>
      <c r="L242" s="15">
        <v>2</v>
      </c>
      <c r="M242" s="15">
        <v>0.5</v>
      </c>
      <c r="N242" s="15" t="s">
        <v>76</v>
      </c>
      <c r="O242" s="15" t="s">
        <v>76</v>
      </c>
      <c r="P242" s="14">
        <v>122000</v>
      </c>
      <c r="Q242" s="13">
        <v>46226.725694444445</v>
      </c>
      <c r="R242" s="15" t="s">
        <v>170</v>
      </c>
      <c r="S242" s="11" t="str">
        <f t="shared" si="6"/>
        <v>2026-07-23</v>
      </c>
      <c r="T242" s="11">
        <f>IF($E242="","",IF(COUNTIF($E$2:$E242,$E242)=1,1,0))</f>
        <v>0</v>
      </c>
      <c r="U242" s="11" t="str">
        <f>IF(T242=1,SUM($T$2:T242),"")</f>
        <v/>
      </c>
      <c r="V242" s="11">
        <f>IF(OR($R242="",$R242="-"),"",IF(COUNTIF($R$2:$R242,$R242)=1,1,0))</f>
        <v>1</v>
      </c>
      <c r="W242" s="11">
        <f>IF(V242=1,SUM($V$2:V242),"")</f>
        <v>89</v>
      </c>
      <c r="X242" s="11" t="str">
        <f t="shared" si="7"/>
        <v>SHOPEE</v>
      </c>
    </row>
    <row r="243" spans="1:24">
      <c r="A243" s="15" t="s">
        <v>79</v>
      </c>
      <c r="B243" s="15" t="s">
        <v>83</v>
      </c>
      <c r="C243" s="15" t="s">
        <v>544</v>
      </c>
      <c r="D243" s="13">
        <v>46226.670138888891</v>
      </c>
      <c r="E243" s="15" t="s">
        <v>265</v>
      </c>
      <c r="F243" s="15" t="s">
        <v>545</v>
      </c>
      <c r="G243" s="15" t="s">
        <v>74</v>
      </c>
      <c r="H243" s="15" t="s">
        <v>75</v>
      </c>
      <c r="I243" s="14">
        <v>60000</v>
      </c>
      <c r="J243" s="15" t="s">
        <v>546</v>
      </c>
      <c r="K243" s="15" t="s">
        <v>24</v>
      </c>
      <c r="L243" s="15">
        <v>2</v>
      </c>
      <c r="M243" s="15">
        <v>0.6</v>
      </c>
      <c r="N243" s="15" t="s">
        <v>76</v>
      </c>
      <c r="O243" s="15" t="s">
        <v>76</v>
      </c>
      <c r="P243" s="14">
        <v>1050000</v>
      </c>
      <c r="Q243" s="13">
        <v>46226.670138888891</v>
      </c>
      <c r="R243" s="15" t="s">
        <v>298</v>
      </c>
      <c r="S243" s="11" t="str">
        <f t="shared" si="6"/>
        <v>2026-07-23</v>
      </c>
      <c r="T243" s="11">
        <f>IF($E243="","",IF(COUNTIF($E$2:$E243,$E243)=1,1,0))</f>
        <v>0</v>
      </c>
      <c r="U243" s="11" t="str">
        <f>IF(T243=1,SUM($T$2:T243),"")</f>
        <v/>
      </c>
      <c r="V243" s="11">
        <f>IF(OR($R243="",$R243="-"),"",IF(COUNTIF($R$2:$R243,$R243)=1,1,0))</f>
        <v>1</v>
      </c>
      <c r="W243" s="11">
        <f>IF(V243=1,SUM($V$2:V243),"")</f>
        <v>90</v>
      </c>
      <c r="X243" s="11" t="str">
        <f t="shared" si="7"/>
        <v>SHOPEE</v>
      </c>
    </row>
    <row r="244" spans="1:24">
      <c r="A244" s="15" t="s">
        <v>79</v>
      </c>
      <c r="B244" s="15" t="s">
        <v>83</v>
      </c>
      <c r="C244" s="15" t="s">
        <v>547</v>
      </c>
      <c r="D244" s="13">
        <v>46226.62777777778</v>
      </c>
      <c r="E244" s="15" t="s">
        <v>111</v>
      </c>
      <c r="F244" s="15" t="s">
        <v>548</v>
      </c>
      <c r="G244" s="15" t="s">
        <v>74</v>
      </c>
      <c r="H244" s="15" t="s">
        <v>75</v>
      </c>
      <c r="I244" s="14">
        <v>12000</v>
      </c>
      <c r="J244" s="15" t="s">
        <v>185</v>
      </c>
      <c r="K244" s="15" t="s">
        <v>24</v>
      </c>
      <c r="L244" s="15">
        <v>7</v>
      </c>
      <c r="M244" s="15">
        <v>0.43</v>
      </c>
      <c r="N244" s="15" t="s">
        <v>76</v>
      </c>
      <c r="O244" s="15" t="s">
        <v>76</v>
      </c>
      <c r="P244" s="14">
        <v>98200</v>
      </c>
      <c r="Q244" s="13">
        <v>46226.631249999999</v>
      </c>
      <c r="R244" s="15" t="s">
        <v>91</v>
      </c>
      <c r="S244" s="11" t="str">
        <f t="shared" si="6"/>
        <v>2026-07-23</v>
      </c>
      <c r="T244" s="11">
        <f>IF($E244="","",IF(COUNTIF($E$2:$E244,$E244)=1,1,0))</f>
        <v>0</v>
      </c>
      <c r="U244" s="11" t="str">
        <f>IF(T244=1,SUM($T$2:T244),"")</f>
        <v/>
      </c>
      <c r="V244" s="11">
        <f>IF(OR($R244="",$R244="-"),"",IF(COUNTIF($R$2:$R244,$R244)=1,1,0))</f>
        <v>0</v>
      </c>
      <c r="W244" s="11" t="str">
        <f>IF(V244=1,SUM($V$2:V244),"")</f>
        <v/>
      </c>
      <c r="X244" s="11" t="str">
        <f t="shared" si="7"/>
        <v>SHOPEE</v>
      </c>
    </row>
    <row r="245" spans="1:24">
      <c r="A245" s="15" t="s">
        <v>79</v>
      </c>
      <c r="B245" s="15" t="s">
        <v>83</v>
      </c>
      <c r="C245" s="15" t="s">
        <v>547</v>
      </c>
      <c r="D245" s="13">
        <v>46226.62777777778</v>
      </c>
      <c r="E245" s="15" t="s">
        <v>111</v>
      </c>
      <c r="F245" s="15" t="s">
        <v>549</v>
      </c>
      <c r="G245" s="15" t="s">
        <v>74</v>
      </c>
      <c r="H245" s="15" t="s">
        <v>75</v>
      </c>
      <c r="I245" s="14">
        <v>14000</v>
      </c>
      <c r="J245" s="15" t="s">
        <v>550</v>
      </c>
      <c r="K245" s="15" t="s">
        <v>24</v>
      </c>
      <c r="L245" s="15">
        <v>1</v>
      </c>
      <c r="M245" s="15">
        <v>0.2</v>
      </c>
      <c r="N245" s="15" t="s">
        <v>76</v>
      </c>
      <c r="O245" s="15" t="s">
        <v>76</v>
      </c>
      <c r="P245" s="14">
        <v>60000</v>
      </c>
      <c r="Q245" s="13">
        <v>46226.631249999999</v>
      </c>
      <c r="R245" s="15" t="s">
        <v>91</v>
      </c>
      <c r="S245" s="11" t="str">
        <f t="shared" si="6"/>
        <v>2026-07-23</v>
      </c>
      <c r="T245" s="11">
        <f>IF($E245="","",IF(COUNTIF($E$2:$E245,$E245)=1,1,0))</f>
        <v>0</v>
      </c>
      <c r="U245" s="11" t="str">
        <f>IF(T245=1,SUM($T$2:T245),"")</f>
        <v/>
      </c>
      <c r="V245" s="11">
        <f>IF(OR($R245="",$R245="-"),"",IF(COUNTIF($R$2:$R245,$R245)=1,1,0))</f>
        <v>0</v>
      </c>
      <c r="W245" s="11" t="str">
        <f>IF(V245=1,SUM($V$2:V245),"")</f>
        <v/>
      </c>
      <c r="X245" s="11" t="str">
        <f t="shared" si="7"/>
        <v>SHOPEE</v>
      </c>
    </row>
    <row r="246" spans="1:24">
      <c r="A246" s="15" t="s">
        <v>79</v>
      </c>
      <c r="B246" s="15" t="s">
        <v>83</v>
      </c>
      <c r="C246" s="15" t="s">
        <v>551</v>
      </c>
      <c r="D246" s="13">
        <v>46226.574305555558</v>
      </c>
      <c r="E246" s="15" t="s">
        <v>111</v>
      </c>
      <c r="F246" s="15" t="s">
        <v>552</v>
      </c>
      <c r="G246" s="15" t="s">
        <v>74</v>
      </c>
      <c r="H246" s="15" t="s">
        <v>75</v>
      </c>
      <c r="I246" s="14">
        <v>24000</v>
      </c>
      <c r="J246" s="15" t="s">
        <v>200</v>
      </c>
      <c r="K246" s="15" t="s">
        <v>24</v>
      </c>
      <c r="L246" s="15">
        <v>1</v>
      </c>
      <c r="M246" s="15">
        <v>1.5</v>
      </c>
      <c r="N246" s="15" t="s">
        <v>76</v>
      </c>
      <c r="O246" s="15" t="s">
        <v>76</v>
      </c>
      <c r="P246" s="14">
        <v>63888</v>
      </c>
      <c r="Q246" s="13">
        <v>46226.574305555558</v>
      </c>
      <c r="R246" s="15" t="s">
        <v>434</v>
      </c>
      <c r="S246" s="11" t="str">
        <f t="shared" si="6"/>
        <v>2026-07-23</v>
      </c>
      <c r="T246" s="11">
        <f>IF($E246="","",IF(COUNTIF($E$2:$E246,$E246)=1,1,0))</f>
        <v>0</v>
      </c>
      <c r="U246" s="11" t="str">
        <f>IF(T246=1,SUM($T$2:T246),"")</f>
        <v/>
      </c>
      <c r="V246" s="11">
        <f>IF(OR($R246="",$R246="-"),"",IF(COUNTIF($R$2:$R246,$R246)=1,1,0))</f>
        <v>0</v>
      </c>
      <c r="W246" s="11" t="str">
        <f>IF(V246=1,SUM($V$2:V246),"")</f>
        <v/>
      </c>
      <c r="X246" s="11" t="str">
        <f t="shared" si="7"/>
        <v>SHOPEE</v>
      </c>
    </row>
    <row r="247" spans="1:24">
      <c r="A247" s="15" t="s">
        <v>79</v>
      </c>
      <c r="B247" s="15" t="s">
        <v>80</v>
      </c>
      <c r="C247" s="15" t="s">
        <v>553</v>
      </c>
      <c r="D247" s="13">
        <v>46226.543749999997</v>
      </c>
      <c r="E247" s="15" t="s">
        <v>95</v>
      </c>
      <c r="F247" s="15" t="s">
        <v>554</v>
      </c>
      <c r="G247" s="15" t="s">
        <v>74</v>
      </c>
      <c r="H247" s="15" t="s">
        <v>75</v>
      </c>
      <c r="I247" s="14">
        <v>36000</v>
      </c>
      <c r="J247" s="15" t="s">
        <v>145</v>
      </c>
      <c r="K247" s="15" t="s">
        <v>24</v>
      </c>
      <c r="L247" s="15">
        <v>2</v>
      </c>
      <c r="M247" s="15">
        <v>2.7</v>
      </c>
      <c r="N247" s="15" t="s">
        <v>76</v>
      </c>
      <c r="O247" s="15" t="s">
        <v>76</v>
      </c>
      <c r="P247" s="14">
        <v>410000</v>
      </c>
      <c r="Q247" s="13">
        <v>46226.543749999997</v>
      </c>
      <c r="R247" s="15" t="s">
        <v>482</v>
      </c>
      <c r="S247" s="11" t="str">
        <f t="shared" si="6"/>
        <v>2026-07-23</v>
      </c>
      <c r="T247" s="11">
        <f>IF($E247="","",IF(COUNTIF($E$2:$E247,$E247)=1,1,0))</f>
        <v>0</v>
      </c>
      <c r="U247" s="11" t="str">
        <f>IF(T247=1,SUM($T$2:T247),"")</f>
        <v/>
      </c>
      <c r="V247" s="11">
        <f>IF(OR($R247="",$R247="-"),"",IF(COUNTIF($R$2:$R247,$R247)=1,1,0))</f>
        <v>0</v>
      </c>
      <c r="W247" s="11" t="str">
        <f>IF(V247=1,SUM($V$2:V247),"")</f>
        <v/>
      </c>
      <c r="X247" s="11" t="str">
        <f t="shared" si="7"/>
        <v>SHOPEE</v>
      </c>
    </row>
    <row r="248" spans="1:24">
      <c r="A248" s="15" t="s">
        <v>79</v>
      </c>
      <c r="B248" s="15" t="s">
        <v>83</v>
      </c>
      <c r="C248" s="15" t="s">
        <v>555</v>
      </c>
      <c r="D248" s="13">
        <v>46226.48333333333</v>
      </c>
      <c r="E248" s="15" t="s">
        <v>73</v>
      </c>
      <c r="F248" s="15" t="s">
        <v>556</v>
      </c>
      <c r="G248" s="15" t="s">
        <v>74</v>
      </c>
      <c r="H248" s="15" t="s">
        <v>75</v>
      </c>
      <c r="I248" s="14">
        <v>20000</v>
      </c>
      <c r="J248" s="15" t="s">
        <v>222</v>
      </c>
      <c r="K248" s="15" t="s">
        <v>30</v>
      </c>
      <c r="L248" s="15">
        <v>2</v>
      </c>
      <c r="M248" s="15">
        <v>2</v>
      </c>
      <c r="N248" s="15" t="s">
        <v>76</v>
      </c>
      <c r="O248" s="15" t="s">
        <v>76</v>
      </c>
      <c r="P248" s="14">
        <v>80000</v>
      </c>
      <c r="Q248" s="13">
        <v>46226.48333333333</v>
      </c>
      <c r="R248" s="15" t="s">
        <v>147</v>
      </c>
      <c r="S248" s="11" t="str">
        <f t="shared" si="6"/>
        <v>2026-07-23</v>
      </c>
      <c r="T248" s="11">
        <f>IF($E248="","",IF(COUNTIF($E$2:$E248,$E248)=1,1,0))</f>
        <v>0</v>
      </c>
      <c r="U248" s="11" t="str">
        <f>IF(T248=1,SUM($T$2:T248),"")</f>
        <v/>
      </c>
      <c r="V248" s="11">
        <f>IF(OR($R248="",$R248="-"),"",IF(COUNTIF($R$2:$R248,$R248)=1,1,0))</f>
        <v>0</v>
      </c>
      <c r="W248" s="11" t="str">
        <f>IF(V248=1,SUM($V$2:V248),"")</f>
        <v/>
      </c>
      <c r="X248" s="11" t="str">
        <f t="shared" si="7"/>
        <v>SHOPEE</v>
      </c>
    </row>
    <row r="249" spans="1:24">
      <c r="A249" s="15" t="s">
        <v>79</v>
      </c>
      <c r="B249" s="15" t="s">
        <v>80</v>
      </c>
      <c r="C249" s="15" t="s">
        <v>557</v>
      </c>
      <c r="D249" s="13">
        <v>46226.448611111111</v>
      </c>
      <c r="E249" s="15" t="s">
        <v>73</v>
      </c>
      <c r="F249" s="15" t="s">
        <v>558</v>
      </c>
      <c r="G249" s="15" t="s">
        <v>74</v>
      </c>
      <c r="H249" s="15" t="s">
        <v>75</v>
      </c>
      <c r="I249" s="14">
        <v>12000</v>
      </c>
      <c r="J249" s="15" t="s">
        <v>300</v>
      </c>
      <c r="K249" s="15" t="s">
        <v>24</v>
      </c>
      <c r="L249" s="15">
        <v>1</v>
      </c>
      <c r="M249" s="15">
        <v>0.6</v>
      </c>
      <c r="N249" s="15" t="s">
        <v>76</v>
      </c>
      <c r="O249" s="15" t="s">
        <v>76</v>
      </c>
      <c r="P249" s="14">
        <v>1099000</v>
      </c>
      <c r="Q249" s="13">
        <v>46226.449305555558</v>
      </c>
      <c r="R249" s="15" t="s">
        <v>559</v>
      </c>
      <c r="S249" s="11" t="str">
        <f t="shared" si="6"/>
        <v>2026-07-23</v>
      </c>
      <c r="T249" s="11">
        <f>IF($E249="","",IF(COUNTIF($E$2:$E249,$E249)=1,1,0))</f>
        <v>0</v>
      </c>
      <c r="U249" s="11" t="str">
        <f>IF(T249=1,SUM($T$2:T249),"")</f>
        <v/>
      </c>
      <c r="V249" s="11">
        <f>IF(OR($R249="",$R249="-"),"",IF(COUNTIF($R$2:$R249,$R249)=1,1,0))</f>
        <v>1</v>
      </c>
      <c r="W249" s="11">
        <f>IF(V249=1,SUM($V$2:V249),"")</f>
        <v>91</v>
      </c>
      <c r="X249" s="11" t="str">
        <f t="shared" si="7"/>
        <v>SHOPEE</v>
      </c>
    </row>
    <row r="250" spans="1:24">
      <c r="A250" s="15" t="s">
        <v>79</v>
      </c>
      <c r="B250" s="15" t="s">
        <v>83</v>
      </c>
      <c r="C250" s="15" t="s">
        <v>560</v>
      </c>
      <c r="D250" s="13">
        <v>46226.374305555553</v>
      </c>
      <c r="E250" s="15" t="s">
        <v>73</v>
      </c>
      <c r="F250" s="15" t="s">
        <v>561</v>
      </c>
      <c r="G250" s="15" t="s">
        <v>74</v>
      </c>
      <c r="H250" s="15" t="s">
        <v>75</v>
      </c>
      <c r="I250" s="14">
        <v>12000</v>
      </c>
      <c r="J250" s="15" t="s">
        <v>321</v>
      </c>
      <c r="K250" s="15" t="s">
        <v>24</v>
      </c>
      <c r="L250" s="15">
        <v>1</v>
      </c>
      <c r="M250" s="15">
        <v>1</v>
      </c>
      <c r="N250" s="15" t="s">
        <v>76</v>
      </c>
      <c r="O250" s="15" t="s">
        <v>76</v>
      </c>
      <c r="P250" s="14">
        <v>40000</v>
      </c>
      <c r="Q250" s="13">
        <v>46226.374305555553</v>
      </c>
      <c r="R250" s="15" t="s">
        <v>147</v>
      </c>
      <c r="S250" s="11" t="str">
        <f t="shared" si="6"/>
        <v>2026-07-23</v>
      </c>
      <c r="T250" s="11">
        <f>IF($E250="","",IF(COUNTIF($E$2:$E250,$E250)=1,1,0))</f>
        <v>0</v>
      </c>
      <c r="U250" s="11" t="str">
        <f>IF(T250=1,SUM($T$2:T250),"")</f>
        <v/>
      </c>
      <c r="V250" s="11">
        <f>IF(OR($R250="",$R250="-"),"",IF(COUNTIF($R$2:$R250,$R250)=1,1,0))</f>
        <v>0</v>
      </c>
      <c r="W250" s="11" t="str">
        <f>IF(V250=1,SUM($V$2:V250),"")</f>
        <v/>
      </c>
      <c r="X250" s="11" t="str">
        <f t="shared" si="7"/>
        <v>SHOPEE</v>
      </c>
    </row>
    <row r="251" spans="1:24">
      <c r="A251" s="15" t="s">
        <v>79</v>
      </c>
      <c r="B251" s="15" t="s">
        <v>83</v>
      </c>
      <c r="C251" s="15" t="s">
        <v>560</v>
      </c>
      <c r="D251" s="13">
        <v>46226.374305555553</v>
      </c>
      <c r="E251" s="15" t="s">
        <v>73</v>
      </c>
      <c r="F251" s="15" t="s">
        <v>562</v>
      </c>
      <c r="G251" s="15" t="s">
        <v>74</v>
      </c>
      <c r="H251" s="15" t="s">
        <v>75</v>
      </c>
      <c r="I251" s="14">
        <v>12000</v>
      </c>
      <c r="J251" s="15" t="s">
        <v>106</v>
      </c>
      <c r="K251" s="15" t="s">
        <v>24</v>
      </c>
      <c r="L251" s="15">
        <v>1</v>
      </c>
      <c r="M251" s="15">
        <v>1</v>
      </c>
      <c r="N251" s="15" t="s">
        <v>76</v>
      </c>
      <c r="O251" s="15" t="s">
        <v>76</v>
      </c>
      <c r="P251" s="14">
        <v>45500</v>
      </c>
      <c r="Q251" s="13">
        <v>46226.374305555553</v>
      </c>
      <c r="R251" s="15" t="s">
        <v>147</v>
      </c>
      <c r="S251" s="11" t="str">
        <f t="shared" si="6"/>
        <v>2026-07-23</v>
      </c>
      <c r="T251" s="11">
        <f>IF($E251="","",IF(COUNTIF($E$2:$E251,$E251)=1,1,0))</f>
        <v>0</v>
      </c>
      <c r="U251" s="11" t="str">
        <f>IF(T251=1,SUM($T$2:T251),"")</f>
        <v/>
      </c>
      <c r="V251" s="11">
        <f>IF(OR($R251="",$R251="-"),"",IF(COUNTIF($R$2:$R251,$R251)=1,1,0))</f>
        <v>0</v>
      </c>
      <c r="W251" s="11" t="str">
        <f>IF(V251=1,SUM($V$2:V251),"")</f>
        <v/>
      </c>
      <c r="X251" s="11" t="str">
        <f t="shared" si="7"/>
        <v>SHOPEE</v>
      </c>
    </row>
    <row r="252" spans="1:24">
      <c r="A252" s="15" t="s">
        <v>79</v>
      </c>
      <c r="B252" s="15" t="s">
        <v>80</v>
      </c>
      <c r="C252" s="15" t="s">
        <v>563</v>
      </c>
      <c r="D252" s="13">
        <v>46226.35</v>
      </c>
      <c r="E252" s="15" t="s">
        <v>73</v>
      </c>
      <c r="F252" s="15" t="s">
        <v>564</v>
      </c>
      <c r="G252" s="15" t="s">
        <v>74</v>
      </c>
      <c r="H252" s="15" t="s">
        <v>75</v>
      </c>
      <c r="I252" s="14">
        <v>12000</v>
      </c>
      <c r="J252" s="15" t="s">
        <v>187</v>
      </c>
      <c r="K252" s="15" t="s">
        <v>24</v>
      </c>
      <c r="L252" s="15">
        <v>1</v>
      </c>
      <c r="M252" s="15">
        <v>0.1</v>
      </c>
      <c r="N252" s="15" t="s">
        <v>76</v>
      </c>
      <c r="O252" s="15" t="s">
        <v>76</v>
      </c>
      <c r="P252" s="14">
        <v>24900</v>
      </c>
      <c r="Q252" s="13">
        <v>46226.35</v>
      </c>
      <c r="R252" s="15" t="s">
        <v>565</v>
      </c>
      <c r="S252" s="11" t="str">
        <f t="shared" si="6"/>
        <v>2026-07-23</v>
      </c>
      <c r="T252" s="11">
        <f>IF($E252="","",IF(COUNTIF($E$2:$E252,$E252)=1,1,0))</f>
        <v>0</v>
      </c>
      <c r="U252" s="11" t="str">
        <f>IF(T252=1,SUM($T$2:T252),"")</f>
        <v/>
      </c>
      <c r="V252" s="11">
        <f>IF(OR($R252="",$R252="-"),"",IF(COUNTIF($R$2:$R252,$R252)=1,1,0))</f>
        <v>1</v>
      </c>
      <c r="W252" s="11">
        <f>IF(V252=1,SUM($V$2:V252),"")</f>
        <v>92</v>
      </c>
      <c r="X252" s="11" t="str">
        <f t="shared" si="7"/>
        <v>SHOPEE</v>
      </c>
    </row>
    <row r="253" spans="1:24">
      <c r="A253" s="15" t="s">
        <v>79</v>
      </c>
      <c r="B253" s="15" t="s">
        <v>80</v>
      </c>
      <c r="C253" s="15" t="s">
        <v>566</v>
      </c>
      <c r="D253" s="13">
        <v>46225.84652777778</v>
      </c>
      <c r="E253" s="15" t="s">
        <v>73</v>
      </c>
      <c r="F253" s="15" t="s">
        <v>567</v>
      </c>
      <c r="G253" s="15" t="s">
        <v>74</v>
      </c>
      <c r="H253" s="15" t="s">
        <v>75</v>
      </c>
      <c r="I253" s="14">
        <v>12000</v>
      </c>
      <c r="J253" s="15" t="s">
        <v>568</v>
      </c>
      <c r="K253" s="15" t="s">
        <v>24</v>
      </c>
      <c r="L253" s="15">
        <v>2</v>
      </c>
      <c r="M253" s="15">
        <v>0.45</v>
      </c>
      <c r="N253" s="15" t="s">
        <v>76</v>
      </c>
      <c r="O253" s="15" t="s">
        <v>76</v>
      </c>
      <c r="P253" s="14">
        <v>159800</v>
      </c>
      <c r="Q253" s="13">
        <v>46225.847222222219</v>
      </c>
      <c r="R253" s="15" t="s">
        <v>569</v>
      </c>
      <c r="S253" s="11" t="str">
        <f t="shared" si="6"/>
        <v>2026-07-22</v>
      </c>
      <c r="T253" s="11">
        <f>IF($E253="","",IF(COUNTIF($E$2:$E253,$E253)=1,1,0))</f>
        <v>0</v>
      </c>
      <c r="U253" s="11" t="str">
        <f>IF(T253=1,SUM($T$2:T253),"")</f>
        <v/>
      </c>
      <c r="V253" s="11">
        <f>IF(OR($R253="",$R253="-"),"",IF(COUNTIF($R$2:$R253,$R253)=1,1,0))</f>
        <v>1</v>
      </c>
      <c r="W253" s="11">
        <f>IF(V253=1,SUM($V$2:V253),"")</f>
        <v>93</v>
      </c>
      <c r="X253" s="11" t="str">
        <f t="shared" si="7"/>
        <v>SHOPEE</v>
      </c>
    </row>
    <row r="254" spans="1:24">
      <c r="A254" s="15" t="s">
        <v>79</v>
      </c>
      <c r="B254" s="15" t="s">
        <v>83</v>
      </c>
      <c r="C254" s="15" t="s">
        <v>570</v>
      </c>
      <c r="D254" s="13">
        <v>46225.799305555556</v>
      </c>
      <c r="E254" s="15" t="s">
        <v>95</v>
      </c>
      <c r="F254" s="15" t="s">
        <v>571</v>
      </c>
      <c r="G254" s="15" t="s">
        <v>74</v>
      </c>
      <c r="H254" s="15" t="s">
        <v>75</v>
      </c>
      <c r="I254" s="14">
        <v>12000</v>
      </c>
      <c r="J254" s="15" t="s">
        <v>238</v>
      </c>
      <c r="K254" s="15" t="s">
        <v>24</v>
      </c>
      <c r="L254" s="15">
        <v>1</v>
      </c>
      <c r="M254" s="15">
        <v>0.1</v>
      </c>
      <c r="N254" s="15" t="s">
        <v>76</v>
      </c>
      <c r="O254" s="15" t="s">
        <v>76</v>
      </c>
      <c r="P254" s="14">
        <v>105000</v>
      </c>
      <c r="Q254" s="13">
        <v>46225.799305555556</v>
      </c>
      <c r="R254" s="15" t="s">
        <v>118</v>
      </c>
      <c r="S254" s="11" t="str">
        <f t="shared" si="6"/>
        <v>2026-07-22</v>
      </c>
      <c r="T254" s="11">
        <f>IF($E254="","",IF(COUNTIF($E$2:$E254,$E254)=1,1,0))</f>
        <v>0</v>
      </c>
      <c r="U254" s="11" t="str">
        <f>IF(T254=1,SUM($T$2:T254),"")</f>
        <v/>
      </c>
      <c r="V254" s="11">
        <f>IF(OR($R254="",$R254="-"),"",IF(COUNTIF($R$2:$R254,$R254)=1,1,0))</f>
        <v>0</v>
      </c>
      <c r="W254" s="11" t="str">
        <f>IF(V254=1,SUM($V$2:V254),"")</f>
        <v/>
      </c>
      <c r="X254" s="11" t="str">
        <f t="shared" si="7"/>
        <v>SHOPEE</v>
      </c>
    </row>
    <row r="255" spans="1:24">
      <c r="A255" s="15" t="s">
        <v>79</v>
      </c>
      <c r="B255" s="15" t="s">
        <v>83</v>
      </c>
      <c r="C255" s="15" t="s">
        <v>572</v>
      </c>
      <c r="D255" s="13">
        <v>46225.79791666667</v>
      </c>
      <c r="E255" s="15" t="s">
        <v>95</v>
      </c>
      <c r="F255" s="15" t="s">
        <v>573</v>
      </c>
      <c r="G255" s="15" t="s">
        <v>74</v>
      </c>
      <c r="H255" s="15" t="s">
        <v>75</v>
      </c>
      <c r="I255" s="14">
        <v>27000</v>
      </c>
      <c r="J255" s="15" t="s">
        <v>236</v>
      </c>
      <c r="K255" s="15" t="s">
        <v>24</v>
      </c>
      <c r="L255" s="15">
        <v>6</v>
      </c>
      <c r="M255" s="15">
        <v>1.2</v>
      </c>
      <c r="N255" s="15" t="s">
        <v>76</v>
      </c>
      <c r="O255" s="15" t="s">
        <v>76</v>
      </c>
      <c r="P255" s="14">
        <v>108000</v>
      </c>
      <c r="Q255" s="13">
        <v>46225.798611111109</v>
      </c>
      <c r="R255" s="15" t="s">
        <v>118</v>
      </c>
      <c r="S255" s="11" t="str">
        <f t="shared" si="6"/>
        <v>2026-07-22</v>
      </c>
      <c r="T255" s="11">
        <f>IF($E255="","",IF(COUNTIF($E$2:$E255,$E255)=1,1,0))</f>
        <v>0</v>
      </c>
      <c r="U255" s="11" t="str">
        <f>IF(T255=1,SUM($T$2:T255),"")</f>
        <v/>
      </c>
      <c r="V255" s="11">
        <f>IF(OR($R255="",$R255="-"),"",IF(COUNTIF($R$2:$R255,$R255)=1,1,0))</f>
        <v>0</v>
      </c>
      <c r="W255" s="11" t="str">
        <f>IF(V255=1,SUM($V$2:V255),"")</f>
        <v/>
      </c>
      <c r="X255" s="11" t="str">
        <f t="shared" si="7"/>
        <v>SHOPEE</v>
      </c>
    </row>
    <row r="256" spans="1:24">
      <c r="A256" s="15" t="s">
        <v>79</v>
      </c>
      <c r="B256" s="15" t="s">
        <v>83</v>
      </c>
      <c r="C256" s="15" t="s">
        <v>574</v>
      </c>
      <c r="D256" s="13">
        <v>46225.793749999997</v>
      </c>
      <c r="E256" s="15" t="s">
        <v>95</v>
      </c>
      <c r="F256" s="15" t="s">
        <v>575</v>
      </c>
      <c r="G256" s="15" t="s">
        <v>74</v>
      </c>
      <c r="H256" s="15" t="s">
        <v>75</v>
      </c>
      <c r="I256" s="14">
        <v>17000</v>
      </c>
      <c r="J256" s="15" t="s">
        <v>576</v>
      </c>
      <c r="K256" s="15" t="s">
        <v>24</v>
      </c>
      <c r="L256" s="15">
        <v>1</v>
      </c>
      <c r="M256" s="15">
        <v>1</v>
      </c>
      <c r="N256" s="15" t="s">
        <v>76</v>
      </c>
      <c r="O256" s="15" t="s">
        <v>76</v>
      </c>
      <c r="P256" s="15">
        <v>99</v>
      </c>
      <c r="Q256" s="13">
        <v>46225.793749999997</v>
      </c>
      <c r="R256" s="15" t="s">
        <v>189</v>
      </c>
      <c r="S256" s="11" t="str">
        <f t="shared" si="6"/>
        <v>2026-07-22</v>
      </c>
      <c r="T256" s="11">
        <f>IF($E256="","",IF(COUNTIF($E$2:$E256,$E256)=1,1,0))</f>
        <v>0</v>
      </c>
      <c r="U256" s="11" t="str">
        <f>IF(T256=1,SUM($T$2:T256),"")</f>
        <v/>
      </c>
      <c r="V256" s="11">
        <f>IF(OR($R256="",$R256="-"),"",IF(COUNTIF($R$2:$R256,$R256)=1,1,0))</f>
        <v>0</v>
      </c>
      <c r="W256" s="11" t="str">
        <f>IF(V256=1,SUM($V$2:V256),"")</f>
        <v/>
      </c>
      <c r="X256" s="11" t="str">
        <f t="shared" si="7"/>
        <v>SHOPEE</v>
      </c>
    </row>
    <row r="257" spans="1:24">
      <c r="A257" s="15" t="s">
        <v>79</v>
      </c>
      <c r="B257" s="15" t="s">
        <v>83</v>
      </c>
      <c r="C257" s="15" t="s">
        <v>577</v>
      </c>
      <c r="D257" s="13">
        <v>46225.723611111112</v>
      </c>
      <c r="E257" s="15" t="s">
        <v>73</v>
      </c>
      <c r="F257" s="15" t="s">
        <v>578</v>
      </c>
      <c r="G257" s="15" t="s">
        <v>74</v>
      </c>
      <c r="H257" s="15" t="s">
        <v>75</v>
      </c>
      <c r="I257" s="14">
        <v>26000</v>
      </c>
      <c r="J257" s="15" t="s">
        <v>579</v>
      </c>
      <c r="K257" s="15" t="s">
        <v>24</v>
      </c>
      <c r="L257" s="15">
        <v>1</v>
      </c>
      <c r="M257" s="15">
        <v>1</v>
      </c>
      <c r="N257" s="15" t="s">
        <v>76</v>
      </c>
      <c r="O257" s="15" t="s">
        <v>76</v>
      </c>
      <c r="P257" s="14">
        <v>1800000</v>
      </c>
      <c r="Q257" s="13">
        <v>46225.723611111112</v>
      </c>
      <c r="R257" s="15" t="s">
        <v>86</v>
      </c>
      <c r="S257" s="11" t="str">
        <f t="shared" si="6"/>
        <v>2026-07-22</v>
      </c>
      <c r="T257" s="11">
        <f>IF($E257="","",IF(COUNTIF($E$2:$E257,$E257)=1,1,0))</f>
        <v>0</v>
      </c>
      <c r="U257" s="11" t="str">
        <f>IF(T257=1,SUM($T$2:T257),"")</f>
        <v/>
      </c>
      <c r="V257" s="11">
        <f>IF(OR($R257="",$R257="-"),"",IF(COUNTIF($R$2:$R257,$R257)=1,1,0))</f>
        <v>0</v>
      </c>
      <c r="W257" s="11" t="str">
        <f>IF(V257=1,SUM($V$2:V257),"")</f>
        <v/>
      </c>
      <c r="X257" s="11" t="str">
        <f t="shared" si="7"/>
        <v>SHOPEE</v>
      </c>
    </row>
    <row r="258" spans="1:24">
      <c r="A258" s="15" t="s">
        <v>79</v>
      </c>
      <c r="B258" s="15" t="s">
        <v>83</v>
      </c>
      <c r="C258" s="15" t="s">
        <v>577</v>
      </c>
      <c r="D258" s="13">
        <v>46225.723611111112</v>
      </c>
      <c r="E258" s="15" t="s">
        <v>73</v>
      </c>
      <c r="F258" s="15" t="s">
        <v>580</v>
      </c>
      <c r="G258" s="15" t="s">
        <v>74</v>
      </c>
      <c r="H258" s="15" t="s">
        <v>75</v>
      </c>
      <c r="I258" s="14">
        <v>12000</v>
      </c>
      <c r="J258" s="15" t="s">
        <v>443</v>
      </c>
      <c r="K258" s="15" t="s">
        <v>24</v>
      </c>
      <c r="L258" s="15">
        <v>1</v>
      </c>
      <c r="M258" s="15">
        <v>1</v>
      </c>
      <c r="N258" s="15" t="s">
        <v>76</v>
      </c>
      <c r="O258" s="15" t="s">
        <v>76</v>
      </c>
      <c r="P258" s="14">
        <v>2220000</v>
      </c>
      <c r="Q258" s="13">
        <v>46225.723611111112</v>
      </c>
      <c r="R258" s="15" t="s">
        <v>86</v>
      </c>
      <c r="S258" s="11" t="str">
        <f t="shared" ref="S258:S321" si="8">IF(Q258="","",TEXT(Q258,"yyyy-mm-dd"))</f>
        <v>2026-07-22</v>
      </c>
      <c r="T258" s="11">
        <f>IF($E258="","",IF(COUNTIF($E$2:$E258,$E258)=1,1,0))</f>
        <v>0</v>
      </c>
      <c r="U258" s="11" t="str">
        <f>IF(T258=1,SUM($T$2:T258),"")</f>
        <v/>
      </c>
      <c r="V258" s="11">
        <f>IF(OR($R258="",$R258="-"),"",IF(COUNTIF($R$2:$R258,$R258)=1,1,0))</f>
        <v>0</v>
      </c>
      <c r="W258" s="11" t="str">
        <f>IF(V258=1,SUM($V$2:V258),"")</f>
        <v/>
      </c>
      <c r="X258" s="11" t="str">
        <f t="shared" ref="X258:X321" si="9">IF(ISNUMBER(SEARCH("SHOPEE",B258)),"SHOPEE",IF(ISNUMBER(SEARCH("TOKOPEDIA",B258)),"TOKOPEDIA",IF(ISNUMBER(SEARCH("LASTANA",B258)),"LASTANA EXPRESS",IF(ISNUMBER(SEARCH("FASHION MARKETPLACE",B258)),"FASHION MARKETPLACE",IF(ISNUMBER(SEARCH("GLOBAL DIGITAL NIAGA",B258)),"GLOBAL DIGITAL NIAGA",IF(ISNUMBER(SEARCH("TOKGISTIC",B258)),"TOKGISTIC",IF(ISNUMBER(SEARCH("TOCO RAMAI",B258)),"TOCO RAMAI DIGITAL",B258)))))))</f>
        <v>SHOPEE</v>
      </c>
    </row>
    <row r="259" spans="1:24">
      <c r="A259" s="15" t="s">
        <v>79</v>
      </c>
      <c r="B259" s="15" t="s">
        <v>83</v>
      </c>
      <c r="C259" s="15" t="s">
        <v>581</v>
      </c>
      <c r="D259" s="13">
        <v>46225.693055555559</v>
      </c>
      <c r="E259" s="15" t="s">
        <v>73</v>
      </c>
      <c r="F259" s="15" t="s">
        <v>584</v>
      </c>
      <c r="G259" s="15" t="s">
        <v>74</v>
      </c>
      <c r="H259" s="15" t="s">
        <v>75</v>
      </c>
      <c r="I259" s="14">
        <v>46000</v>
      </c>
      <c r="J259" s="15" t="s">
        <v>335</v>
      </c>
      <c r="K259" s="15" t="s">
        <v>24</v>
      </c>
      <c r="L259" s="15">
        <v>1</v>
      </c>
      <c r="M259" s="15">
        <v>2.1</v>
      </c>
      <c r="N259" s="15" t="s">
        <v>76</v>
      </c>
      <c r="O259" s="15" t="s">
        <v>76</v>
      </c>
      <c r="P259" s="14">
        <v>16000</v>
      </c>
      <c r="Q259" s="13">
        <v>46225.693055555559</v>
      </c>
      <c r="R259" s="15" t="s">
        <v>193</v>
      </c>
      <c r="S259" s="11" t="str">
        <f t="shared" si="8"/>
        <v>2026-07-22</v>
      </c>
      <c r="T259" s="11">
        <f>IF($E259="","",IF(COUNTIF($E$2:$E259,$E259)=1,1,0))</f>
        <v>0</v>
      </c>
      <c r="U259" s="11" t="str">
        <f>IF(T259=1,SUM($T$2:T259),"")</f>
        <v/>
      </c>
      <c r="V259" s="11">
        <f>IF(OR($R259="",$R259="-"),"",IF(COUNTIF($R$2:$R259,$R259)=1,1,0))</f>
        <v>0</v>
      </c>
      <c r="W259" s="11" t="str">
        <f>IF(V259=1,SUM($V$2:V259),"")</f>
        <v/>
      </c>
      <c r="X259" s="11" t="str">
        <f t="shared" si="9"/>
        <v>SHOPEE</v>
      </c>
    </row>
    <row r="260" spans="1:24">
      <c r="A260" s="15" t="s">
        <v>79</v>
      </c>
      <c r="B260" s="15" t="s">
        <v>83</v>
      </c>
      <c r="C260" s="15" t="s">
        <v>581</v>
      </c>
      <c r="D260" s="13">
        <v>46225.693055555559</v>
      </c>
      <c r="E260" s="15" t="s">
        <v>73</v>
      </c>
      <c r="F260" s="15" t="s">
        <v>582</v>
      </c>
      <c r="G260" s="15" t="s">
        <v>74</v>
      </c>
      <c r="H260" s="15" t="s">
        <v>75</v>
      </c>
      <c r="I260" s="14">
        <v>24000</v>
      </c>
      <c r="J260" s="15" t="s">
        <v>583</v>
      </c>
      <c r="K260" s="15" t="s">
        <v>24</v>
      </c>
      <c r="L260" s="15">
        <v>1</v>
      </c>
      <c r="M260" s="15">
        <v>0.65</v>
      </c>
      <c r="N260" s="15" t="s">
        <v>76</v>
      </c>
      <c r="O260" s="15" t="s">
        <v>76</v>
      </c>
      <c r="P260" s="14">
        <v>16000</v>
      </c>
      <c r="Q260" s="13">
        <v>46225.693055555559</v>
      </c>
      <c r="R260" s="15" t="s">
        <v>193</v>
      </c>
      <c r="S260" s="11" t="str">
        <f t="shared" si="8"/>
        <v>2026-07-22</v>
      </c>
      <c r="T260" s="11">
        <f>IF($E260="","",IF(COUNTIF($E$2:$E260,$E260)=1,1,0))</f>
        <v>0</v>
      </c>
      <c r="U260" s="11" t="str">
        <f>IF(T260=1,SUM($T$2:T260),"")</f>
        <v/>
      </c>
      <c r="V260" s="11">
        <f>IF(OR($R260="",$R260="-"),"",IF(COUNTIF($R$2:$R260,$R260)=1,1,0))</f>
        <v>0</v>
      </c>
      <c r="W260" s="11" t="str">
        <f>IF(V260=1,SUM($V$2:V260),"")</f>
        <v/>
      </c>
      <c r="X260" s="11" t="str">
        <f t="shared" si="9"/>
        <v>SHOPEE</v>
      </c>
    </row>
    <row r="261" spans="1:24">
      <c r="A261" s="15" t="s">
        <v>79</v>
      </c>
      <c r="B261" s="15" t="s">
        <v>83</v>
      </c>
      <c r="C261" s="15" t="s">
        <v>581</v>
      </c>
      <c r="D261" s="13">
        <v>46225.693055555559</v>
      </c>
      <c r="E261" s="15" t="s">
        <v>73</v>
      </c>
      <c r="F261" s="15" t="s">
        <v>585</v>
      </c>
      <c r="G261" s="15" t="s">
        <v>74</v>
      </c>
      <c r="H261" s="15" t="s">
        <v>75</v>
      </c>
      <c r="I261" s="14">
        <v>6000</v>
      </c>
      <c r="J261" s="15" t="s">
        <v>586</v>
      </c>
      <c r="K261" s="15" t="s">
        <v>27</v>
      </c>
      <c r="L261" s="15">
        <v>1</v>
      </c>
      <c r="M261" s="15">
        <v>0.35</v>
      </c>
      <c r="N261" s="15" t="s">
        <v>76</v>
      </c>
      <c r="O261" s="15" t="s">
        <v>76</v>
      </c>
      <c r="P261" s="14">
        <v>8500</v>
      </c>
      <c r="Q261" s="13">
        <v>46225.693055555559</v>
      </c>
      <c r="R261" s="15" t="s">
        <v>193</v>
      </c>
      <c r="S261" s="11" t="str">
        <f t="shared" si="8"/>
        <v>2026-07-22</v>
      </c>
      <c r="T261" s="11">
        <f>IF($E261="","",IF(COUNTIF($E$2:$E261,$E261)=1,1,0))</f>
        <v>0</v>
      </c>
      <c r="U261" s="11" t="str">
        <f>IF(T261=1,SUM($T$2:T261),"")</f>
        <v/>
      </c>
      <c r="V261" s="11">
        <f>IF(OR($R261="",$R261="-"),"",IF(COUNTIF($R$2:$R261,$R261)=1,1,0))</f>
        <v>0</v>
      </c>
      <c r="W261" s="11" t="str">
        <f>IF(V261=1,SUM($V$2:V261),"")</f>
        <v/>
      </c>
      <c r="X261" s="11" t="str">
        <f t="shared" si="9"/>
        <v>SHOPEE</v>
      </c>
    </row>
    <row r="262" spans="1:24">
      <c r="A262" s="15" t="s">
        <v>79</v>
      </c>
      <c r="B262" s="15" t="s">
        <v>83</v>
      </c>
      <c r="C262" s="15" t="s">
        <v>587</v>
      </c>
      <c r="D262" s="13">
        <v>46225.680555555555</v>
      </c>
      <c r="E262" s="15" t="s">
        <v>73</v>
      </c>
      <c r="F262" s="15" t="s">
        <v>588</v>
      </c>
      <c r="G262" s="15" t="s">
        <v>74</v>
      </c>
      <c r="H262" s="15" t="s">
        <v>75</v>
      </c>
      <c r="I262" s="14">
        <v>29000</v>
      </c>
      <c r="J262" s="15" t="s">
        <v>295</v>
      </c>
      <c r="K262" s="15" t="s">
        <v>24</v>
      </c>
      <c r="L262" s="15">
        <v>5</v>
      </c>
      <c r="M262" s="15">
        <v>0.4</v>
      </c>
      <c r="N262" s="15" t="s">
        <v>76</v>
      </c>
      <c r="O262" s="15" t="s">
        <v>76</v>
      </c>
      <c r="P262" s="14">
        <v>183500</v>
      </c>
      <c r="Q262" s="13">
        <v>46225.680555555555</v>
      </c>
      <c r="R262" s="15" t="s">
        <v>109</v>
      </c>
      <c r="S262" s="11" t="str">
        <f t="shared" si="8"/>
        <v>2026-07-22</v>
      </c>
      <c r="T262" s="11">
        <f>IF($E262="","",IF(COUNTIF($E$2:$E262,$E262)=1,1,0))</f>
        <v>0</v>
      </c>
      <c r="U262" s="11" t="str">
        <f>IF(T262=1,SUM($T$2:T262),"")</f>
        <v/>
      </c>
      <c r="V262" s="11">
        <f>IF(OR($R262="",$R262="-"),"",IF(COUNTIF($R$2:$R262,$R262)=1,1,0))</f>
        <v>0</v>
      </c>
      <c r="W262" s="11" t="str">
        <f>IF(V262=1,SUM($V$2:V262),"")</f>
        <v/>
      </c>
      <c r="X262" s="11" t="str">
        <f t="shared" si="9"/>
        <v>SHOPEE</v>
      </c>
    </row>
    <row r="263" spans="1:24">
      <c r="A263" s="15" t="s">
        <v>79</v>
      </c>
      <c r="B263" s="15" t="s">
        <v>83</v>
      </c>
      <c r="C263" s="15" t="s">
        <v>589</v>
      </c>
      <c r="D263" s="13">
        <v>46225.672222222223</v>
      </c>
      <c r="E263" s="15" t="s">
        <v>73</v>
      </c>
      <c r="F263" s="15" t="s">
        <v>590</v>
      </c>
      <c r="G263" s="15" t="s">
        <v>74</v>
      </c>
      <c r="H263" s="15" t="s">
        <v>75</v>
      </c>
      <c r="I263" s="14">
        <v>58000</v>
      </c>
      <c r="J263" s="15" t="s">
        <v>591</v>
      </c>
      <c r="K263" s="15" t="s">
        <v>24</v>
      </c>
      <c r="L263" s="15">
        <v>8</v>
      </c>
      <c r="M263" s="15">
        <v>0.96</v>
      </c>
      <c r="N263" s="15" t="s">
        <v>76</v>
      </c>
      <c r="O263" s="15" t="s">
        <v>76</v>
      </c>
      <c r="P263" s="14">
        <v>1199200</v>
      </c>
      <c r="Q263" s="13">
        <v>46225.67291666667</v>
      </c>
      <c r="R263" s="15" t="s">
        <v>270</v>
      </c>
      <c r="S263" s="11" t="str">
        <f t="shared" si="8"/>
        <v>2026-07-22</v>
      </c>
      <c r="T263" s="11">
        <f>IF($E263="","",IF(COUNTIF($E$2:$E263,$E263)=1,1,0))</f>
        <v>0</v>
      </c>
      <c r="U263" s="11" t="str">
        <f>IF(T263=1,SUM($T$2:T263),"")</f>
        <v/>
      </c>
      <c r="V263" s="11">
        <f>IF(OR($R263="",$R263="-"),"",IF(COUNTIF($R$2:$R263,$R263)=1,1,0))</f>
        <v>1</v>
      </c>
      <c r="W263" s="11">
        <f>IF(V263=1,SUM($V$2:V263),"")</f>
        <v>94</v>
      </c>
      <c r="X263" s="11" t="str">
        <f t="shared" si="9"/>
        <v>SHOPEE</v>
      </c>
    </row>
    <row r="264" spans="1:24">
      <c r="A264" s="15" t="s">
        <v>79</v>
      </c>
      <c r="B264" s="15" t="s">
        <v>83</v>
      </c>
      <c r="C264" s="15" t="s">
        <v>592</v>
      </c>
      <c r="D264" s="13">
        <v>46225.664583333331</v>
      </c>
      <c r="E264" s="15" t="s">
        <v>111</v>
      </c>
      <c r="F264" s="15" t="s">
        <v>593</v>
      </c>
      <c r="G264" s="15" t="s">
        <v>74</v>
      </c>
      <c r="H264" s="15" t="s">
        <v>75</v>
      </c>
      <c r="I264" s="14">
        <v>12000</v>
      </c>
      <c r="J264" s="15" t="s">
        <v>135</v>
      </c>
      <c r="K264" s="15" t="s">
        <v>24</v>
      </c>
      <c r="L264" s="15">
        <v>1</v>
      </c>
      <c r="M264" s="15">
        <v>1.25</v>
      </c>
      <c r="N264" s="15" t="s">
        <v>76</v>
      </c>
      <c r="O264" s="15" t="s">
        <v>76</v>
      </c>
      <c r="P264" s="14">
        <v>175000</v>
      </c>
      <c r="Q264" s="13">
        <v>46225.665277777778</v>
      </c>
      <c r="R264" s="15" t="s">
        <v>320</v>
      </c>
      <c r="S264" s="11" t="str">
        <f t="shared" si="8"/>
        <v>2026-07-22</v>
      </c>
      <c r="T264" s="11">
        <f>IF($E264="","",IF(COUNTIF($E$2:$E264,$E264)=1,1,0))</f>
        <v>0</v>
      </c>
      <c r="U264" s="11" t="str">
        <f>IF(T264=1,SUM($T$2:T264),"")</f>
        <v/>
      </c>
      <c r="V264" s="11">
        <f>IF(OR($R264="",$R264="-"),"",IF(COUNTIF($R$2:$R264,$R264)=1,1,0))</f>
        <v>1</v>
      </c>
      <c r="W264" s="11">
        <f>IF(V264=1,SUM($V$2:V264),"")</f>
        <v>95</v>
      </c>
      <c r="X264" s="11" t="str">
        <f t="shared" si="9"/>
        <v>SHOPEE</v>
      </c>
    </row>
    <row r="265" spans="1:24">
      <c r="A265" s="15" t="s">
        <v>79</v>
      </c>
      <c r="B265" s="15" t="s">
        <v>83</v>
      </c>
      <c r="C265" s="15" t="s">
        <v>594</v>
      </c>
      <c r="D265" s="13">
        <v>46225.661805555559</v>
      </c>
      <c r="E265" s="15" t="s">
        <v>111</v>
      </c>
      <c r="F265" s="15" t="s">
        <v>595</v>
      </c>
      <c r="G265" s="15" t="s">
        <v>74</v>
      </c>
      <c r="H265" s="15" t="s">
        <v>75</v>
      </c>
      <c r="I265" s="14">
        <v>12000</v>
      </c>
      <c r="J265" s="15" t="s">
        <v>255</v>
      </c>
      <c r="K265" s="15" t="s">
        <v>24</v>
      </c>
      <c r="L265" s="15">
        <v>1</v>
      </c>
      <c r="M265" s="15">
        <v>0.2</v>
      </c>
      <c r="N265" s="15" t="s">
        <v>76</v>
      </c>
      <c r="O265" s="15" t="s">
        <v>76</v>
      </c>
      <c r="P265" s="14">
        <v>498000</v>
      </c>
      <c r="Q265" s="13">
        <v>46225.661805555559</v>
      </c>
      <c r="R265" s="15" t="s">
        <v>138</v>
      </c>
      <c r="S265" s="11" t="str">
        <f t="shared" si="8"/>
        <v>2026-07-22</v>
      </c>
      <c r="T265" s="11">
        <f>IF($E265="","",IF(COUNTIF($E$2:$E265,$E265)=1,1,0))</f>
        <v>0</v>
      </c>
      <c r="U265" s="11" t="str">
        <f>IF(T265=1,SUM($T$2:T265),"")</f>
        <v/>
      </c>
      <c r="V265" s="11">
        <f>IF(OR($R265="",$R265="-"),"",IF(COUNTIF($R$2:$R265,$R265)=1,1,0))</f>
        <v>0</v>
      </c>
      <c r="W265" s="11" t="str">
        <f>IF(V265=1,SUM($V$2:V265),"")</f>
        <v/>
      </c>
      <c r="X265" s="11" t="str">
        <f t="shared" si="9"/>
        <v>SHOPEE</v>
      </c>
    </row>
    <row r="266" spans="1:24">
      <c r="A266" s="15" t="s">
        <v>79</v>
      </c>
      <c r="B266" s="15" t="s">
        <v>83</v>
      </c>
      <c r="C266" s="15" t="s">
        <v>596</v>
      </c>
      <c r="D266" s="13">
        <v>46225.631944444445</v>
      </c>
      <c r="E266" s="15" t="s">
        <v>111</v>
      </c>
      <c r="F266" s="15" t="s">
        <v>597</v>
      </c>
      <c r="G266" s="15" t="s">
        <v>74</v>
      </c>
      <c r="H266" s="15" t="s">
        <v>75</v>
      </c>
      <c r="I266" s="14">
        <v>12000</v>
      </c>
      <c r="J266" s="15" t="s">
        <v>219</v>
      </c>
      <c r="K266" s="15" t="s">
        <v>24</v>
      </c>
      <c r="L266" s="15">
        <v>1</v>
      </c>
      <c r="M266" s="15">
        <v>1</v>
      </c>
      <c r="N266" s="15" t="s">
        <v>76</v>
      </c>
      <c r="O266" s="15" t="s">
        <v>76</v>
      </c>
      <c r="P266" s="14">
        <v>100000</v>
      </c>
      <c r="Q266" s="13">
        <v>46225.632638888892</v>
      </c>
      <c r="R266" s="15" t="s">
        <v>108</v>
      </c>
      <c r="S266" s="11" t="str">
        <f t="shared" si="8"/>
        <v>2026-07-22</v>
      </c>
      <c r="T266" s="11">
        <f>IF($E266="","",IF(COUNTIF($E$2:$E266,$E266)=1,1,0))</f>
        <v>0</v>
      </c>
      <c r="U266" s="11" t="str">
        <f>IF(T266=1,SUM($T$2:T266),"")</f>
        <v/>
      </c>
      <c r="V266" s="11">
        <f>IF(OR($R266="",$R266="-"),"",IF(COUNTIF($R$2:$R266,$R266)=1,1,0))</f>
        <v>0</v>
      </c>
      <c r="W266" s="11" t="str">
        <f>IF(V266=1,SUM($V$2:V266),"")</f>
        <v/>
      </c>
      <c r="X266" s="11" t="str">
        <f t="shared" si="9"/>
        <v>SHOPEE</v>
      </c>
    </row>
    <row r="267" spans="1:24">
      <c r="A267" s="15" t="s">
        <v>79</v>
      </c>
      <c r="B267" s="15" t="s">
        <v>80</v>
      </c>
      <c r="C267" s="15" t="s">
        <v>598</v>
      </c>
      <c r="D267" s="13">
        <v>46225.599999999999</v>
      </c>
      <c r="E267" s="15" t="s">
        <v>111</v>
      </c>
      <c r="F267" s="15" t="s">
        <v>599</v>
      </c>
      <c r="G267" s="15" t="s">
        <v>74</v>
      </c>
      <c r="H267" s="15" t="s">
        <v>75</v>
      </c>
      <c r="I267" s="14">
        <v>36000</v>
      </c>
      <c r="J267" s="15" t="s">
        <v>145</v>
      </c>
      <c r="K267" s="15" t="s">
        <v>24</v>
      </c>
      <c r="L267" s="15">
        <v>2</v>
      </c>
      <c r="M267" s="15">
        <v>2.7</v>
      </c>
      <c r="N267" s="15" t="s">
        <v>76</v>
      </c>
      <c r="O267" s="15" t="s">
        <v>76</v>
      </c>
      <c r="P267" s="14">
        <v>410000</v>
      </c>
      <c r="Q267" s="13">
        <v>46225.599999999999</v>
      </c>
      <c r="R267" s="15" t="s">
        <v>482</v>
      </c>
      <c r="S267" s="11" t="str">
        <f t="shared" si="8"/>
        <v>2026-07-22</v>
      </c>
      <c r="T267" s="11">
        <f>IF($E267="","",IF(COUNTIF($E$2:$E267,$E267)=1,1,0))</f>
        <v>0</v>
      </c>
      <c r="U267" s="11" t="str">
        <f>IF(T267=1,SUM($T$2:T267),"")</f>
        <v/>
      </c>
      <c r="V267" s="11">
        <f>IF(OR($R267="",$R267="-"),"",IF(COUNTIF($R$2:$R267,$R267)=1,1,0))</f>
        <v>0</v>
      </c>
      <c r="W267" s="11" t="str">
        <f>IF(V267=1,SUM($V$2:V267),"")</f>
        <v/>
      </c>
      <c r="X267" s="11" t="str">
        <f t="shared" si="9"/>
        <v>SHOPEE</v>
      </c>
    </row>
    <row r="268" spans="1:24">
      <c r="A268" s="15" t="s">
        <v>79</v>
      </c>
      <c r="B268" s="15" t="s">
        <v>80</v>
      </c>
      <c r="C268" s="15" t="s">
        <v>600</v>
      </c>
      <c r="D268" s="13">
        <v>46225.599305555559</v>
      </c>
      <c r="E268" s="15" t="s">
        <v>95</v>
      </c>
      <c r="F268" s="15" t="s">
        <v>601</v>
      </c>
      <c r="G268" s="15" t="s">
        <v>74</v>
      </c>
      <c r="H268" s="15" t="s">
        <v>75</v>
      </c>
      <c r="I268" s="14">
        <v>12000</v>
      </c>
      <c r="J268" s="15" t="s">
        <v>144</v>
      </c>
      <c r="K268" s="15" t="s">
        <v>24</v>
      </c>
      <c r="L268" s="15">
        <v>2</v>
      </c>
      <c r="M268" s="15">
        <v>0.2</v>
      </c>
      <c r="N268" s="15" t="s">
        <v>76</v>
      </c>
      <c r="O268" s="15" t="s">
        <v>76</v>
      </c>
      <c r="P268" s="14">
        <v>59700</v>
      </c>
      <c r="Q268" s="13">
        <v>46225.599999999999</v>
      </c>
      <c r="R268" s="15" t="s">
        <v>304</v>
      </c>
      <c r="S268" s="11" t="str">
        <f t="shared" si="8"/>
        <v>2026-07-22</v>
      </c>
      <c r="T268" s="11">
        <f>IF($E268="","",IF(COUNTIF($E$2:$E268,$E268)=1,1,0))</f>
        <v>0</v>
      </c>
      <c r="U268" s="11" t="str">
        <f>IF(T268=1,SUM($T$2:T268),"")</f>
        <v/>
      </c>
      <c r="V268" s="11">
        <f>IF(OR($R268="",$R268="-"),"",IF(COUNTIF($R$2:$R268,$R268)=1,1,0))</f>
        <v>0</v>
      </c>
      <c r="W268" s="11" t="str">
        <f>IF(V268=1,SUM($V$2:V268),"")</f>
        <v/>
      </c>
      <c r="X268" s="11" t="str">
        <f t="shared" si="9"/>
        <v>SHOPEE</v>
      </c>
    </row>
    <row r="269" spans="1:24">
      <c r="A269" s="15" t="s">
        <v>79</v>
      </c>
      <c r="B269" s="15" t="s">
        <v>83</v>
      </c>
      <c r="C269" s="15" t="s">
        <v>602</v>
      </c>
      <c r="D269" s="13">
        <v>46225.513194444444</v>
      </c>
      <c r="E269" s="15" t="s">
        <v>95</v>
      </c>
      <c r="F269" s="15" t="s">
        <v>603</v>
      </c>
      <c r="G269" s="15" t="s">
        <v>74</v>
      </c>
      <c r="H269" s="15" t="s">
        <v>75</v>
      </c>
      <c r="I269" s="14">
        <v>14000</v>
      </c>
      <c r="J269" s="15" t="s">
        <v>202</v>
      </c>
      <c r="K269" s="15" t="s">
        <v>24</v>
      </c>
      <c r="L269" s="15">
        <v>1</v>
      </c>
      <c r="M269" s="15">
        <v>0.5</v>
      </c>
      <c r="N269" s="15" t="s">
        <v>76</v>
      </c>
      <c r="O269" s="15" t="s">
        <v>76</v>
      </c>
      <c r="P269" s="14">
        <v>120000</v>
      </c>
      <c r="Q269" s="13">
        <v>46225.513194444444</v>
      </c>
      <c r="R269" s="15" t="s">
        <v>604</v>
      </c>
      <c r="S269" s="11" t="str">
        <f t="shared" si="8"/>
        <v>2026-07-22</v>
      </c>
      <c r="T269" s="11">
        <f>IF($E269="","",IF(COUNTIF($E$2:$E269,$E269)=1,1,0))</f>
        <v>0</v>
      </c>
      <c r="U269" s="11" t="str">
        <f>IF(T269=1,SUM($T$2:T269),"")</f>
        <v/>
      </c>
      <c r="V269" s="11">
        <f>IF(OR($R269="",$R269="-"),"",IF(COUNTIF($R$2:$R269,$R269)=1,1,0))</f>
        <v>1</v>
      </c>
      <c r="W269" s="11">
        <f>IF(V269=1,SUM($V$2:V269),"")</f>
        <v>96</v>
      </c>
      <c r="X269" s="11" t="str">
        <f t="shared" si="9"/>
        <v>SHOPEE</v>
      </c>
    </row>
    <row r="270" spans="1:24">
      <c r="A270" s="15" t="s">
        <v>79</v>
      </c>
      <c r="B270" s="15" t="s">
        <v>80</v>
      </c>
      <c r="C270" s="15" t="s">
        <v>605</v>
      </c>
      <c r="D270" s="13">
        <v>46225.335416666669</v>
      </c>
      <c r="E270" s="15" t="s">
        <v>265</v>
      </c>
      <c r="F270" s="15" t="s">
        <v>606</v>
      </c>
      <c r="G270" s="15" t="s">
        <v>74</v>
      </c>
      <c r="H270" s="15" t="s">
        <v>75</v>
      </c>
      <c r="I270" s="14">
        <v>12000</v>
      </c>
      <c r="J270" s="15" t="s">
        <v>159</v>
      </c>
      <c r="K270" s="15" t="s">
        <v>24</v>
      </c>
      <c r="L270" s="15">
        <v>1</v>
      </c>
      <c r="M270" s="15">
        <v>0.6</v>
      </c>
      <c r="N270" s="15" t="s">
        <v>76</v>
      </c>
      <c r="O270" s="15" t="s">
        <v>76</v>
      </c>
      <c r="P270" s="14">
        <v>290030</v>
      </c>
      <c r="Q270" s="13">
        <v>46225.335416666669</v>
      </c>
      <c r="R270" s="15" t="s">
        <v>607</v>
      </c>
      <c r="S270" s="11" t="str">
        <f t="shared" si="8"/>
        <v>2026-07-22</v>
      </c>
      <c r="T270" s="11">
        <f>IF($E270="","",IF(COUNTIF($E$2:$E270,$E270)=1,1,0))</f>
        <v>0</v>
      </c>
      <c r="U270" s="11" t="str">
        <f>IF(T270=1,SUM($T$2:T270),"")</f>
        <v/>
      </c>
      <c r="V270" s="11">
        <f>IF(OR($R270="",$R270="-"),"",IF(COUNTIF($R$2:$R270,$R270)=1,1,0))</f>
        <v>1</v>
      </c>
      <c r="W270" s="11">
        <f>IF(V270=1,SUM($V$2:V270),"")</f>
        <v>97</v>
      </c>
      <c r="X270" s="11" t="str">
        <f t="shared" si="9"/>
        <v>SHOPEE</v>
      </c>
    </row>
    <row r="271" spans="1:24">
      <c r="A271" s="15" t="s">
        <v>79</v>
      </c>
      <c r="B271" s="15" t="s">
        <v>83</v>
      </c>
      <c r="C271" s="15" t="s">
        <v>608</v>
      </c>
      <c r="D271" s="13">
        <v>46224.831250000003</v>
      </c>
      <c r="E271" s="15" t="s">
        <v>73</v>
      </c>
      <c r="F271" s="15" t="s">
        <v>609</v>
      </c>
      <c r="G271" s="15" t="s">
        <v>74</v>
      </c>
      <c r="H271" s="15" t="s">
        <v>75</v>
      </c>
      <c r="I271" s="14">
        <v>12000</v>
      </c>
      <c r="J271" s="15" t="s">
        <v>610</v>
      </c>
      <c r="K271" s="15" t="s">
        <v>24</v>
      </c>
      <c r="L271" s="15">
        <v>1</v>
      </c>
      <c r="M271" s="15">
        <v>1</v>
      </c>
      <c r="N271" s="15" t="s">
        <v>76</v>
      </c>
      <c r="O271" s="15" t="s">
        <v>76</v>
      </c>
      <c r="P271" s="14">
        <v>1000</v>
      </c>
      <c r="Q271" s="13">
        <v>46224.831250000003</v>
      </c>
      <c r="R271" s="15" t="s">
        <v>141</v>
      </c>
      <c r="S271" s="11" t="str">
        <f t="shared" si="8"/>
        <v>2026-07-21</v>
      </c>
      <c r="T271" s="11">
        <f>IF($E271="","",IF(COUNTIF($E$2:$E271,$E271)=1,1,0))</f>
        <v>0</v>
      </c>
      <c r="U271" s="11" t="str">
        <f>IF(T271=1,SUM($T$2:T271),"")</f>
        <v/>
      </c>
      <c r="V271" s="11">
        <f>IF(OR($R271="",$R271="-"),"",IF(COUNTIF($R$2:$R271,$R271)=1,1,0))</f>
        <v>1</v>
      </c>
      <c r="W271" s="11">
        <f>IF(V271=1,SUM($V$2:V271),"")</f>
        <v>98</v>
      </c>
      <c r="X271" s="11" t="str">
        <f t="shared" si="9"/>
        <v>SHOPEE</v>
      </c>
    </row>
    <row r="272" spans="1:24">
      <c r="A272" s="15" t="s">
        <v>79</v>
      </c>
      <c r="B272" s="15" t="s">
        <v>83</v>
      </c>
      <c r="C272" s="15" t="s">
        <v>608</v>
      </c>
      <c r="D272" s="13">
        <v>46224.831250000003</v>
      </c>
      <c r="E272" s="15" t="s">
        <v>73</v>
      </c>
      <c r="F272" s="15" t="s">
        <v>611</v>
      </c>
      <c r="G272" s="15" t="s">
        <v>74</v>
      </c>
      <c r="H272" s="15" t="s">
        <v>75</v>
      </c>
      <c r="I272" s="14">
        <v>12000</v>
      </c>
      <c r="J272" s="15" t="s">
        <v>81</v>
      </c>
      <c r="K272" s="15" t="s">
        <v>24</v>
      </c>
      <c r="L272" s="15">
        <v>1</v>
      </c>
      <c r="M272" s="15">
        <v>0.1</v>
      </c>
      <c r="N272" s="15" t="s">
        <v>76</v>
      </c>
      <c r="O272" s="15" t="s">
        <v>76</v>
      </c>
      <c r="P272" s="14">
        <v>29500</v>
      </c>
      <c r="Q272" s="13">
        <v>46224.831250000003</v>
      </c>
      <c r="R272" s="15" t="s">
        <v>118</v>
      </c>
      <c r="S272" s="11" t="str">
        <f t="shared" si="8"/>
        <v>2026-07-21</v>
      </c>
      <c r="T272" s="11">
        <f>IF($E272="","",IF(COUNTIF($E$2:$E272,$E272)=1,1,0))</f>
        <v>0</v>
      </c>
      <c r="U272" s="11" t="str">
        <f>IF(T272=1,SUM($T$2:T272),"")</f>
        <v/>
      </c>
      <c r="V272" s="11">
        <f>IF(OR($R272="",$R272="-"),"",IF(COUNTIF($R$2:$R272,$R272)=1,1,0))</f>
        <v>0</v>
      </c>
      <c r="W272" s="11" t="str">
        <f>IF(V272=1,SUM($V$2:V272),"")</f>
        <v/>
      </c>
      <c r="X272" s="11" t="str">
        <f t="shared" si="9"/>
        <v>SHOPEE</v>
      </c>
    </row>
    <row r="273" spans="1:24">
      <c r="A273" s="15" t="s">
        <v>79</v>
      </c>
      <c r="B273" s="15" t="s">
        <v>83</v>
      </c>
      <c r="C273" s="15" t="s">
        <v>608</v>
      </c>
      <c r="D273" s="13">
        <v>46224.831250000003</v>
      </c>
      <c r="E273" s="15" t="s">
        <v>73</v>
      </c>
      <c r="F273" s="15" t="s">
        <v>612</v>
      </c>
      <c r="G273" s="15" t="s">
        <v>74</v>
      </c>
      <c r="H273" s="15" t="s">
        <v>75</v>
      </c>
      <c r="I273" s="14">
        <v>17000</v>
      </c>
      <c r="J273" s="15" t="s">
        <v>613</v>
      </c>
      <c r="K273" s="15" t="s">
        <v>24</v>
      </c>
      <c r="L273" s="15">
        <v>1</v>
      </c>
      <c r="M273" s="15">
        <v>0.2</v>
      </c>
      <c r="N273" s="15" t="s">
        <v>76</v>
      </c>
      <c r="O273" s="15" t="s">
        <v>76</v>
      </c>
      <c r="P273" s="14">
        <v>110000</v>
      </c>
      <c r="Q273" s="13">
        <v>46224.831250000003</v>
      </c>
      <c r="R273" s="15" t="s">
        <v>118</v>
      </c>
      <c r="S273" s="11" t="str">
        <f t="shared" si="8"/>
        <v>2026-07-21</v>
      </c>
      <c r="T273" s="11">
        <f>IF($E273="","",IF(COUNTIF($E$2:$E273,$E273)=1,1,0))</f>
        <v>0</v>
      </c>
      <c r="U273" s="11" t="str">
        <f>IF(T273=1,SUM($T$2:T273),"")</f>
        <v/>
      </c>
      <c r="V273" s="11">
        <f>IF(OR($R273="",$R273="-"),"",IF(COUNTIF($R$2:$R273,$R273)=1,1,0))</f>
        <v>0</v>
      </c>
      <c r="W273" s="11" t="str">
        <f>IF(V273=1,SUM($V$2:V273),"")</f>
        <v/>
      </c>
      <c r="X273" s="11" t="str">
        <f t="shared" si="9"/>
        <v>SHOPEE</v>
      </c>
    </row>
    <row r="274" spans="1:24">
      <c r="A274" s="15" t="s">
        <v>79</v>
      </c>
      <c r="B274" s="15" t="s">
        <v>80</v>
      </c>
      <c r="C274" s="15" t="s">
        <v>614</v>
      </c>
      <c r="D274" s="13">
        <v>46224.775694444441</v>
      </c>
      <c r="E274" s="15" t="s">
        <v>73</v>
      </c>
      <c r="F274" s="15" t="s">
        <v>615</v>
      </c>
      <c r="G274" s="15" t="s">
        <v>74</v>
      </c>
      <c r="H274" s="15" t="s">
        <v>75</v>
      </c>
      <c r="I274" s="14">
        <v>12000</v>
      </c>
      <c r="J274" s="15" t="s">
        <v>81</v>
      </c>
      <c r="K274" s="15" t="s">
        <v>24</v>
      </c>
      <c r="L274" s="15">
        <v>1</v>
      </c>
      <c r="M274" s="15">
        <v>0.01</v>
      </c>
      <c r="N274" s="15" t="s">
        <v>76</v>
      </c>
      <c r="O274" s="15" t="s">
        <v>76</v>
      </c>
      <c r="P274" s="14">
        <v>189990</v>
      </c>
      <c r="Q274" s="13">
        <v>46224.775694444441</v>
      </c>
      <c r="R274" s="15" t="s">
        <v>616</v>
      </c>
      <c r="S274" s="11" t="str">
        <f t="shared" si="8"/>
        <v>2026-07-21</v>
      </c>
      <c r="T274" s="11">
        <f>IF($E274="","",IF(COUNTIF($E$2:$E274,$E274)=1,1,0))</f>
        <v>0</v>
      </c>
      <c r="U274" s="11" t="str">
        <f>IF(T274=1,SUM($T$2:T274),"")</f>
        <v/>
      </c>
      <c r="V274" s="11">
        <f>IF(OR($R274="",$R274="-"),"",IF(COUNTIF($R$2:$R274,$R274)=1,1,0))</f>
        <v>1</v>
      </c>
      <c r="W274" s="11">
        <f>IF(V274=1,SUM($V$2:V274),"")</f>
        <v>99</v>
      </c>
      <c r="X274" s="11" t="str">
        <f t="shared" si="9"/>
        <v>SHOPEE</v>
      </c>
    </row>
    <row r="275" spans="1:24">
      <c r="A275" s="15" t="s">
        <v>79</v>
      </c>
      <c r="B275" s="15" t="s">
        <v>80</v>
      </c>
      <c r="C275" s="15" t="s">
        <v>614</v>
      </c>
      <c r="D275" s="13">
        <v>46224.775694444441</v>
      </c>
      <c r="E275" s="15" t="s">
        <v>73</v>
      </c>
      <c r="F275" s="15" t="s">
        <v>617</v>
      </c>
      <c r="G275" s="15" t="s">
        <v>74</v>
      </c>
      <c r="H275" s="15" t="s">
        <v>75</v>
      </c>
      <c r="I275" s="14">
        <v>12000</v>
      </c>
      <c r="J275" s="15" t="s">
        <v>81</v>
      </c>
      <c r="K275" s="15" t="s">
        <v>24</v>
      </c>
      <c r="L275" s="15">
        <v>1</v>
      </c>
      <c r="M275" s="15">
        <v>0.01</v>
      </c>
      <c r="N275" s="15" t="s">
        <v>76</v>
      </c>
      <c r="O275" s="15" t="s">
        <v>76</v>
      </c>
      <c r="P275" s="14">
        <v>199990</v>
      </c>
      <c r="Q275" s="13">
        <v>46224.775694444441</v>
      </c>
      <c r="R275" s="15" t="s">
        <v>616</v>
      </c>
      <c r="S275" s="11" t="str">
        <f t="shared" si="8"/>
        <v>2026-07-21</v>
      </c>
      <c r="T275" s="11">
        <f>IF($E275="","",IF(COUNTIF($E$2:$E275,$E275)=1,1,0))</f>
        <v>0</v>
      </c>
      <c r="U275" s="11" t="str">
        <f>IF(T275=1,SUM($T$2:T275),"")</f>
        <v/>
      </c>
      <c r="V275" s="11">
        <f>IF(OR($R275="",$R275="-"),"",IF(COUNTIF($R$2:$R275,$R275)=1,1,0))</f>
        <v>0</v>
      </c>
      <c r="W275" s="11" t="str">
        <f>IF(V275=1,SUM($V$2:V275),"")</f>
        <v/>
      </c>
      <c r="X275" s="11" t="str">
        <f t="shared" si="9"/>
        <v>SHOPEE</v>
      </c>
    </row>
    <row r="276" spans="1:24">
      <c r="A276" s="15" t="s">
        <v>79</v>
      </c>
      <c r="B276" s="15" t="s">
        <v>83</v>
      </c>
      <c r="C276" s="15" t="s">
        <v>618</v>
      </c>
      <c r="D276" s="13">
        <v>46224.703472222223</v>
      </c>
      <c r="E276" s="15" t="s">
        <v>265</v>
      </c>
      <c r="F276" s="15" t="s">
        <v>619</v>
      </c>
      <c r="G276" s="15" t="s">
        <v>74</v>
      </c>
      <c r="H276" s="15" t="s">
        <v>75</v>
      </c>
      <c r="I276" s="14">
        <v>18000</v>
      </c>
      <c r="J276" s="15" t="s">
        <v>228</v>
      </c>
      <c r="K276" s="15" t="s">
        <v>25</v>
      </c>
      <c r="L276" s="15">
        <v>1</v>
      </c>
      <c r="M276" s="15">
        <v>0.11</v>
      </c>
      <c r="N276" s="15" t="s">
        <v>76</v>
      </c>
      <c r="O276" s="15" t="s">
        <v>76</v>
      </c>
      <c r="P276" s="14">
        <v>59800</v>
      </c>
      <c r="Q276" s="13">
        <v>46224.705555555556</v>
      </c>
      <c r="R276" s="15" t="s">
        <v>143</v>
      </c>
      <c r="S276" s="11" t="str">
        <f t="shared" si="8"/>
        <v>2026-07-21</v>
      </c>
      <c r="T276" s="11">
        <f>IF($E276="","",IF(COUNTIF($E$2:$E276,$E276)=1,1,0))</f>
        <v>0</v>
      </c>
      <c r="U276" s="11" t="str">
        <f>IF(T276=1,SUM($T$2:T276),"")</f>
        <v/>
      </c>
      <c r="V276" s="11">
        <f>IF(OR($R276="",$R276="-"),"",IF(COUNTIF($R$2:$R276,$R276)=1,1,0))</f>
        <v>0</v>
      </c>
      <c r="W276" s="11" t="str">
        <f>IF(V276=1,SUM($V$2:V276),"")</f>
        <v/>
      </c>
      <c r="X276" s="11" t="str">
        <f t="shared" si="9"/>
        <v>SHOPEE</v>
      </c>
    </row>
    <row r="277" spans="1:24">
      <c r="A277" s="15" t="s">
        <v>79</v>
      </c>
      <c r="B277" s="15" t="s">
        <v>83</v>
      </c>
      <c r="C277" s="15" t="s">
        <v>618</v>
      </c>
      <c r="D277" s="13">
        <v>46224.703472222223</v>
      </c>
      <c r="E277" s="15" t="s">
        <v>265</v>
      </c>
      <c r="F277" s="15" t="s">
        <v>620</v>
      </c>
      <c r="G277" s="15" t="s">
        <v>74</v>
      </c>
      <c r="H277" s="15" t="s">
        <v>75</v>
      </c>
      <c r="I277" s="14">
        <v>24000</v>
      </c>
      <c r="J277" s="15" t="s">
        <v>100</v>
      </c>
      <c r="K277" s="15" t="s">
        <v>24</v>
      </c>
      <c r="L277" s="15">
        <v>2</v>
      </c>
      <c r="M277" s="15">
        <v>2</v>
      </c>
      <c r="N277" s="15" t="s">
        <v>76</v>
      </c>
      <c r="O277" s="15" t="s">
        <v>76</v>
      </c>
      <c r="P277" s="14">
        <v>108000</v>
      </c>
      <c r="Q277" s="13">
        <v>46224.705555555556</v>
      </c>
      <c r="R277" s="15" t="s">
        <v>109</v>
      </c>
      <c r="S277" s="11" t="str">
        <f t="shared" si="8"/>
        <v>2026-07-21</v>
      </c>
      <c r="T277" s="11">
        <f>IF($E277="","",IF(COUNTIF($E$2:$E277,$E277)=1,1,0))</f>
        <v>0</v>
      </c>
      <c r="U277" s="11" t="str">
        <f>IF(T277=1,SUM($T$2:T277),"")</f>
        <v/>
      </c>
      <c r="V277" s="11">
        <f>IF(OR($R277="",$R277="-"),"",IF(COUNTIF($R$2:$R277,$R277)=1,1,0))</f>
        <v>0</v>
      </c>
      <c r="W277" s="11" t="str">
        <f>IF(V277=1,SUM($V$2:V277),"")</f>
        <v/>
      </c>
      <c r="X277" s="11" t="str">
        <f t="shared" si="9"/>
        <v>SHOPEE</v>
      </c>
    </row>
    <row r="278" spans="1:24">
      <c r="A278" s="15" t="s">
        <v>79</v>
      </c>
      <c r="B278" s="15" t="s">
        <v>83</v>
      </c>
      <c r="C278" s="15" t="s">
        <v>621</v>
      </c>
      <c r="D278" s="13">
        <v>46224.685416666667</v>
      </c>
      <c r="E278" s="15" t="s">
        <v>265</v>
      </c>
      <c r="F278" s="15" t="s">
        <v>622</v>
      </c>
      <c r="G278" s="15" t="s">
        <v>74</v>
      </c>
      <c r="H278" s="15" t="s">
        <v>75</v>
      </c>
      <c r="I278" s="14">
        <v>12000</v>
      </c>
      <c r="J278" s="15" t="s">
        <v>301</v>
      </c>
      <c r="K278" s="15" t="s">
        <v>24</v>
      </c>
      <c r="L278" s="15">
        <v>1</v>
      </c>
      <c r="M278" s="15">
        <v>0.13</v>
      </c>
      <c r="N278" s="15" t="s">
        <v>76</v>
      </c>
      <c r="O278" s="15" t="s">
        <v>76</v>
      </c>
      <c r="P278" s="14">
        <v>23000</v>
      </c>
      <c r="Q278" s="13">
        <v>46224.685416666667</v>
      </c>
      <c r="R278" s="15" t="s">
        <v>91</v>
      </c>
      <c r="S278" s="11" t="str">
        <f t="shared" si="8"/>
        <v>2026-07-21</v>
      </c>
      <c r="T278" s="11">
        <f>IF($E278="","",IF(COUNTIF($E$2:$E278,$E278)=1,1,0))</f>
        <v>0</v>
      </c>
      <c r="U278" s="11" t="str">
        <f>IF(T278=1,SUM($T$2:T278),"")</f>
        <v/>
      </c>
      <c r="V278" s="11">
        <f>IF(OR($R278="",$R278="-"),"",IF(COUNTIF($R$2:$R278,$R278)=1,1,0))</f>
        <v>0</v>
      </c>
      <c r="W278" s="11" t="str">
        <f>IF(V278=1,SUM($V$2:V278),"")</f>
        <v/>
      </c>
      <c r="X278" s="11" t="str">
        <f t="shared" si="9"/>
        <v>SHOPEE</v>
      </c>
    </row>
    <row r="279" spans="1:24">
      <c r="A279" s="15" t="s">
        <v>79</v>
      </c>
      <c r="B279" s="15" t="s">
        <v>83</v>
      </c>
      <c r="C279" s="15" t="s">
        <v>623</v>
      </c>
      <c r="D279" s="13">
        <v>46224.668749999997</v>
      </c>
      <c r="E279" s="15" t="s">
        <v>265</v>
      </c>
      <c r="F279" s="15" t="s">
        <v>624</v>
      </c>
      <c r="G279" s="15" t="s">
        <v>74</v>
      </c>
      <c r="H279" s="15" t="s">
        <v>75</v>
      </c>
      <c r="I279" s="14">
        <v>30500</v>
      </c>
      <c r="J279" s="15" t="s">
        <v>625</v>
      </c>
      <c r="K279" s="15" t="s">
        <v>27</v>
      </c>
      <c r="L279" s="15">
        <v>1</v>
      </c>
      <c r="M279" s="15">
        <v>0.5</v>
      </c>
      <c r="N279" s="15" t="s">
        <v>76</v>
      </c>
      <c r="O279" s="15" t="s">
        <v>76</v>
      </c>
      <c r="P279" s="14">
        <v>375000</v>
      </c>
      <c r="Q279" s="13">
        <v>46224.669444444444</v>
      </c>
      <c r="R279" s="15" t="s">
        <v>179</v>
      </c>
      <c r="S279" s="11" t="str">
        <f t="shared" si="8"/>
        <v>2026-07-21</v>
      </c>
      <c r="T279" s="11">
        <f>IF($E279="","",IF(COUNTIF($E$2:$E279,$E279)=1,1,0))</f>
        <v>0</v>
      </c>
      <c r="U279" s="11" t="str">
        <f>IF(T279=1,SUM($T$2:T279),"")</f>
        <v/>
      </c>
      <c r="V279" s="11">
        <f>IF(OR($R279="",$R279="-"),"",IF(COUNTIF($R$2:$R279,$R279)=1,1,0))</f>
        <v>0</v>
      </c>
      <c r="W279" s="11" t="str">
        <f>IF(V279=1,SUM($V$2:V279),"")</f>
        <v/>
      </c>
      <c r="X279" s="11" t="str">
        <f t="shared" si="9"/>
        <v>SHOPEE</v>
      </c>
    </row>
    <row r="280" spans="1:24">
      <c r="A280" s="15" t="s">
        <v>79</v>
      </c>
      <c r="B280" s="15" t="s">
        <v>80</v>
      </c>
      <c r="C280" s="15" t="s">
        <v>626</v>
      </c>
      <c r="D280" s="13">
        <v>46224.60833333333</v>
      </c>
      <c r="E280" s="15" t="s">
        <v>265</v>
      </c>
      <c r="F280" s="15" t="s">
        <v>627</v>
      </c>
      <c r="G280" s="15" t="s">
        <v>74</v>
      </c>
      <c r="H280" s="15" t="s">
        <v>75</v>
      </c>
      <c r="I280" s="14">
        <v>12000</v>
      </c>
      <c r="J280" s="15" t="s">
        <v>302</v>
      </c>
      <c r="K280" s="15" t="s">
        <v>24</v>
      </c>
      <c r="L280" s="15">
        <v>1</v>
      </c>
      <c r="M280" s="15">
        <v>0.63</v>
      </c>
      <c r="N280" s="15" t="s">
        <v>76</v>
      </c>
      <c r="O280" s="15" t="s">
        <v>76</v>
      </c>
      <c r="P280" s="14">
        <v>225000</v>
      </c>
      <c r="Q280" s="13">
        <v>46224.60833333333</v>
      </c>
      <c r="R280" s="15" t="s">
        <v>428</v>
      </c>
      <c r="S280" s="11" t="str">
        <f t="shared" si="8"/>
        <v>2026-07-21</v>
      </c>
      <c r="T280" s="11">
        <f>IF($E280="","",IF(COUNTIF($E$2:$E280,$E280)=1,1,0))</f>
        <v>0</v>
      </c>
      <c r="U280" s="11" t="str">
        <f>IF(T280=1,SUM($T$2:T280),"")</f>
        <v/>
      </c>
      <c r="V280" s="11">
        <f>IF(OR($R280="",$R280="-"),"",IF(COUNTIF($R$2:$R280,$R280)=1,1,0))</f>
        <v>0</v>
      </c>
      <c r="W280" s="11" t="str">
        <f>IF(V280=1,SUM($V$2:V280),"")</f>
        <v/>
      </c>
      <c r="X280" s="11" t="str">
        <f t="shared" si="9"/>
        <v>SHOPEE</v>
      </c>
    </row>
    <row r="281" spans="1:24">
      <c r="A281" s="15" t="s">
        <v>79</v>
      </c>
      <c r="B281" s="15" t="s">
        <v>83</v>
      </c>
      <c r="C281" s="15" t="s">
        <v>628</v>
      </c>
      <c r="D281" s="13">
        <v>46224.496527777781</v>
      </c>
      <c r="E281" s="15" t="s">
        <v>265</v>
      </c>
      <c r="F281" s="15" t="s">
        <v>629</v>
      </c>
      <c r="G281" s="15" t="s">
        <v>74</v>
      </c>
      <c r="H281" s="15" t="s">
        <v>75</v>
      </c>
      <c r="I281" s="14">
        <v>65000</v>
      </c>
      <c r="J281" s="15" t="s">
        <v>630</v>
      </c>
      <c r="K281" s="15" t="s">
        <v>27</v>
      </c>
      <c r="L281" s="15">
        <v>4</v>
      </c>
      <c r="M281" s="15">
        <v>0.18</v>
      </c>
      <c r="N281" s="15" t="s">
        <v>76</v>
      </c>
      <c r="O281" s="15" t="s">
        <v>76</v>
      </c>
      <c r="P281" s="14">
        <v>257500</v>
      </c>
      <c r="Q281" s="13">
        <v>46224.49722222222</v>
      </c>
      <c r="R281" s="15" t="s">
        <v>298</v>
      </c>
      <c r="S281" s="11" t="str">
        <f t="shared" si="8"/>
        <v>2026-07-21</v>
      </c>
      <c r="T281" s="11">
        <f>IF($E281="","",IF(COUNTIF($E$2:$E281,$E281)=1,1,0))</f>
        <v>0</v>
      </c>
      <c r="U281" s="11" t="str">
        <f>IF(T281=1,SUM($T$2:T281),"")</f>
        <v/>
      </c>
      <c r="V281" s="11">
        <f>IF(OR($R281="",$R281="-"),"",IF(COUNTIF($R$2:$R281,$R281)=1,1,0))</f>
        <v>0</v>
      </c>
      <c r="W281" s="11" t="str">
        <f>IF(V281=1,SUM($V$2:V281),"")</f>
        <v/>
      </c>
      <c r="X281" s="11" t="str">
        <f t="shared" si="9"/>
        <v>SHOPEE</v>
      </c>
    </row>
    <row r="282" spans="1:24">
      <c r="A282" s="15" t="s">
        <v>79</v>
      </c>
      <c r="B282" s="15" t="s">
        <v>83</v>
      </c>
      <c r="C282" s="15" t="s">
        <v>631</v>
      </c>
      <c r="D282" s="13">
        <v>46223.80972222222</v>
      </c>
      <c r="E282" s="15" t="s">
        <v>111</v>
      </c>
      <c r="F282" s="15" t="s">
        <v>632</v>
      </c>
      <c r="G282" s="15" t="s">
        <v>74</v>
      </c>
      <c r="H282" s="15" t="s">
        <v>75</v>
      </c>
      <c r="I282" s="14">
        <v>10000</v>
      </c>
      <c r="J282" s="15" t="s">
        <v>134</v>
      </c>
      <c r="K282" s="15" t="s">
        <v>30</v>
      </c>
      <c r="L282" s="15">
        <v>6</v>
      </c>
      <c r="M282" s="15">
        <v>0.6</v>
      </c>
      <c r="N282" s="15" t="s">
        <v>76</v>
      </c>
      <c r="O282" s="15" t="s">
        <v>76</v>
      </c>
      <c r="P282" s="14">
        <v>90000</v>
      </c>
      <c r="Q282" s="13">
        <v>46223.810416666667</v>
      </c>
      <c r="R282" s="15" t="s">
        <v>118</v>
      </c>
      <c r="S282" s="11" t="str">
        <f t="shared" si="8"/>
        <v>2026-07-20</v>
      </c>
      <c r="T282" s="11">
        <f>IF($E282="","",IF(COUNTIF($E$2:$E282,$E282)=1,1,0))</f>
        <v>0</v>
      </c>
      <c r="U282" s="11" t="str">
        <f>IF(T282=1,SUM($T$2:T282),"")</f>
        <v/>
      </c>
      <c r="V282" s="11">
        <f>IF(OR($R282="",$R282="-"),"",IF(COUNTIF($R$2:$R282,$R282)=1,1,0))</f>
        <v>0</v>
      </c>
      <c r="W282" s="11" t="str">
        <f>IF(V282=1,SUM($V$2:V282),"")</f>
        <v/>
      </c>
      <c r="X282" s="11" t="str">
        <f t="shared" si="9"/>
        <v>SHOPEE</v>
      </c>
    </row>
    <row r="283" spans="1:24">
      <c r="A283" s="15" t="s">
        <v>79</v>
      </c>
      <c r="B283" s="15" t="s">
        <v>83</v>
      </c>
      <c r="C283" s="15" t="s">
        <v>633</v>
      </c>
      <c r="D283" s="13">
        <v>46223.8</v>
      </c>
      <c r="E283" s="15" t="s">
        <v>73</v>
      </c>
      <c r="F283" s="15" t="s">
        <v>634</v>
      </c>
      <c r="G283" s="15" t="s">
        <v>74</v>
      </c>
      <c r="H283" s="15" t="s">
        <v>75</v>
      </c>
      <c r="I283" s="14">
        <v>12000</v>
      </c>
      <c r="J283" s="15" t="s">
        <v>123</v>
      </c>
      <c r="K283" s="15" t="s">
        <v>24</v>
      </c>
      <c r="L283" s="15">
        <v>1</v>
      </c>
      <c r="M283" s="15">
        <v>0.5</v>
      </c>
      <c r="N283" s="15" t="s">
        <v>76</v>
      </c>
      <c r="O283" s="15" t="s">
        <v>76</v>
      </c>
      <c r="P283" s="14">
        <v>196000</v>
      </c>
      <c r="Q283" s="13">
        <v>46223.8</v>
      </c>
      <c r="R283" s="15" t="s">
        <v>635</v>
      </c>
      <c r="S283" s="11" t="str">
        <f t="shared" si="8"/>
        <v>2026-07-20</v>
      </c>
      <c r="T283" s="11">
        <f>IF($E283="","",IF(COUNTIF($E$2:$E283,$E283)=1,1,0))</f>
        <v>0</v>
      </c>
      <c r="U283" s="11" t="str">
        <f>IF(T283=1,SUM($T$2:T283),"")</f>
        <v/>
      </c>
      <c r="V283" s="11">
        <f>IF(OR($R283="",$R283="-"),"",IF(COUNTIF($R$2:$R283,$R283)=1,1,0))</f>
        <v>1</v>
      </c>
      <c r="W283" s="11">
        <f>IF(V283=1,SUM($V$2:V283),"")</f>
        <v>100</v>
      </c>
      <c r="X283" s="11" t="str">
        <f t="shared" si="9"/>
        <v>SHOPEE</v>
      </c>
    </row>
    <row r="284" spans="1:24">
      <c r="A284" s="15" t="s">
        <v>636</v>
      </c>
      <c r="B284" s="15" t="s">
        <v>330</v>
      </c>
      <c r="C284" s="15" t="s">
        <v>637</v>
      </c>
      <c r="D284" s="13">
        <v>46223.783333333333</v>
      </c>
      <c r="E284" s="15" t="s">
        <v>73</v>
      </c>
      <c r="F284" s="15" t="s">
        <v>638</v>
      </c>
      <c r="G284" s="15" t="s">
        <v>74</v>
      </c>
      <c r="H284" s="15" t="s">
        <v>75</v>
      </c>
      <c r="I284" s="14">
        <v>10000</v>
      </c>
      <c r="J284" s="15" t="s">
        <v>128</v>
      </c>
      <c r="K284" s="15" t="s">
        <v>24</v>
      </c>
      <c r="L284" s="15">
        <v>1</v>
      </c>
      <c r="M284" s="15">
        <v>0.9</v>
      </c>
      <c r="N284" s="15" t="s">
        <v>76</v>
      </c>
      <c r="O284" s="15" t="s">
        <v>74</v>
      </c>
      <c r="P284" s="14">
        <v>195840</v>
      </c>
      <c r="Q284" s="13">
        <v>46223.78402777778</v>
      </c>
      <c r="R284" s="15" t="s">
        <v>636</v>
      </c>
      <c r="S284" s="11" t="str">
        <f t="shared" si="8"/>
        <v>2026-07-20</v>
      </c>
      <c r="T284" s="11">
        <f>IF($E284="","",IF(COUNTIF($E$2:$E284,$E284)=1,1,0))</f>
        <v>0</v>
      </c>
      <c r="U284" s="11" t="str">
        <f>IF(T284=1,SUM($T$2:T284),"")</f>
        <v/>
      </c>
      <c r="V284" s="11">
        <f>IF(OR($R284="",$R284="-"),"",IF(COUNTIF($R$2:$R284,$R284)=1,1,0))</f>
        <v>1</v>
      </c>
      <c r="W284" s="11">
        <f>IF(V284=1,SUM($V$2:V284),"")</f>
        <v>101</v>
      </c>
      <c r="X284" s="11" t="str">
        <f t="shared" si="9"/>
        <v>GLOBAL DIGITAL NIAGA</v>
      </c>
    </row>
    <row r="285" spans="1:24">
      <c r="A285" s="15" t="s">
        <v>79</v>
      </c>
      <c r="B285" s="15" t="s">
        <v>83</v>
      </c>
      <c r="C285" s="15" t="s">
        <v>639</v>
      </c>
      <c r="D285" s="13">
        <v>46223.765277777777</v>
      </c>
      <c r="E285" s="15" t="s">
        <v>265</v>
      </c>
      <c r="F285" s="15" t="s">
        <v>640</v>
      </c>
      <c r="G285" s="15" t="s">
        <v>74</v>
      </c>
      <c r="H285" s="15" t="s">
        <v>75</v>
      </c>
      <c r="I285" s="14">
        <v>12000</v>
      </c>
      <c r="J285" s="15" t="s">
        <v>313</v>
      </c>
      <c r="K285" s="15" t="s">
        <v>24</v>
      </c>
      <c r="L285" s="15">
        <v>1</v>
      </c>
      <c r="M285" s="15">
        <v>1</v>
      </c>
      <c r="N285" s="15" t="s">
        <v>76</v>
      </c>
      <c r="O285" s="15" t="s">
        <v>76</v>
      </c>
      <c r="P285" s="14">
        <v>599700</v>
      </c>
      <c r="Q285" s="13">
        <v>46223.765277777777</v>
      </c>
      <c r="R285" s="15" t="s">
        <v>641</v>
      </c>
      <c r="S285" s="11" t="str">
        <f t="shared" si="8"/>
        <v>2026-07-20</v>
      </c>
      <c r="T285" s="11">
        <f>IF($E285="","",IF(COUNTIF($E$2:$E285,$E285)=1,1,0))</f>
        <v>0</v>
      </c>
      <c r="U285" s="11" t="str">
        <f>IF(T285=1,SUM($T$2:T285),"")</f>
        <v/>
      </c>
      <c r="V285" s="11">
        <f>IF(OR($R285="",$R285="-"),"",IF(COUNTIF($R$2:$R285,$R285)=1,1,0))</f>
        <v>1</v>
      </c>
      <c r="W285" s="11">
        <f>IF(V285=1,SUM($V$2:V285),"")</f>
        <v>102</v>
      </c>
      <c r="X285" s="11" t="str">
        <f t="shared" si="9"/>
        <v>SHOPEE</v>
      </c>
    </row>
    <row r="286" spans="1:24">
      <c r="A286" s="15" t="s">
        <v>79</v>
      </c>
      <c r="B286" s="15" t="s">
        <v>83</v>
      </c>
      <c r="C286" s="15" t="s">
        <v>642</v>
      </c>
      <c r="D286" s="13">
        <v>46223.76458333333</v>
      </c>
      <c r="E286" s="15" t="s">
        <v>265</v>
      </c>
      <c r="F286" s="15" t="s">
        <v>643</v>
      </c>
      <c r="G286" s="15" t="s">
        <v>74</v>
      </c>
      <c r="H286" s="15" t="s">
        <v>75</v>
      </c>
      <c r="I286" s="14">
        <v>6000</v>
      </c>
      <c r="J286" s="15" t="s">
        <v>219</v>
      </c>
      <c r="K286" s="15" t="s">
        <v>27</v>
      </c>
      <c r="L286" s="15">
        <v>1</v>
      </c>
      <c r="M286" s="15">
        <v>0.42</v>
      </c>
      <c r="N286" s="15" t="s">
        <v>76</v>
      </c>
      <c r="O286" s="15" t="s">
        <v>76</v>
      </c>
      <c r="P286" s="14">
        <v>75000</v>
      </c>
      <c r="Q286" s="13">
        <v>46223.765277777777</v>
      </c>
      <c r="R286" s="15" t="s">
        <v>165</v>
      </c>
      <c r="S286" s="11" t="str">
        <f t="shared" si="8"/>
        <v>2026-07-20</v>
      </c>
      <c r="T286" s="11">
        <f>IF($E286="","",IF(COUNTIF($E$2:$E286,$E286)=1,1,0))</f>
        <v>0</v>
      </c>
      <c r="U286" s="11" t="str">
        <f>IF(T286=1,SUM($T$2:T286),"")</f>
        <v/>
      </c>
      <c r="V286" s="11">
        <f>IF(OR($R286="",$R286="-"),"",IF(COUNTIF($R$2:$R286,$R286)=1,1,0))</f>
        <v>1</v>
      </c>
      <c r="W286" s="11">
        <f>IF(V286=1,SUM($V$2:V286),"")</f>
        <v>103</v>
      </c>
      <c r="X286" s="11" t="str">
        <f t="shared" si="9"/>
        <v>SHOPEE</v>
      </c>
    </row>
    <row r="287" spans="1:24">
      <c r="A287" s="15" t="s">
        <v>79</v>
      </c>
      <c r="B287" s="15" t="s">
        <v>83</v>
      </c>
      <c r="C287" s="15" t="s">
        <v>644</v>
      </c>
      <c r="D287" s="13">
        <v>46223.737500000003</v>
      </c>
      <c r="E287" s="15" t="s">
        <v>111</v>
      </c>
      <c r="F287" s="15" t="s">
        <v>645</v>
      </c>
      <c r="G287" s="15" t="s">
        <v>74</v>
      </c>
      <c r="H287" s="15" t="s">
        <v>75</v>
      </c>
      <c r="I287" s="14">
        <v>36000</v>
      </c>
      <c r="J287" s="15" t="s">
        <v>185</v>
      </c>
      <c r="K287" s="15" t="s">
        <v>25</v>
      </c>
      <c r="L287" s="15">
        <v>1</v>
      </c>
      <c r="M287" s="15">
        <v>1.76</v>
      </c>
      <c r="N287" s="15" t="s">
        <v>76</v>
      </c>
      <c r="O287" s="15" t="s">
        <v>76</v>
      </c>
      <c r="P287" s="14">
        <v>279000</v>
      </c>
      <c r="Q287" s="13">
        <v>46223.738194444442</v>
      </c>
      <c r="R287" s="15" t="s">
        <v>143</v>
      </c>
      <c r="S287" s="11" t="str">
        <f t="shared" si="8"/>
        <v>2026-07-20</v>
      </c>
      <c r="T287" s="11">
        <f>IF($E287="","",IF(COUNTIF($E$2:$E287,$E287)=1,1,0))</f>
        <v>0</v>
      </c>
      <c r="U287" s="11" t="str">
        <f>IF(T287=1,SUM($T$2:T287),"")</f>
        <v/>
      </c>
      <c r="V287" s="11">
        <f>IF(OR($R287="",$R287="-"),"",IF(COUNTIF($R$2:$R287,$R287)=1,1,0))</f>
        <v>0</v>
      </c>
      <c r="W287" s="11" t="str">
        <f>IF(V287=1,SUM($V$2:V287),"")</f>
        <v/>
      </c>
      <c r="X287" s="11" t="str">
        <f t="shared" si="9"/>
        <v>SHOPEE</v>
      </c>
    </row>
    <row r="288" spans="1:24">
      <c r="A288" s="15" t="s">
        <v>79</v>
      </c>
      <c r="B288" s="15" t="s">
        <v>83</v>
      </c>
      <c r="C288" s="15" t="s">
        <v>644</v>
      </c>
      <c r="D288" s="13">
        <v>46223.737500000003</v>
      </c>
      <c r="E288" s="15" t="s">
        <v>111</v>
      </c>
      <c r="F288" s="15" t="s">
        <v>646</v>
      </c>
      <c r="G288" s="15" t="s">
        <v>74</v>
      </c>
      <c r="H288" s="15" t="s">
        <v>75</v>
      </c>
      <c r="I288" s="14">
        <v>12000</v>
      </c>
      <c r="J288" s="15" t="s">
        <v>204</v>
      </c>
      <c r="K288" s="15" t="s">
        <v>24</v>
      </c>
      <c r="L288" s="15">
        <v>100</v>
      </c>
      <c r="M288" s="15">
        <v>0.8</v>
      </c>
      <c r="N288" s="15" t="s">
        <v>76</v>
      </c>
      <c r="O288" s="15" t="s">
        <v>76</v>
      </c>
      <c r="P288" s="14">
        <v>100000</v>
      </c>
      <c r="Q288" s="13">
        <v>46223.738194444442</v>
      </c>
      <c r="R288" s="15" t="s">
        <v>109</v>
      </c>
      <c r="S288" s="11" t="str">
        <f t="shared" si="8"/>
        <v>2026-07-20</v>
      </c>
      <c r="T288" s="11">
        <f>IF($E288="","",IF(COUNTIF($E$2:$E288,$E288)=1,1,0))</f>
        <v>0</v>
      </c>
      <c r="U288" s="11" t="str">
        <f>IF(T288=1,SUM($T$2:T288),"")</f>
        <v/>
      </c>
      <c r="V288" s="11">
        <f>IF(OR($R288="",$R288="-"),"",IF(COUNTIF($R$2:$R288,$R288)=1,1,0))</f>
        <v>0</v>
      </c>
      <c r="W288" s="11" t="str">
        <f>IF(V288=1,SUM($V$2:V288),"")</f>
        <v/>
      </c>
      <c r="X288" s="11" t="str">
        <f t="shared" si="9"/>
        <v>SHOPEE</v>
      </c>
    </row>
    <row r="289" spans="1:24">
      <c r="A289" s="15" t="s">
        <v>79</v>
      </c>
      <c r="B289" s="15" t="s">
        <v>83</v>
      </c>
      <c r="C289" s="15" t="s">
        <v>644</v>
      </c>
      <c r="D289" s="13">
        <v>46223.737500000003</v>
      </c>
      <c r="E289" s="15" t="s">
        <v>111</v>
      </c>
      <c r="F289" s="15" t="s">
        <v>647</v>
      </c>
      <c r="G289" s="15" t="s">
        <v>74</v>
      </c>
      <c r="H289" s="15" t="s">
        <v>75</v>
      </c>
      <c r="I289" s="14">
        <v>12000</v>
      </c>
      <c r="J289" s="15" t="s">
        <v>259</v>
      </c>
      <c r="K289" s="15" t="s">
        <v>24</v>
      </c>
      <c r="L289" s="15">
        <v>1</v>
      </c>
      <c r="M289" s="15">
        <v>0.72</v>
      </c>
      <c r="N289" s="15" t="s">
        <v>76</v>
      </c>
      <c r="O289" s="15" t="s">
        <v>76</v>
      </c>
      <c r="P289" s="14">
        <v>114000</v>
      </c>
      <c r="Q289" s="13">
        <v>46223.738194444442</v>
      </c>
      <c r="R289" s="15" t="s">
        <v>109</v>
      </c>
      <c r="S289" s="11" t="str">
        <f t="shared" si="8"/>
        <v>2026-07-20</v>
      </c>
      <c r="T289" s="11">
        <f>IF($E289="","",IF(COUNTIF($E$2:$E289,$E289)=1,1,0))</f>
        <v>0</v>
      </c>
      <c r="U289" s="11" t="str">
        <f>IF(T289=1,SUM($T$2:T289),"")</f>
        <v/>
      </c>
      <c r="V289" s="11">
        <f>IF(OR($R289="",$R289="-"),"",IF(COUNTIF($R$2:$R289,$R289)=1,1,0))</f>
        <v>0</v>
      </c>
      <c r="W289" s="11" t="str">
        <f>IF(V289=1,SUM($V$2:V289),"")</f>
        <v/>
      </c>
      <c r="X289" s="11" t="str">
        <f t="shared" si="9"/>
        <v>SHOPEE</v>
      </c>
    </row>
    <row r="290" spans="1:24">
      <c r="A290" s="15" t="s">
        <v>79</v>
      </c>
      <c r="B290" s="15" t="s">
        <v>83</v>
      </c>
      <c r="C290" s="15" t="s">
        <v>648</v>
      </c>
      <c r="D290" s="13">
        <v>46223.724305555559</v>
      </c>
      <c r="E290" s="15" t="s">
        <v>73</v>
      </c>
      <c r="F290" s="15" t="s">
        <v>649</v>
      </c>
      <c r="G290" s="15" t="s">
        <v>74</v>
      </c>
      <c r="H290" s="15" t="s">
        <v>75</v>
      </c>
      <c r="I290" s="14">
        <v>11000</v>
      </c>
      <c r="J290" s="15" t="s">
        <v>271</v>
      </c>
      <c r="K290" s="15" t="s">
        <v>27</v>
      </c>
      <c r="L290" s="15">
        <v>1</v>
      </c>
      <c r="M290" s="15">
        <v>0.4</v>
      </c>
      <c r="N290" s="15" t="s">
        <v>76</v>
      </c>
      <c r="O290" s="15" t="s">
        <v>76</v>
      </c>
      <c r="P290" s="14">
        <v>55250</v>
      </c>
      <c r="Q290" s="13">
        <v>46223.724305555559</v>
      </c>
      <c r="R290" s="15" t="s">
        <v>650</v>
      </c>
      <c r="S290" s="11" t="str">
        <f t="shared" si="8"/>
        <v>2026-07-20</v>
      </c>
      <c r="T290" s="11">
        <f>IF($E290="","",IF(COUNTIF($E$2:$E290,$E290)=1,1,0))</f>
        <v>0</v>
      </c>
      <c r="U290" s="11" t="str">
        <f>IF(T290=1,SUM($T$2:T290),"")</f>
        <v/>
      </c>
      <c r="V290" s="11">
        <f>IF(OR($R290="",$R290="-"),"",IF(COUNTIF($R$2:$R290,$R290)=1,1,0))</f>
        <v>1</v>
      </c>
      <c r="W290" s="11">
        <f>IF(V290=1,SUM($V$2:V290),"")</f>
        <v>104</v>
      </c>
      <c r="X290" s="11" t="str">
        <f t="shared" si="9"/>
        <v>SHOPEE</v>
      </c>
    </row>
    <row r="291" spans="1:24">
      <c r="A291" s="15" t="s">
        <v>79</v>
      </c>
      <c r="B291" s="15" t="s">
        <v>83</v>
      </c>
      <c r="C291" s="15" t="s">
        <v>648</v>
      </c>
      <c r="D291" s="13">
        <v>46223.724305555559</v>
      </c>
      <c r="E291" s="15" t="s">
        <v>73</v>
      </c>
      <c r="F291" s="15" t="s">
        <v>651</v>
      </c>
      <c r="G291" s="15" t="s">
        <v>74</v>
      </c>
      <c r="H291" s="15" t="s">
        <v>75</v>
      </c>
      <c r="I291" s="14">
        <v>45000</v>
      </c>
      <c r="J291" s="15" t="s">
        <v>652</v>
      </c>
      <c r="K291" s="15" t="s">
        <v>24</v>
      </c>
      <c r="L291" s="15">
        <v>2</v>
      </c>
      <c r="M291" s="15">
        <v>0.75</v>
      </c>
      <c r="N291" s="15" t="s">
        <v>76</v>
      </c>
      <c r="O291" s="15" t="s">
        <v>76</v>
      </c>
      <c r="P291" s="14">
        <v>176175</v>
      </c>
      <c r="Q291" s="13">
        <v>46223.724305555559</v>
      </c>
      <c r="R291" s="15" t="s">
        <v>650</v>
      </c>
      <c r="S291" s="11" t="str">
        <f t="shared" si="8"/>
        <v>2026-07-20</v>
      </c>
      <c r="T291" s="11">
        <f>IF($E291="","",IF(COUNTIF($E$2:$E291,$E291)=1,1,0))</f>
        <v>0</v>
      </c>
      <c r="U291" s="11" t="str">
        <f>IF(T291=1,SUM($T$2:T291),"")</f>
        <v/>
      </c>
      <c r="V291" s="11">
        <f>IF(OR($R291="",$R291="-"),"",IF(COUNTIF($R$2:$R291,$R291)=1,1,0))</f>
        <v>0</v>
      </c>
      <c r="W291" s="11" t="str">
        <f>IF(V291=1,SUM($V$2:V291),"")</f>
        <v/>
      </c>
      <c r="X291" s="11" t="str">
        <f t="shared" si="9"/>
        <v>SHOPEE</v>
      </c>
    </row>
    <row r="292" spans="1:24">
      <c r="A292" s="15" t="s">
        <v>79</v>
      </c>
      <c r="B292" s="15" t="s">
        <v>83</v>
      </c>
      <c r="C292" s="15" t="s">
        <v>648</v>
      </c>
      <c r="D292" s="13">
        <v>46223.724305555559</v>
      </c>
      <c r="E292" s="15" t="s">
        <v>73</v>
      </c>
      <c r="F292" s="15" t="s">
        <v>653</v>
      </c>
      <c r="G292" s="15" t="s">
        <v>74</v>
      </c>
      <c r="H292" s="15" t="s">
        <v>75</v>
      </c>
      <c r="I292" s="14">
        <v>10000</v>
      </c>
      <c r="J292" s="15" t="s">
        <v>654</v>
      </c>
      <c r="K292" s="15" t="s">
        <v>27</v>
      </c>
      <c r="L292" s="15">
        <v>1</v>
      </c>
      <c r="M292" s="15">
        <v>0.2</v>
      </c>
      <c r="N292" s="15" t="s">
        <v>76</v>
      </c>
      <c r="O292" s="15" t="s">
        <v>76</v>
      </c>
      <c r="P292" s="14">
        <v>40500</v>
      </c>
      <c r="Q292" s="13">
        <v>46223.724305555559</v>
      </c>
      <c r="R292" s="15" t="s">
        <v>650</v>
      </c>
      <c r="S292" s="11" t="str">
        <f t="shared" si="8"/>
        <v>2026-07-20</v>
      </c>
      <c r="T292" s="11">
        <f>IF($E292="","",IF(COUNTIF($E$2:$E292,$E292)=1,1,0))</f>
        <v>0</v>
      </c>
      <c r="U292" s="11" t="str">
        <f>IF(T292=1,SUM($T$2:T292),"")</f>
        <v/>
      </c>
      <c r="V292" s="11">
        <f>IF(OR($R292="",$R292="-"),"",IF(COUNTIF($R$2:$R292,$R292)=1,1,0))</f>
        <v>0</v>
      </c>
      <c r="W292" s="11" t="str">
        <f>IF(V292=1,SUM($V$2:V292),"")</f>
        <v/>
      </c>
      <c r="X292" s="11" t="str">
        <f t="shared" si="9"/>
        <v>SHOPEE</v>
      </c>
    </row>
    <row r="293" spans="1:24">
      <c r="A293" s="15" t="s">
        <v>79</v>
      </c>
      <c r="B293" s="15" t="s">
        <v>83</v>
      </c>
      <c r="C293" s="15" t="s">
        <v>655</v>
      </c>
      <c r="D293" s="13">
        <v>46223.717361111114</v>
      </c>
      <c r="E293" s="15" t="s">
        <v>73</v>
      </c>
      <c r="F293" s="15" t="s">
        <v>656</v>
      </c>
      <c r="G293" s="15" t="s">
        <v>74</v>
      </c>
      <c r="H293" s="15" t="s">
        <v>75</v>
      </c>
      <c r="I293" s="14">
        <v>12000</v>
      </c>
      <c r="J293" s="15" t="s">
        <v>88</v>
      </c>
      <c r="K293" s="15" t="s">
        <v>24</v>
      </c>
      <c r="L293" s="15">
        <v>1</v>
      </c>
      <c r="M293" s="15">
        <v>1</v>
      </c>
      <c r="N293" s="15" t="s">
        <v>76</v>
      </c>
      <c r="O293" s="15" t="s">
        <v>76</v>
      </c>
      <c r="P293" s="14">
        <v>1860000</v>
      </c>
      <c r="Q293" s="13">
        <v>46223.718055555553</v>
      </c>
      <c r="R293" s="15" t="s">
        <v>86</v>
      </c>
      <c r="S293" s="11" t="str">
        <f t="shared" si="8"/>
        <v>2026-07-20</v>
      </c>
      <c r="T293" s="11">
        <f>IF($E293="","",IF(COUNTIF($E$2:$E293,$E293)=1,1,0))</f>
        <v>0</v>
      </c>
      <c r="U293" s="11" t="str">
        <f>IF(T293=1,SUM($T$2:T293),"")</f>
        <v/>
      </c>
      <c r="V293" s="11">
        <f>IF(OR($R293="",$R293="-"),"",IF(COUNTIF($R$2:$R293,$R293)=1,1,0))</f>
        <v>0</v>
      </c>
      <c r="W293" s="11" t="str">
        <f>IF(V293=1,SUM($V$2:V293),"")</f>
        <v/>
      </c>
      <c r="X293" s="11" t="str">
        <f t="shared" si="9"/>
        <v>SHOPEE</v>
      </c>
    </row>
    <row r="294" spans="1:24">
      <c r="A294" s="15" t="s">
        <v>79</v>
      </c>
      <c r="B294" s="15" t="s">
        <v>83</v>
      </c>
      <c r="C294" s="15" t="s">
        <v>657</v>
      </c>
      <c r="D294" s="13">
        <v>46223.71597222222</v>
      </c>
      <c r="E294" s="15" t="s">
        <v>73</v>
      </c>
      <c r="F294" s="15" t="s">
        <v>658</v>
      </c>
      <c r="G294" s="15" t="s">
        <v>74</v>
      </c>
      <c r="H294" s="15" t="s">
        <v>75</v>
      </c>
      <c r="I294" s="14">
        <v>12000</v>
      </c>
      <c r="J294" s="15" t="s">
        <v>136</v>
      </c>
      <c r="K294" s="15" t="s">
        <v>24</v>
      </c>
      <c r="L294" s="15">
        <v>1</v>
      </c>
      <c r="M294" s="15">
        <v>1</v>
      </c>
      <c r="N294" s="15" t="s">
        <v>76</v>
      </c>
      <c r="O294" s="15" t="s">
        <v>76</v>
      </c>
      <c r="P294" s="14">
        <v>3540000</v>
      </c>
      <c r="Q294" s="13">
        <v>46223.71597222222</v>
      </c>
      <c r="R294" s="15" t="s">
        <v>86</v>
      </c>
      <c r="S294" s="11" t="str">
        <f t="shared" si="8"/>
        <v>2026-07-20</v>
      </c>
      <c r="T294" s="11">
        <f>IF($E294="","",IF(COUNTIF($E$2:$E294,$E294)=1,1,0))</f>
        <v>0</v>
      </c>
      <c r="U294" s="11" t="str">
        <f>IF(T294=1,SUM($T$2:T294),"")</f>
        <v/>
      </c>
      <c r="V294" s="11">
        <f>IF(OR($R294="",$R294="-"),"",IF(COUNTIF($R$2:$R294,$R294)=1,1,0))</f>
        <v>0</v>
      </c>
      <c r="W294" s="11" t="str">
        <f>IF(V294=1,SUM($V$2:V294),"")</f>
        <v/>
      </c>
      <c r="X294" s="11" t="str">
        <f t="shared" si="9"/>
        <v>SHOPEE</v>
      </c>
    </row>
    <row r="295" spans="1:24">
      <c r="A295" s="15" t="s">
        <v>659</v>
      </c>
      <c r="B295" s="15" t="s">
        <v>116</v>
      </c>
      <c r="C295" s="15" t="s">
        <v>660</v>
      </c>
      <c r="D295" s="13">
        <v>46223.623611111114</v>
      </c>
      <c r="E295" s="15" t="s">
        <v>111</v>
      </c>
      <c r="F295" s="15" t="s">
        <v>661</v>
      </c>
      <c r="G295" s="15" t="s">
        <v>74</v>
      </c>
      <c r="H295" s="15" t="s">
        <v>75</v>
      </c>
      <c r="I295" s="14">
        <v>27000</v>
      </c>
      <c r="J295" s="15" t="s">
        <v>136</v>
      </c>
      <c r="K295" s="15" t="s">
        <v>26</v>
      </c>
      <c r="L295" s="15">
        <v>3</v>
      </c>
      <c r="M295" s="15">
        <v>3</v>
      </c>
      <c r="N295" s="15" t="s">
        <v>76</v>
      </c>
      <c r="O295" s="15" t="s">
        <v>76</v>
      </c>
      <c r="P295" s="14">
        <v>1859999</v>
      </c>
      <c r="Q295" s="13">
        <v>46223.624305555553</v>
      </c>
      <c r="R295" s="15" t="s">
        <v>659</v>
      </c>
      <c r="S295" s="11" t="str">
        <f t="shared" si="8"/>
        <v>2026-07-20</v>
      </c>
      <c r="T295" s="11">
        <f>IF($E295="","",IF(COUNTIF($E$2:$E295,$E295)=1,1,0))</f>
        <v>0</v>
      </c>
      <c r="U295" s="11" t="str">
        <f>IF(T295=1,SUM($T$2:T295),"")</f>
        <v/>
      </c>
      <c r="V295" s="11">
        <f>IF(OR($R295="",$R295="-"),"",IF(COUNTIF($R$2:$R295,$R295)=1,1,0))</f>
        <v>0</v>
      </c>
      <c r="W295" s="11" t="str">
        <f>IF(V295=1,SUM($V$2:V295),"")</f>
        <v/>
      </c>
      <c r="X295" s="11" t="str">
        <f t="shared" si="9"/>
        <v>SHOPEE</v>
      </c>
    </row>
    <row r="296" spans="1:24">
      <c r="A296" s="15" t="s">
        <v>79</v>
      </c>
      <c r="B296" s="15" t="s">
        <v>83</v>
      </c>
      <c r="C296" s="15" t="s">
        <v>662</v>
      </c>
      <c r="D296" s="13">
        <v>46223.572916666664</v>
      </c>
      <c r="E296" s="15" t="s">
        <v>265</v>
      </c>
      <c r="F296" s="15" t="s">
        <v>663</v>
      </c>
      <c r="G296" s="15" t="s">
        <v>74</v>
      </c>
      <c r="H296" s="15" t="s">
        <v>75</v>
      </c>
      <c r="I296" s="14">
        <v>48000</v>
      </c>
      <c r="J296" s="15" t="s">
        <v>664</v>
      </c>
      <c r="K296" s="15" t="s">
        <v>24</v>
      </c>
      <c r="L296" s="15">
        <v>1</v>
      </c>
      <c r="M296" s="15">
        <v>2.2000000000000002</v>
      </c>
      <c r="N296" s="15" t="s">
        <v>76</v>
      </c>
      <c r="O296" s="15" t="s">
        <v>76</v>
      </c>
      <c r="P296" s="14">
        <v>250000</v>
      </c>
      <c r="Q296" s="13">
        <v>46223.573611111111</v>
      </c>
      <c r="R296" s="15" t="s">
        <v>127</v>
      </c>
      <c r="S296" s="11" t="str">
        <f t="shared" si="8"/>
        <v>2026-07-20</v>
      </c>
      <c r="T296" s="11">
        <f>IF($E296="","",IF(COUNTIF($E$2:$E296,$E296)=1,1,0))</f>
        <v>0</v>
      </c>
      <c r="U296" s="11" t="str">
        <f>IF(T296=1,SUM($T$2:T296),"")</f>
        <v/>
      </c>
      <c r="V296" s="11">
        <f>IF(OR($R296="",$R296="-"),"",IF(COUNTIF($R$2:$R296,$R296)=1,1,0))</f>
        <v>0</v>
      </c>
      <c r="W296" s="11" t="str">
        <f>IF(V296=1,SUM($V$2:V296),"")</f>
        <v/>
      </c>
      <c r="X296" s="11" t="str">
        <f t="shared" si="9"/>
        <v>SHOPEE</v>
      </c>
    </row>
    <row r="297" spans="1:24">
      <c r="A297" s="15" t="s">
        <v>79</v>
      </c>
      <c r="B297" s="15" t="s">
        <v>83</v>
      </c>
      <c r="C297" s="15" t="s">
        <v>665</v>
      </c>
      <c r="D297" s="13">
        <v>46223.566666666666</v>
      </c>
      <c r="E297" s="15" t="s">
        <v>111</v>
      </c>
      <c r="F297" s="15" t="s">
        <v>666</v>
      </c>
      <c r="G297" s="15" t="s">
        <v>74</v>
      </c>
      <c r="H297" s="15" t="s">
        <v>75</v>
      </c>
      <c r="I297" s="14">
        <v>18000</v>
      </c>
      <c r="J297" s="15" t="s">
        <v>107</v>
      </c>
      <c r="K297" s="15" t="s">
        <v>25</v>
      </c>
      <c r="L297" s="15">
        <v>1</v>
      </c>
      <c r="M297" s="15">
        <v>0.01</v>
      </c>
      <c r="N297" s="15" t="s">
        <v>76</v>
      </c>
      <c r="O297" s="15" t="s">
        <v>76</v>
      </c>
      <c r="P297" s="14">
        <v>50000</v>
      </c>
      <c r="Q297" s="13">
        <v>46223.566666666666</v>
      </c>
      <c r="R297" s="15" t="s">
        <v>667</v>
      </c>
      <c r="S297" s="11" t="str">
        <f t="shared" si="8"/>
        <v>2026-07-20</v>
      </c>
      <c r="T297" s="11">
        <f>IF($E297="","",IF(COUNTIF($E$2:$E297,$E297)=1,1,0))</f>
        <v>0</v>
      </c>
      <c r="U297" s="11" t="str">
        <f>IF(T297=1,SUM($T$2:T297),"")</f>
        <v/>
      </c>
      <c r="V297" s="11">
        <f>IF(OR($R297="",$R297="-"),"",IF(COUNTIF($R$2:$R297,$R297)=1,1,0))</f>
        <v>1</v>
      </c>
      <c r="W297" s="11">
        <f>IF(V297=1,SUM($V$2:V297),"")</f>
        <v>105</v>
      </c>
      <c r="X297" s="11" t="str">
        <f t="shared" si="9"/>
        <v>SHOPEE</v>
      </c>
    </row>
    <row r="298" spans="1:24">
      <c r="A298" s="15" t="s">
        <v>79</v>
      </c>
      <c r="B298" s="15" t="s">
        <v>80</v>
      </c>
      <c r="C298" s="15" t="s">
        <v>668</v>
      </c>
      <c r="D298" s="13">
        <v>46223.359027777777</v>
      </c>
      <c r="E298" s="15" t="s">
        <v>95</v>
      </c>
      <c r="F298" s="15" t="s">
        <v>669</v>
      </c>
      <c r="G298" s="15" t="s">
        <v>74</v>
      </c>
      <c r="H298" s="15" t="s">
        <v>75</v>
      </c>
      <c r="I298" s="14">
        <v>12000</v>
      </c>
      <c r="J298" s="15" t="s">
        <v>121</v>
      </c>
      <c r="K298" s="15" t="s">
        <v>24</v>
      </c>
      <c r="L298" s="15">
        <v>1</v>
      </c>
      <c r="M298" s="15">
        <v>0.6</v>
      </c>
      <c r="N298" s="15" t="s">
        <v>76</v>
      </c>
      <c r="O298" s="15" t="s">
        <v>76</v>
      </c>
      <c r="P298" s="14">
        <v>101250</v>
      </c>
      <c r="Q298" s="13">
        <v>46223.359027777777</v>
      </c>
      <c r="R298" s="15" t="s">
        <v>670</v>
      </c>
      <c r="S298" s="11" t="str">
        <f t="shared" si="8"/>
        <v>2026-07-20</v>
      </c>
      <c r="T298" s="11">
        <f>IF($E298="","",IF(COUNTIF($E$2:$E298,$E298)=1,1,0))</f>
        <v>0</v>
      </c>
      <c r="U298" s="11" t="str">
        <f>IF(T298=1,SUM($T$2:T298),"")</f>
        <v/>
      </c>
      <c r="V298" s="11">
        <f>IF(OR($R298="",$R298="-"),"",IF(COUNTIF($R$2:$R298,$R298)=1,1,0))</f>
        <v>1</v>
      </c>
      <c r="W298" s="11">
        <f>IF(V298=1,SUM($V$2:V298),"")</f>
        <v>106</v>
      </c>
      <c r="X298" s="11" t="str">
        <f t="shared" si="9"/>
        <v>SHOPEE</v>
      </c>
    </row>
    <row r="299" spans="1:24">
      <c r="A299" s="15" t="s">
        <v>79</v>
      </c>
      <c r="B299" s="15" t="s">
        <v>80</v>
      </c>
      <c r="C299" s="15" t="s">
        <v>671</v>
      </c>
      <c r="D299" s="13">
        <v>46223.338888888888</v>
      </c>
      <c r="E299" s="15" t="s">
        <v>95</v>
      </c>
      <c r="F299" s="15" t="s">
        <v>672</v>
      </c>
      <c r="G299" s="15" t="s">
        <v>74</v>
      </c>
      <c r="H299" s="15" t="s">
        <v>75</v>
      </c>
      <c r="I299" s="14">
        <v>14000</v>
      </c>
      <c r="J299" s="15" t="s">
        <v>673</v>
      </c>
      <c r="K299" s="15" t="s">
        <v>24</v>
      </c>
      <c r="L299" s="15">
        <v>1</v>
      </c>
      <c r="M299" s="15">
        <v>0.2</v>
      </c>
      <c r="N299" s="15" t="s">
        <v>76</v>
      </c>
      <c r="O299" s="15" t="s">
        <v>76</v>
      </c>
      <c r="P299" s="14">
        <v>31362</v>
      </c>
      <c r="Q299" s="13">
        <v>46223.339583333334</v>
      </c>
      <c r="R299" s="15" t="s">
        <v>274</v>
      </c>
      <c r="S299" s="11" t="str">
        <f t="shared" si="8"/>
        <v>2026-07-20</v>
      </c>
      <c r="T299" s="11">
        <f>IF($E299="","",IF(COUNTIF($E$2:$E299,$E299)=1,1,0))</f>
        <v>0</v>
      </c>
      <c r="U299" s="11" t="str">
        <f>IF(T299=1,SUM($T$2:T299),"")</f>
        <v/>
      </c>
      <c r="V299" s="11">
        <f>IF(OR($R299="",$R299="-"),"",IF(COUNTIF($R$2:$R299,$R299)=1,1,0))</f>
        <v>1</v>
      </c>
      <c r="W299" s="11">
        <f>IF(V299=1,SUM($V$2:V299),"")</f>
        <v>107</v>
      </c>
      <c r="X299" s="11" t="str">
        <f t="shared" si="9"/>
        <v>SHOPEE</v>
      </c>
    </row>
    <row r="300" spans="1:24">
      <c r="A300" s="15" t="s">
        <v>79</v>
      </c>
      <c r="B300" s="15" t="s">
        <v>83</v>
      </c>
      <c r="C300" s="15" t="s">
        <v>674</v>
      </c>
      <c r="D300" s="13">
        <v>46223.292361111111</v>
      </c>
      <c r="E300" s="15" t="s">
        <v>95</v>
      </c>
      <c r="F300" s="15" t="s">
        <v>675</v>
      </c>
      <c r="G300" s="15" t="s">
        <v>74</v>
      </c>
      <c r="H300" s="15" t="s">
        <v>75</v>
      </c>
      <c r="I300" s="14">
        <v>12000</v>
      </c>
      <c r="J300" s="15" t="s">
        <v>676</v>
      </c>
      <c r="K300" s="15" t="s">
        <v>24</v>
      </c>
      <c r="L300" s="15">
        <v>1</v>
      </c>
      <c r="M300" s="15">
        <v>0.9</v>
      </c>
      <c r="N300" s="15" t="s">
        <v>76</v>
      </c>
      <c r="O300" s="15" t="s">
        <v>76</v>
      </c>
      <c r="P300" s="14">
        <v>100000</v>
      </c>
      <c r="Q300" s="13">
        <v>46223.292361111111</v>
      </c>
      <c r="R300" s="15" t="s">
        <v>677</v>
      </c>
      <c r="S300" s="11" t="str">
        <f t="shared" si="8"/>
        <v>2026-07-20</v>
      </c>
      <c r="T300" s="11">
        <f>IF($E300="","",IF(COUNTIF($E$2:$E300,$E300)=1,1,0))</f>
        <v>0</v>
      </c>
      <c r="U300" s="11" t="str">
        <f>IF(T300=1,SUM($T$2:T300),"")</f>
        <v/>
      </c>
      <c r="V300" s="11">
        <f>IF(OR($R300="",$R300="-"),"",IF(COUNTIF($R$2:$R300,$R300)=1,1,0))</f>
        <v>1</v>
      </c>
      <c r="W300" s="11">
        <f>IF(V300=1,SUM($V$2:V300),"")</f>
        <v>108</v>
      </c>
      <c r="X300" s="11" t="str">
        <f t="shared" si="9"/>
        <v>SHOPEE</v>
      </c>
    </row>
    <row r="301" spans="1:24">
      <c r="A301" s="15" t="s">
        <v>682</v>
      </c>
      <c r="B301" s="15" t="s">
        <v>191</v>
      </c>
      <c r="C301" s="15" t="s">
        <v>678</v>
      </c>
      <c r="D301" s="13">
        <v>46222.813194444447</v>
      </c>
      <c r="E301" s="15" t="s">
        <v>73</v>
      </c>
      <c r="F301" s="15" t="s">
        <v>683</v>
      </c>
      <c r="G301" s="15" t="s">
        <v>74</v>
      </c>
      <c r="H301" s="15" t="s">
        <v>75</v>
      </c>
      <c r="I301" s="14">
        <v>30000</v>
      </c>
      <c r="J301" s="15" t="s">
        <v>684</v>
      </c>
      <c r="K301" s="15" t="s">
        <v>24</v>
      </c>
      <c r="L301" s="15">
        <v>1</v>
      </c>
      <c r="M301" s="15">
        <v>1.5</v>
      </c>
      <c r="N301" s="15" t="s">
        <v>76</v>
      </c>
      <c r="O301" s="15" t="s">
        <v>76</v>
      </c>
      <c r="P301" s="14">
        <v>230000</v>
      </c>
      <c r="Q301" s="13">
        <v>46222.814583333333</v>
      </c>
      <c r="R301" s="15" t="s">
        <v>685</v>
      </c>
      <c r="S301" s="11" t="str">
        <f t="shared" si="8"/>
        <v>2026-07-19</v>
      </c>
      <c r="T301" s="11">
        <f>IF($E301="","",IF(COUNTIF($E$2:$E301,$E301)=1,1,0))</f>
        <v>0</v>
      </c>
      <c r="U301" s="11" t="str">
        <f>IF(T301=1,SUM($T$2:T301),"")</f>
        <v/>
      </c>
      <c r="V301" s="11">
        <f>IF(OR($R301="",$R301="-"),"",IF(COUNTIF($R$2:$R301,$R301)=1,1,0))</f>
        <v>1</v>
      </c>
      <c r="W301" s="11">
        <f>IF(V301=1,SUM($V$2:V301),"")</f>
        <v>109</v>
      </c>
      <c r="X301" s="11" t="str">
        <f t="shared" si="9"/>
        <v>TOKGISTIC</v>
      </c>
    </row>
    <row r="302" spans="1:24">
      <c r="A302" s="15" t="s">
        <v>79</v>
      </c>
      <c r="B302" s="15" t="s">
        <v>80</v>
      </c>
      <c r="C302" s="15" t="s">
        <v>678</v>
      </c>
      <c r="D302" s="13">
        <v>46222.813194444447</v>
      </c>
      <c r="E302" s="15" t="s">
        <v>73</v>
      </c>
      <c r="F302" s="15" t="s">
        <v>679</v>
      </c>
      <c r="G302" s="15" t="s">
        <v>74</v>
      </c>
      <c r="H302" s="15" t="s">
        <v>75</v>
      </c>
      <c r="I302" s="14">
        <v>24000</v>
      </c>
      <c r="J302" s="15" t="s">
        <v>680</v>
      </c>
      <c r="K302" s="15" t="s">
        <v>24</v>
      </c>
      <c r="L302" s="15">
        <v>1</v>
      </c>
      <c r="M302" s="15">
        <v>2</v>
      </c>
      <c r="N302" s="15" t="s">
        <v>76</v>
      </c>
      <c r="O302" s="15" t="s">
        <v>76</v>
      </c>
      <c r="P302" s="14">
        <v>70927</v>
      </c>
      <c r="Q302" s="13">
        <v>46222.814583333333</v>
      </c>
      <c r="R302" s="15" t="s">
        <v>681</v>
      </c>
      <c r="S302" s="11" t="str">
        <f t="shared" si="8"/>
        <v>2026-07-19</v>
      </c>
      <c r="T302" s="11">
        <f>IF($E302="","",IF(COUNTIF($E$2:$E302,$E302)=1,1,0))</f>
        <v>0</v>
      </c>
      <c r="U302" s="11" t="str">
        <f>IF(T302=1,SUM($T$2:T302),"")</f>
        <v/>
      </c>
      <c r="V302" s="11">
        <f>IF(OR($R302="",$R302="-"),"",IF(COUNTIF($R$2:$R302,$R302)=1,1,0))</f>
        <v>1</v>
      </c>
      <c r="W302" s="11">
        <f>IF(V302=1,SUM($V$2:V302),"")</f>
        <v>110</v>
      </c>
      <c r="X302" s="11" t="str">
        <f t="shared" si="9"/>
        <v>SHOPEE</v>
      </c>
    </row>
    <row r="303" spans="1:24">
      <c r="A303" s="15" t="s">
        <v>79</v>
      </c>
      <c r="B303" s="15" t="s">
        <v>83</v>
      </c>
      <c r="C303" s="15" t="s">
        <v>686</v>
      </c>
      <c r="D303" s="13">
        <v>46222.772916666669</v>
      </c>
      <c r="E303" s="15" t="s">
        <v>73</v>
      </c>
      <c r="F303" s="15" t="s">
        <v>687</v>
      </c>
      <c r="G303" s="15" t="s">
        <v>74</v>
      </c>
      <c r="H303" s="15" t="s">
        <v>75</v>
      </c>
      <c r="I303" s="14">
        <v>76000</v>
      </c>
      <c r="J303" s="15" t="s">
        <v>688</v>
      </c>
      <c r="K303" s="15" t="s">
        <v>24</v>
      </c>
      <c r="L303" s="15">
        <v>1</v>
      </c>
      <c r="M303" s="15">
        <v>1.46</v>
      </c>
      <c r="N303" s="15" t="s">
        <v>76</v>
      </c>
      <c r="O303" s="15" t="s">
        <v>76</v>
      </c>
      <c r="P303" s="14">
        <v>2700000</v>
      </c>
      <c r="Q303" s="13">
        <v>46222.772916666669</v>
      </c>
      <c r="R303" s="15" t="s">
        <v>689</v>
      </c>
      <c r="S303" s="11" t="str">
        <f t="shared" si="8"/>
        <v>2026-07-19</v>
      </c>
      <c r="T303" s="11">
        <f>IF($E303="","",IF(COUNTIF($E$2:$E303,$E303)=1,1,0))</f>
        <v>0</v>
      </c>
      <c r="U303" s="11" t="str">
        <f>IF(T303=1,SUM($T$2:T303),"")</f>
        <v/>
      </c>
      <c r="V303" s="11">
        <f>IF(OR($R303="",$R303="-"),"",IF(COUNTIF($R$2:$R303,$R303)=1,1,0))</f>
        <v>1</v>
      </c>
      <c r="W303" s="11">
        <f>IF(V303=1,SUM($V$2:V303),"")</f>
        <v>111</v>
      </c>
      <c r="X303" s="11" t="str">
        <f t="shared" si="9"/>
        <v>SHOPEE</v>
      </c>
    </row>
    <row r="304" spans="1:24">
      <c r="A304" s="15" t="s">
        <v>79</v>
      </c>
      <c r="B304" s="15" t="s">
        <v>83</v>
      </c>
      <c r="C304" s="15" t="s">
        <v>690</v>
      </c>
      <c r="D304" s="13">
        <v>46222.762499999997</v>
      </c>
      <c r="E304" s="15" t="s">
        <v>73</v>
      </c>
      <c r="F304" s="15" t="s">
        <v>691</v>
      </c>
      <c r="G304" s="15" t="s">
        <v>74</v>
      </c>
      <c r="H304" s="15" t="s">
        <v>75</v>
      </c>
      <c r="I304" s="14">
        <v>12000</v>
      </c>
      <c r="J304" s="15" t="s">
        <v>160</v>
      </c>
      <c r="K304" s="15" t="s">
        <v>24</v>
      </c>
      <c r="L304" s="15">
        <v>1</v>
      </c>
      <c r="M304" s="15">
        <v>0.67</v>
      </c>
      <c r="N304" s="15" t="s">
        <v>76</v>
      </c>
      <c r="O304" s="15" t="s">
        <v>76</v>
      </c>
      <c r="P304" s="14">
        <v>99000</v>
      </c>
      <c r="Q304" s="13">
        <v>46222.762499999997</v>
      </c>
      <c r="R304" s="15" t="s">
        <v>133</v>
      </c>
      <c r="S304" s="11" t="str">
        <f t="shared" si="8"/>
        <v>2026-07-19</v>
      </c>
      <c r="T304" s="11">
        <f>IF($E304="","",IF(COUNTIF($E$2:$E304,$E304)=1,1,0))</f>
        <v>0</v>
      </c>
      <c r="U304" s="11" t="str">
        <f>IF(T304=1,SUM($T$2:T304),"")</f>
        <v/>
      </c>
      <c r="V304" s="11">
        <f>IF(OR($R304="",$R304="-"),"",IF(COUNTIF($R$2:$R304,$R304)=1,1,0))</f>
        <v>0</v>
      </c>
      <c r="W304" s="11" t="str">
        <f>IF(V304=1,SUM($V$2:V304),"")</f>
        <v/>
      </c>
      <c r="X304" s="11" t="str">
        <f t="shared" si="9"/>
        <v>SHOPEE</v>
      </c>
    </row>
    <row r="305" spans="1:24">
      <c r="A305" s="15" t="s">
        <v>79</v>
      </c>
      <c r="B305" s="15" t="s">
        <v>83</v>
      </c>
      <c r="C305" s="15" t="s">
        <v>690</v>
      </c>
      <c r="D305" s="13">
        <v>46222.762499999997</v>
      </c>
      <c r="E305" s="15" t="s">
        <v>73</v>
      </c>
      <c r="F305" s="15" t="s">
        <v>692</v>
      </c>
      <c r="G305" s="15" t="s">
        <v>74</v>
      </c>
      <c r="H305" s="15" t="s">
        <v>75</v>
      </c>
      <c r="I305" s="14">
        <v>60000</v>
      </c>
      <c r="J305" s="15" t="s">
        <v>322</v>
      </c>
      <c r="K305" s="15" t="s">
        <v>24</v>
      </c>
      <c r="L305" s="15">
        <v>80</v>
      </c>
      <c r="M305" s="15">
        <v>4.57</v>
      </c>
      <c r="N305" s="15" t="s">
        <v>76</v>
      </c>
      <c r="O305" s="15" t="s">
        <v>76</v>
      </c>
      <c r="P305" s="14">
        <v>76000</v>
      </c>
      <c r="Q305" s="13">
        <v>46222.762499999997</v>
      </c>
      <c r="R305" s="15" t="s">
        <v>133</v>
      </c>
      <c r="S305" s="11" t="str">
        <f t="shared" si="8"/>
        <v>2026-07-19</v>
      </c>
      <c r="T305" s="11">
        <f>IF($E305="","",IF(COUNTIF($E$2:$E305,$E305)=1,1,0))</f>
        <v>0</v>
      </c>
      <c r="U305" s="11" t="str">
        <f>IF(T305=1,SUM($T$2:T305),"")</f>
        <v/>
      </c>
      <c r="V305" s="11">
        <f>IF(OR($R305="",$R305="-"),"",IF(COUNTIF($R$2:$R305,$R305)=1,1,0))</f>
        <v>0</v>
      </c>
      <c r="W305" s="11" t="str">
        <f>IF(V305=1,SUM($V$2:V305),"")</f>
        <v/>
      </c>
      <c r="X305" s="11" t="str">
        <f t="shared" si="9"/>
        <v>SHOPEE</v>
      </c>
    </row>
    <row r="306" spans="1:24">
      <c r="A306" s="15" t="s">
        <v>79</v>
      </c>
      <c r="B306" s="15" t="s">
        <v>80</v>
      </c>
      <c r="C306" s="15" t="s">
        <v>693</v>
      </c>
      <c r="D306" s="13">
        <v>46222.727083333331</v>
      </c>
      <c r="E306" s="15" t="s">
        <v>73</v>
      </c>
      <c r="F306" s="15" t="s">
        <v>694</v>
      </c>
      <c r="G306" s="15" t="s">
        <v>74</v>
      </c>
      <c r="H306" s="15" t="s">
        <v>75</v>
      </c>
      <c r="I306" s="14">
        <v>24000</v>
      </c>
      <c r="J306" s="15" t="s">
        <v>113</v>
      </c>
      <c r="K306" s="15" t="s">
        <v>24</v>
      </c>
      <c r="L306" s="15">
        <v>1</v>
      </c>
      <c r="M306" s="15">
        <v>1.53</v>
      </c>
      <c r="N306" s="15" t="s">
        <v>76</v>
      </c>
      <c r="O306" s="15" t="s">
        <v>76</v>
      </c>
      <c r="P306" s="14">
        <v>168000</v>
      </c>
      <c r="Q306" s="13">
        <v>46222.727777777778</v>
      </c>
      <c r="R306" s="15" t="s">
        <v>695</v>
      </c>
      <c r="S306" s="11" t="str">
        <f t="shared" si="8"/>
        <v>2026-07-19</v>
      </c>
      <c r="T306" s="11">
        <f>IF($E306="","",IF(COUNTIF($E$2:$E306,$E306)=1,1,0))</f>
        <v>0</v>
      </c>
      <c r="U306" s="11" t="str">
        <f>IF(T306=1,SUM($T$2:T306),"")</f>
        <v/>
      </c>
      <c r="V306" s="11">
        <f>IF(OR($R306="",$R306="-"),"",IF(COUNTIF($R$2:$R306,$R306)=1,1,0))</f>
        <v>1</v>
      </c>
      <c r="W306" s="11">
        <f>IF(V306=1,SUM($V$2:V306),"")</f>
        <v>112</v>
      </c>
      <c r="X306" s="11" t="str">
        <f t="shared" si="9"/>
        <v>SHOPEE</v>
      </c>
    </row>
    <row r="307" spans="1:24">
      <c r="A307" s="15" t="s">
        <v>79</v>
      </c>
      <c r="B307" s="15" t="s">
        <v>80</v>
      </c>
      <c r="C307" s="15" t="s">
        <v>693</v>
      </c>
      <c r="D307" s="13">
        <v>46222.727083333331</v>
      </c>
      <c r="E307" s="15" t="s">
        <v>73</v>
      </c>
      <c r="F307" s="15" t="s">
        <v>696</v>
      </c>
      <c r="G307" s="15" t="s">
        <v>74</v>
      </c>
      <c r="H307" s="15" t="s">
        <v>75</v>
      </c>
      <c r="I307" s="14">
        <v>12000</v>
      </c>
      <c r="J307" s="15" t="s">
        <v>697</v>
      </c>
      <c r="K307" s="15" t="s">
        <v>24</v>
      </c>
      <c r="L307" s="15">
        <v>1</v>
      </c>
      <c r="M307" s="15">
        <v>0.8</v>
      </c>
      <c r="N307" s="15" t="s">
        <v>76</v>
      </c>
      <c r="O307" s="15" t="s">
        <v>76</v>
      </c>
      <c r="P307" s="14">
        <v>59901</v>
      </c>
      <c r="Q307" s="13">
        <v>46222.727777777778</v>
      </c>
      <c r="R307" s="15" t="s">
        <v>695</v>
      </c>
      <c r="S307" s="11" t="str">
        <f t="shared" si="8"/>
        <v>2026-07-19</v>
      </c>
      <c r="T307" s="11">
        <f>IF($E307="","",IF(COUNTIF($E$2:$E307,$E307)=1,1,0))</f>
        <v>0</v>
      </c>
      <c r="U307" s="11" t="str">
        <f>IF(T307=1,SUM($T$2:T307),"")</f>
        <v/>
      </c>
      <c r="V307" s="11">
        <f>IF(OR($R307="",$R307="-"),"",IF(COUNTIF($R$2:$R307,$R307)=1,1,0))</f>
        <v>0</v>
      </c>
      <c r="W307" s="11" t="str">
        <f>IF(V307=1,SUM($V$2:V307),"")</f>
        <v/>
      </c>
      <c r="X307" s="11" t="str">
        <f t="shared" si="9"/>
        <v>SHOPEE</v>
      </c>
    </row>
    <row r="308" spans="1:24">
      <c r="A308" s="15" t="s">
        <v>79</v>
      </c>
      <c r="B308" s="15" t="s">
        <v>83</v>
      </c>
      <c r="C308" s="15" t="s">
        <v>698</v>
      </c>
      <c r="D308" s="13">
        <v>46222.713888888888</v>
      </c>
      <c r="E308" s="15" t="s">
        <v>73</v>
      </c>
      <c r="F308" s="15" t="s">
        <v>700</v>
      </c>
      <c r="G308" s="15" t="s">
        <v>74</v>
      </c>
      <c r="H308" s="15" t="s">
        <v>75</v>
      </c>
      <c r="I308" s="14">
        <v>12000</v>
      </c>
      <c r="J308" s="15" t="s">
        <v>586</v>
      </c>
      <c r="K308" s="15" t="s">
        <v>24</v>
      </c>
      <c r="L308" s="15">
        <v>3</v>
      </c>
      <c r="M308" s="15">
        <v>1.2</v>
      </c>
      <c r="N308" s="15" t="s">
        <v>76</v>
      </c>
      <c r="O308" s="15" t="s">
        <v>76</v>
      </c>
      <c r="P308" s="14">
        <v>388000</v>
      </c>
      <c r="Q308" s="13">
        <v>46222.713888888888</v>
      </c>
      <c r="R308" s="15" t="s">
        <v>85</v>
      </c>
      <c r="S308" s="11" t="str">
        <f t="shared" si="8"/>
        <v>2026-07-19</v>
      </c>
      <c r="T308" s="11">
        <f>IF($E308="","",IF(COUNTIF($E$2:$E308,$E308)=1,1,0))</f>
        <v>0</v>
      </c>
      <c r="U308" s="11" t="str">
        <f>IF(T308=1,SUM($T$2:T308),"")</f>
        <v/>
      </c>
      <c r="V308" s="11">
        <f>IF(OR($R308="",$R308="-"),"",IF(COUNTIF($R$2:$R308,$R308)=1,1,0))</f>
        <v>1</v>
      </c>
      <c r="W308" s="11">
        <f>IF(V308=1,SUM($V$2:V308),"")</f>
        <v>113</v>
      </c>
      <c r="X308" s="11" t="str">
        <f t="shared" si="9"/>
        <v>SHOPEE</v>
      </c>
    </row>
    <row r="309" spans="1:24">
      <c r="A309" s="15" t="s">
        <v>79</v>
      </c>
      <c r="B309" s="15" t="s">
        <v>83</v>
      </c>
      <c r="C309" s="15" t="s">
        <v>698</v>
      </c>
      <c r="D309" s="13">
        <v>46222.713888888888</v>
      </c>
      <c r="E309" s="15" t="s">
        <v>73</v>
      </c>
      <c r="F309" s="15" t="s">
        <v>699</v>
      </c>
      <c r="G309" s="15" t="s">
        <v>74</v>
      </c>
      <c r="H309" s="15" t="s">
        <v>75</v>
      </c>
      <c r="I309" s="14">
        <v>24000</v>
      </c>
      <c r="J309" s="15" t="s">
        <v>164</v>
      </c>
      <c r="K309" s="15" t="s">
        <v>24</v>
      </c>
      <c r="L309" s="15">
        <v>4</v>
      </c>
      <c r="M309" s="15">
        <v>1.65</v>
      </c>
      <c r="N309" s="15" t="s">
        <v>76</v>
      </c>
      <c r="O309" s="15" t="s">
        <v>76</v>
      </c>
      <c r="P309" s="14">
        <v>793000</v>
      </c>
      <c r="Q309" s="13">
        <v>46222.713888888888</v>
      </c>
      <c r="R309" s="15" t="s">
        <v>85</v>
      </c>
      <c r="S309" s="11" t="str">
        <f t="shared" si="8"/>
        <v>2026-07-19</v>
      </c>
      <c r="T309" s="11">
        <f>IF($E309="","",IF(COUNTIF($E$2:$E309,$E309)=1,1,0))</f>
        <v>0</v>
      </c>
      <c r="U309" s="11" t="str">
        <f>IF(T309=1,SUM($T$2:T309),"")</f>
        <v/>
      </c>
      <c r="V309" s="11">
        <f>IF(OR($R309="",$R309="-"),"",IF(COUNTIF($R$2:$R309,$R309)=1,1,0))</f>
        <v>0</v>
      </c>
      <c r="W309" s="11" t="str">
        <f>IF(V309=1,SUM($V$2:V309),"")</f>
        <v/>
      </c>
      <c r="X309" s="11" t="str">
        <f t="shared" si="9"/>
        <v>SHOPEE</v>
      </c>
    </row>
    <row r="310" spans="1:24">
      <c r="A310" s="15" t="s">
        <v>79</v>
      </c>
      <c r="B310" s="15" t="s">
        <v>83</v>
      </c>
      <c r="C310" s="15" t="s">
        <v>698</v>
      </c>
      <c r="D310" s="13">
        <v>46222.713888888888</v>
      </c>
      <c r="E310" s="15" t="s">
        <v>73</v>
      </c>
      <c r="F310" s="15" t="s">
        <v>701</v>
      </c>
      <c r="G310" s="15" t="s">
        <v>74</v>
      </c>
      <c r="H310" s="15" t="s">
        <v>75</v>
      </c>
      <c r="I310" s="14">
        <v>18000</v>
      </c>
      <c r="J310" s="15" t="s">
        <v>107</v>
      </c>
      <c r="K310" s="15" t="s">
        <v>25</v>
      </c>
      <c r="L310" s="15">
        <v>1</v>
      </c>
      <c r="M310" s="15">
        <v>1</v>
      </c>
      <c r="N310" s="15" t="s">
        <v>76</v>
      </c>
      <c r="O310" s="15" t="s">
        <v>76</v>
      </c>
      <c r="P310" s="14">
        <v>410000</v>
      </c>
      <c r="Q310" s="13">
        <v>46222.713888888888</v>
      </c>
      <c r="R310" s="15" t="s">
        <v>258</v>
      </c>
      <c r="S310" s="11" t="str">
        <f t="shared" si="8"/>
        <v>2026-07-19</v>
      </c>
      <c r="T310" s="11">
        <f>IF($E310="","",IF(COUNTIF($E$2:$E310,$E310)=1,1,0))</f>
        <v>0</v>
      </c>
      <c r="U310" s="11" t="str">
        <f>IF(T310=1,SUM($T$2:T310),"")</f>
        <v/>
      </c>
      <c r="V310" s="11">
        <f>IF(OR($R310="",$R310="-"),"",IF(COUNTIF($R$2:$R310,$R310)=1,1,0))</f>
        <v>1</v>
      </c>
      <c r="W310" s="11">
        <f>IF(V310=1,SUM($V$2:V310),"")</f>
        <v>114</v>
      </c>
      <c r="X310" s="11" t="str">
        <f t="shared" si="9"/>
        <v>SHOPEE</v>
      </c>
    </row>
    <row r="311" spans="1:24">
      <c r="A311" s="15" t="s">
        <v>79</v>
      </c>
      <c r="B311" s="15" t="s">
        <v>83</v>
      </c>
      <c r="C311" s="15" t="s">
        <v>698</v>
      </c>
      <c r="D311" s="13">
        <v>46222.713888888888</v>
      </c>
      <c r="E311" s="15" t="s">
        <v>73</v>
      </c>
      <c r="F311" s="15" t="s">
        <v>702</v>
      </c>
      <c r="G311" s="15" t="s">
        <v>74</v>
      </c>
      <c r="H311" s="15" t="s">
        <v>75</v>
      </c>
      <c r="I311" s="14">
        <v>12000</v>
      </c>
      <c r="J311" s="15" t="s">
        <v>242</v>
      </c>
      <c r="K311" s="15" t="s">
        <v>24</v>
      </c>
      <c r="L311" s="15">
        <v>1</v>
      </c>
      <c r="M311" s="15">
        <v>0.35</v>
      </c>
      <c r="N311" s="15" t="s">
        <v>76</v>
      </c>
      <c r="O311" s="15" t="s">
        <v>76</v>
      </c>
      <c r="P311" s="14">
        <v>175000</v>
      </c>
      <c r="Q311" s="13">
        <v>46222.713888888888</v>
      </c>
      <c r="R311" s="15" t="s">
        <v>85</v>
      </c>
      <c r="S311" s="11" t="str">
        <f t="shared" si="8"/>
        <v>2026-07-19</v>
      </c>
      <c r="T311" s="11">
        <f>IF($E311="","",IF(COUNTIF($E$2:$E311,$E311)=1,1,0))</f>
        <v>0</v>
      </c>
      <c r="U311" s="11" t="str">
        <f>IF(T311=1,SUM($T$2:T311),"")</f>
        <v/>
      </c>
      <c r="V311" s="11">
        <f>IF(OR($R311="",$R311="-"),"",IF(COUNTIF($R$2:$R311,$R311)=1,1,0))</f>
        <v>0</v>
      </c>
      <c r="W311" s="11" t="str">
        <f>IF(V311=1,SUM($V$2:V311),"")</f>
        <v/>
      </c>
      <c r="X311" s="11" t="str">
        <f t="shared" si="9"/>
        <v>SHOPEE</v>
      </c>
    </row>
    <row r="312" spans="1:24">
      <c r="A312" s="15" t="s">
        <v>79</v>
      </c>
      <c r="B312" s="15" t="s">
        <v>83</v>
      </c>
      <c r="C312" s="15" t="s">
        <v>703</v>
      </c>
      <c r="D312" s="13">
        <v>46222.706250000003</v>
      </c>
      <c r="E312" s="15" t="s">
        <v>73</v>
      </c>
      <c r="F312" s="15" t="s">
        <v>704</v>
      </c>
      <c r="G312" s="15" t="s">
        <v>74</v>
      </c>
      <c r="H312" s="15" t="s">
        <v>75</v>
      </c>
      <c r="I312" s="14">
        <v>12000</v>
      </c>
      <c r="J312" s="15" t="s">
        <v>81</v>
      </c>
      <c r="K312" s="15" t="s">
        <v>24</v>
      </c>
      <c r="L312" s="15">
        <v>1</v>
      </c>
      <c r="M312" s="15">
        <v>0.83</v>
      </c>
      <c r="N312" s="15" t="s">
        <v>76</v>
      </c>
      <c r="O312" s="15" t="s">
        <v>76</v>
      </c>
      <c r="P312" s="14">
        <v>200000</v>
      </c>
      <c r="Q312" s="13">
        <v>46222.706250000003</v>
      </c>
      <c r="R312" s="15" t="s">
        <v>91</v>
      </c>
      <c r="S312" s="11" t="str">
        <f t="shared" si="8"/>
        <v>2026-07-19</v>
      </c>
      <c r="T312" s="11">
        <f>IF($E312="","",IF(COUNTIF($E$2:$E312,$E312)=1,1,0))</f>
        <v>0</v>
      </c>
      <c r="U312" s="11" t="str">
        <f>IF(T312=1,SUM($T$2:T312),"")</f>
        <v/>
      </c>
      <c r="V312" s="11">
        <f>IF(OR($R312="",$R312="-"),"",IF(COUNTIF($R$2:$R312,$R312)=1,1,0))</f>
        <v>0</v>
      </c>
      <c r="W312" s="11" t="str">
        <f>IF(V312=1,SUM($V$2:V312),"")</f>
        <v/>
      </c>
      <c r="X312" s="11" t="str">
        <f t="shared" si="9"/>
        <v>SHOPEE</v>
      </c>
    </row>
    <row r="313" spans="1:24">
      <c r="A313" s="15" t="s">
        <v>79</v>
      </c>
      <c r="B313" s="15" t="s">
        <v>83</v>
      </c>
      <c r="C313" s="15" t="s">
        <v>703</v>
      </c>
      <c r="D313" s="13">
        <v>46222.706250000003</v>
      </c>
      <c r="E313" s="15" t="s">
        <v>73</v>
      </c>
      <c r="F313" s="15" t="s">
        <v>705</v>
      </c>
      <c r="G313" s="15" t="s">
        <v>74</v>
      </c>
      <c r="H313" s="15" t="s">
        <v>75</v>
      </c>
      <c r="I313" s="14">
        <v>36000</v>
      </c>
      <c r="J313" s="15" t="s">
        <v>129</v>
      </c>
      <c r="K313" s="15" t="s">
        <v>24</v>
      </c>
      <c r="L313" s="15">
        <v>8</v>
      </c>
      <c r="M313" s="15">
        <v>2.94</v>
      </c>
      <c r="N313" s="15" t="s">
        <v>76</v>
      </c>
      <c r="O313" s="15" t="s">
        <v>76</v>
      </c>
      <c r="P313" s="14">
        <v>940000</v>
      </c>
      <c r="Q313" s="13">
        <v>46222.706250000003</v>
      </c>
      <c r="R313" s="15" t="s">
        <v>91</v>
      </c>
      <c r="S313" s="11" t="str">
        <f t="shared" si="8"/>
        <v>2026-07-19</v>
      </c>
      <c r="T313" s="11">
        <f>IF($E313="","",IF(COUNTIF($E$2:$E313,$E313)=1,1,0))</f>
        <v>0</v>
      </c>
      <c r="U313" s="11" t="str">
        <f>IF(T313=1,SUM($T$2:T313),"")</f>
        <v/>
      </c>
      <c r="V313" s="11">
        <f>IF(OR($R313="",$R313="-"),"",IF(COUNTIF($R$2:$R313,$R313)=1,1,0))</f>
        <v>0</v>
      </c>
      <c r="W313" s="11" t="str">
        <f>IF(V313=1,SUM($V$2:V313),"")</f>
        <v/>
      </c>
      <c r="X313" s="11" t="str">
        <f t="shared" si="9"/>
        <v>SHOPEE</v>
      </c>
    </row>
    <row r="314" spans="1:24">
      <c r="A314" s="15" t="s">
        <v>79</v>
      </c>
      <c r="B314" s="15" t="s">
        <v>83</v>
      </c>
      <c r="C314" s="15" t="s">
        <v>706</v>
      </c>
      <c r="D314" s="13">
        <v>46222.686111111114</v>
      </c>
      <c r="E314" s="15" t="s">
        <v>73</v>
      </c>
      <c r="F314" s="15" t="s">
        <v>707</v>
      </c>
      <c r="G314" s="15" t="s">
        <v>74</v>
      </c>
      <c r="H314" s="15" t="s">
        <v>75</v>
      </c>
      <c r="I314" s="14">
        <v>82000</v>
      </c>
      <c r="J314" s="15" t="s">
        <v>708</v>
      </c>
      <c r="K314" s="15" t="s">
        <v>24</v>
      </c>
      <c r="L314" s="15">
        <v>1</v>
      </c>
      <c r="M314" s="15">
        <v>0.6</v>
      </c>
      <c r="N314" s="15" t="s">
        <v>76</v>
      </c>
      <c r="O314" s="15" t="s">
        <v>76</v>
      </c>
      <c r="P314" s="14">
        <v>239500</v>
      </c>
      <c r="Q314" s="13">
        <v>46222.686111111114</v>
      </c>
      <c r="R314" s="15" t="s">
        <v>709</v>
      </c>
      <c r="S314" s="11" t="str">
        <f t="shared" si="8"/>
        <v>2026-07-19</v>
      </c>
      <c r="T314" s="11">
        <f>IF($E314="","",IF(COUNTIF($E$2:$E314,$E314)=1,1,0))</f>
        <v>0</v>
      </c>
      <c r="U314" s="11" t="str">
        <f>IF(T314=1,SUM($T$2:T314),"")</f>
        <v/>
      </c>
      <c r="V314" s="11">
        <f>IF(OR($R314="",$R314="-"),"",IF(COUNTIF($R$2:$R314,$R314)=1,1,0))</f>
        <v>1</v>
      </c>
      <c r="W314" s="11">
        <f>IF(V314=1,SUM($V$2:V314),"")</f>
        <v>115</v>
      </c>
      <c r="X314" s="11" t="str">
        <f t="shared" si="9"/>
        <v>SHOPEE</v>
      </c>
    </row>
    <row r="315" spans="1:24">
      <c r="A315" s="15" t="s">
        <v>79</v>
      </c>
      <c r="B315" s="15" t="s">
        <v>83</v>
      </c>
      <c r="C315" s="15" t="s">
        <v>706</v>
      </c>
      <c r="D315" s="13">
        <v>46222.686111111114</v>
      </c>
      <c r="E315" s="15" t="s">
        <v>73</v>
      </c>
      <c r="F315" s="15" t="s">
        <v>710</v>
      </c>
      <c r="G315" s="15" t="s">
        <v>74</v>
      </c>
      <c r="H315" s="15" t="s">
        <v>75</v>
      </c>
      <c r="I315" s="14">
        <v>22000</v>
      </c>
      <c r="J315" s="15" t="s">
        <v>711</v>
      </c>
      <c r="K315" s="15" t="s">
        <v>24</v>
      </c>
      <c r="L315" s="15">
        <v>1</v>
      </c>
      <c r="M315" s="15">
        <v>1</v>
      </c>
      <c r="N315" s="15" t="s">
        <v>76</v>
      </c>
      <c r="O315" s="15" t="s">
        <v>76</v>
      </c>
      <c r="P315" s="14">
        <v>210000</v>
      </c>
      <c r="Q315" s="13">
        <v>46222.686111111114</v>
      </c>
      <c r="R315" s="15" t="s">
        <v>184</v>
      </c>
      <c r="S315" s="11" t="str">
        <f t="shared" si="8"/>
        <v>2026-07-19</v>
      </c>
      <c r="T315" s="11">
        <f>IF($E315="","",IF(COUNTIF($E$2:$E315,$E315)=1,1,0))</f>
        <v>0</v>
      </c>
      <c r="U315" s="11" t="str">
        <f>IF(T315=1,SUM($T$2:T315),"")</f>
        <v/>
      </c>
      <c r="V315" s="11">
        <f>IF(OR($R315="",$R315="-"),"",IF(COUNTIF($R$2:$R315,$R315)=1,1,0))</f>
        <v>0</v>
      </c>
      <c r="W315" s="11" t="str">
        <f>IF(V315=1,SUM($V$2:V315),"")</f>
        <v/>
      </c>
      <c r="X315" s="11" t="str">
        <f t="shared" si="9"/>
        <v>SHOPEE</v>
      </c>
    </row>
    <row r="316" spans="1:24">
      <c r="A316" s="15" t="s">
        <v>79</v>
      </c>
      <c r="B316" s="15" t="s">
        <v>83</v>
      </c>
      <c r="C316" s="15" t="s">
        <v>712</v>
      </c>
      <c r="D316" s="13">
        <v>46222.600694444445</v>
      </c>
      <c r="E316" s="15" t="s">
        <v>95</v>
      </c>
      <c r="F316" s="15" t="s">
        <v>713</v>
      </c>
      <c r="G316" s="15" t="s">
        <v>74</v>
      </c>
      <c r="H316" s="15" t="s">
        <v>75</v>
      </c>
      <c r="I316" s="14">
        <v>27000</v>
      </c>
      <c r="J316" s="15" t="s">
        <v>714</v>
      </c>
      <c r="K316" s="15" t="s">
        <v>26</v>
      </c>
      <c r="L316" s="15">
        <v>1</v>
      </c>
      <c r="M316" s="15">
        <v>3.5</v>
      </c>
      <c r="N316" s="15" t="s">
        <v>76</v>
      </c>
      <c r="O316" s="15" t="s">
        <v>76</v>
      </c>
      <c r="P316" s="14">
        <v>1250000</v>
      </c>
      <c r="Q316" s="13">
        <v>46222.600694444445</v>
      </c>
      <c r="R316" s="15" t="s">
        <v>281</v>
      </c>
      <c r="S316" s="11" t="str">
        <f t="shared" si="8"/>
        <v>2026-07-19</v>
      </c>
      <c r="T316" s="11">
        <f>IF($E316="","",IF(COUNTIF($E$2:$E316,$E316)=1,1,0))</f>
        <v>0</v>
      </c>
      <c r="U316" s="11" t="str">
        <f>IF(T316=1,SUM($T$2:T316),"")</f>
        <v/>
      </c>
      <c r="V316" s="11">
        <f>IF(OR($R316="",$R316="-"),"",IF(COUNTIF($R$2:$R316,$R316)=1,1,0))</f>
        <v>1</v>
      </c>
      <c r="W316" s="11">
        <f>IF(V316=1,SUM($V$2:V316),"")</f>
        <v>116</v>
      </c>
      <c r="X316" s="11" t="str">
        <f t="shared" si="9"/>
        <v>SHOPEE</v>
      </c>
    </row>
    <row r="317" spans="1:24">
      <c r="A317" s="15" t="s">
        <v>79</v>
      </c>
      <c r="B317" s="15" t="s">
        <v>83</v>
      </c>
      <c r="C317" s="15" t="s">
        <v>715</v>
      </c>
      <c r="D317" s="13">
        <v>46222.540972222225</v>
      </c>
      <c r="E317" s="15" t="s">
        <v>95</v>
      </c>
      <c r="F317" s="15" t="s">
        <v>716</v>
      </c>
      <c r="G317" s="15" t="s">
        <v>74</v>
      </c>
      <c r="H317" s="15" t="s">
        <v>75</v>
      </c>
      <c r="I317" s="14">
        <v>12000</v>
      </c>
      <c r="J317" s="15" t="s">
        <v>199</v>
      </c>
      <c r="K317" s="15" t="s">
        <v>24</v>
      </c>
      <c r="L317" s="15">
        <v>1</v>
      </c>
      <c r="M317" s="15">
        <v>0.3</v>
      </c>
      <c r="N317" s="15" t="s">
        <v>76</v>
      </c>
      <c r="O317" s="15" t="s">
        <v>76</v>
      </c>
      <c r="P317" s="14">
        <v>42000</v>
      </c>
      <c r="Q317" s="13">
        <v>46222.540972222225</v>
      </c>
      <c r="R317" s="15" t="s">
        <v>289</v>
      </c>
      <c r="S317" s="11" t="str">
        <f t="shared" si="8"/>
        <v>2026-07-19</v>
      </c>
      <c r="T317" s="11">
        <f>IF($E317="","",IF(COUNTIF($E$2:$E317,$E317)=1,1,0))</f>
        <v>0</v>
      </c>
      <c r="U317" s="11" t="str">
        <f>IF(T317=1,SUM($T$2:T317),"")</f>
        <v/>
      </c>
      <c r="V317" s="11">
        <f>IF(OR($R317="",$R317="-"),"",IF(COUNTIF($R$2:$R317,$R317)=1,1,0))</f>
        <v>0</v>
      </c>
      <c r="W317" s="11" t="str">
        <f>IF(V317=1,SUM($V$2:V317),"")</f>
        <v/>
      </c>
      <c r="X317" s="11" t="str">
        <f t="shared" si="9"/>
        <v>SHOPEE</v>
      </c>
    </row>
    <row r="318" spans="1:24">
      <c r="A318" s="15" t="s">
        <v>79</v>
      </c>
      <c r="B318" s="15" t="s">
        <v>80</v>
      </c>
      <c r="C318" s="15" t="s">
        <v>717</v>
      </c>
      <c r="D318" s="13">
        <v>46222.495833333334</v>
      </c>
      <c r="E318" s="15" t="s">
        <v>95</v>
      </c>
      <c r="F318" s="15" t="s">
        <v>718</v>
      </c>
      <c r="G318" s="15" t="s">
        <v>74</v>
      </c>
      <c r="H318" s="15" t="s">
        <v>75</v>
      </c>
      <c r="I318" s="14">
        <v>12000</v>
      </c>
      <c r="J318" s="15" t="s">
        <v>719</v>
      </c>
      <c r="K318" s="15" t="s">
        <v>24</v>
      </c>
      <c r="L318" s="15">
        <v>1</v>
      </c>
      <c r="M318" s="15">
        <v>0.35</v>
      </c>
      <c r="N318" s="15" t="s">
        <v>76</v>
      </c>
      <c r="O318" s="15" t="s">
        <v>76</v>
      </c>
      <c r="P318" s="14">
        <v>45000</v>
      </c>
      <c r="Q318" s="13">
        <v>46222.496527777781</v>
      </c>
      <c r="R318" s="15" t="s">
        <v>565</v>
      </c>
      <c r="S318" s="11" t="str">
        <f t="shared" si="8"/>
        <v>2026-07-19</v>
      </c>
      <c r="T318" s="11">
        <f>IF($E318="","",IF(COUNTIF($E$2:$E318,$E318)=1,1,0))</f>
        <v>0</v>
      </c>
      <c r="U318" s="11" t="str">
        <f>IF(T318=1,SUM($T$2:T318),"")</f>
        <v/>
      </c>
      <c r="V318" s="11">
        <f>IF(OR($R318="",$R318="-"),"",IF(COUNTIF($R$2:$R318,$R318)=1,1,0))</f>
        <v>0</v>
      </c>
      <c r="W318" s="11" t="str">
        <f>IF(V318=1,SUM($V$2:V318),"")</f>
        <v/>
      </c>
      <c r="X318" s="11" t="str">
        <f t="shared" si="9"/>
        <v>SHOPEE</v>
      </c>
    </row>
    <row r="319" spans="1:24">
      <c r="A319" s="15" t="s">
        <v>79</v>
      </c>
      <c r="B319" s="15" t="s">
        <v>83</v>
      </c>
      <c r="C319" s="15" t="s">
        <v>720</v>
      </c>
      <c r="D319" s="13">
        <v>46222.494444444441</v>
      </c>
      <c r="E319" s="15" t="s">
        <v>95</v>
      </c>
      <c r="F319" s="15" t="s">
        <v>721</v>
      </c>
      <c r="G319" s="15" t="s">
        <v>74</v>
      </c>
      <c r="H319" s="15" t="s">
        <v>75</v>
      </c>
      <c r="I319" s="14">
        <v>72000</v>
      </c>
      <c r="J319" s="15" t="s">
        <v>722</v>
      </c>
      <c r="K319" s="15" t="s">
        <v>24</v>
      </c>
      <c r="L319" s="15">
        <v>1</v>
      </c>
      <c r="M319" s="15">
        <v>3</v>
      </c>
      <c r="N319" s="15" t="s">
        <v>76</v>
      </c>
      <c r="O319" s="15" t="s">
        <v>76</v>
      </c>
      <c r="P319" s="14">
        <v>4780000</v>
      </c>
      <c r="Q319" s="13">
        <v>46222.494444444441</v>
      </c>
      <c r="R319" s="15" t="s">
        <v>723</v>
      </c>
      <c r="S319" s="11" t="str">
        <f t="shared" si="8"/>
        <v>2026-07-19</v>
      </c>
      <c r="T319" s="11">
        <f>IF($E319="","",IF(COUNTIF($E$2:$E319,$E319)=1,1,0))</f>
        <v>0</v>
      </c>
      <c r="U319" s="11" t="str">
        <f>IF(T319=1,SUM($T$2:T319),"")</f>
        <v/>
      </c>
      <c r="V319" s="11">
        <f>IF(OR($R319="",$R319="-"),"",IF(COUNTIF($R$2:$R319,$R319)=1,1,0))</f>
        <v>1</v>
      </c>
      <c r="W319" s="11">
        <f>IF(V319=1,SUM($V$2:V319),"")</f>
        <v>117</v>
      </c>
      <c r="X319" s="11" t="str">
        <f t="shared" si="9"/>
        <v>SHOPEE</v>
      </c>
    </row>
    <row r="320" spans="1:24">
      <c r="A320" s="15" t="s">
        <v>79</v>
      </c>
      <c r="B320" s="15" t="s">
        <v>80</v>
      </c>
      <c r="C320" s="15" t="s">
        <v>724</v>
      </c>
      <c r="D320" s="13">
        <v>46222.489583333336</v>
      </c>
      <c r="E320" s="15" t="s">
        <v>95</v>
      </c>
      <c r="F320" s="15" t="s">
        <v>725</v>
      </c>
      <c r="G320" s="15" t="s">
        <v>74</v>
      </c>
      <c r="H320" s="15" t="s">
        <v>75</v>
      </c>
      <c r="I320" s="14">
        <v>12000</v>
      </c>
      <c r="J320" s="15" t="s">
        <v>188</v>
      </c>
      <c r="K320" s="15" t="s">
        <v>24</v>
      </c>
      <c r="L320" s="15">
        <v>1</v>
      </c>
      <c r="M320" s="15">
        <v>0.25</v>
      </c>
      <c r="N320" s="15" t="s">
        <v>76</v>
      </c>
      <c r="O320" s="15" t="s">
        <v>76</v>
      </c>
      <c r="P320" s="14">
        <v>44000</v>
      </c>
      <c r="Q320" s="13">
        <v>46222.489583333336</v>
      </c>
      <c r="R320" s="15" t="s">
        <v>565</v>
      </c>
      <c r="S320" s="11" t="str">
        <f t="shared" si="8"/>
        <v>2026-07-19</v>
      </c>
      <c r="T320" s="11">
        <f>IF($E320="","",IF(COUNTIF($E$2:$E320,$E320)=1,1,0))</f>
        <v>0</v>
      </c>
      <c r="U320" s="11" t="str">
        <f>IF(T320=1,SUM($T$2:T320),"")</f>
        <v/>
      </c>
      <c r="V320" s="11">
        <f>IF(OR($R320="",$R320="-"),"",IF(COUNTIF($R$2:$R320,$R320)=1,1,0))</f>
        <v>0</v>
      </c>
      <c r="W320" s="11" t="str">
        <f>IF(V320=1,SUM($V$2:V320),"")</f>
        <v/>
      </c>
      <c r="X320" s="11" t="str">
        <f t="shared" si="9"/>
        <v>SHOPEE</v>
      </c>
    </row>
    <row r="321" spans="1:24">
      <c r="A321" s="15" t="s">
        <v>79</v>
      </c>
      <c r="B321" s="15" t="s">
        <v>83</v>
      </c>
      <c r="C321" s="15" t="s">
        <v>726</v>
      </c>
      <c r="D321" s="13">
        <v>46221.85833333333</v>
      </c>
      <c r="E321" s="15" t="s">
        <v>265</v>
      </c>
      <c r="F321" s="15" t="s">
        <v>727</v>
      </c>
      <c r="G321" s="15" t="s">
        <v>74</v>
      </c>
      <c r="H321" s="15" t="s">
        <v>75</v>
      </c>
      <c r="I321" s="14">
        <v>20000</v>
      </c>
      <c r="J321" s="15" t="s">
        <v>728</v>
      </c>
      <c r="K321" s="15" t="s">
        <v>25</v>
      </c>
      <c r="L321" s="15">
        <v>1</v>
      </c>
      <c r="M321" s="15">
        <v>1.29</v>
      </c>
      <c r="N321" s="15" t="s">
        <v>76</v>
      </c>
      <c r="O321" s="15" t="s">
        <v>76</v>
      </c>
      <c r="P321" s="14">
        <v>2699000</v>
      </c>
      <c r="Q321" s="13">
        <v>46221.859027777777</v>
      </c>
      <c r="R321" s="15" t="s">
        <v>444</v>
      </c>
      <c r="S321" s="11" t="str">
        <f t="shared" si="8"/>
        <v>2026-07-18</v>
      </c>
      <c r="T321" s="11">
        <f>IF($E321="","",IF(COUNTIF($E$2:$E321,$E321)=1,1,0))</f>
        <v>0</v>
      </c>
      <c r="U321" s="11" t="str">
        <f>IF(T321=1,SUM($T$2:T321),"")</f>
        <v/>
      </c>
      <c r="V321" s="11">
        <f>IF(OR($R321="",$R321="-"),"",IF(COUNTIF($R$2:$R321,$R321)=1,1,0))</f>
        <v>0</v>
      </c>
      <c r="W321" s="11" t="str">
        <f>IF(V321=1,SUM($V$2:V321),"")</f>
        <v/>
      </c>
      <c r="X321" s="11" t="str">
        <f t="shared" si="9"/>
        <v>SHOPEE</v>
      </c>
    </row>
    <row r="322" spans="1:24">
      <c r="A322" s="15" t="s">
        <v>79</v>
      </c>
      <c r="B322" s="15" t="s">
        <v>83</v>
      </c>
      <c r="C322" s="15" t="s">
        <v>726</v>
      </c>
      <c r="D322" s="13">
        <v>46221.85833333333</v>
      </c>
      <c r="E322" s="15" t="s">
        <v>265</v>
      </c>
      <c r="F322" s="15" t="s">
        <v>729</v>
      </c>
      <c r="G322" s="15" t="s">
        <v>74</v>
      </c>
      <c r="H322" s="15" t="s">
        <v>75</v>
      </c>
      <c r="I322" s="14">
        <v>15000</v>
      </c>
      <c r="J322" s="15" t="s">
        <v>163</v>
      </c>
      <c r="K322" s="15" t="s">
        <v>25</v>
      </c>
      <c r="L322" s="15">
        <v>1</v>
      </c>
      <c r="M322" s="15">
        <v>1.29</v>
      </c>
      <c r="N322" s="15" t="s">
        <v>76</v>
      </c>
      <c r="O322" s="15" t="s">
        <v>76</v>
      </c>
      <c r="P322" s="14">
        <v>2599000</v>
      </c>
      <c r="Q322" s="13">
        <v>46221.859027777777</v>
      </c>
      <c r="R322" s="15" t="s">
        <v>444</v>
      </c>
      <c r="S322" s="11" t="str">
        <f t="shared" ref="S322:S385" si="10">IF(Q322="","",TEXT(Q322,"yyyy-mm-dd"))</f>
        <v>2026-07-18</v>
      </c>
      <c r="T322" s="11">
        <f>IF($E322="","",IF(COUNTIF($E$2:$E322,$E322)=1,1,0))</f>
        <v>0</v>
      </c>
      <c r="U322" s="11" t="str">
        <f>IF(T322=1,SUM($T$2:T322),"")</f>
        <v/>
      </c>
      <c r="V322" s="11">
        <f>IF(OR($R322="",$R322="-"),"",IF(COUNTIF($R$2:$R322,$R322)=1,1,0))</f>
        <v>0</v>
      </c>
      <c r="W322" s="11" t="str">
        <f>IF(V322=1,SUM($V$2:V322),"")</f>
        <v/>
      </c>
      <c r="X322" s="11" t="str">
        <f t="shared" ref="X322:X385" si="11">IF(ISNUMBER(SEARCH("SHOPEE",B322)),"SHOPEE",IF(ISNUMBER(SEARCH("TOKOPEDIA",B322)),"TOKOPEDIA",IF(ISNUMBER(SEARCH("LASTANA",B322)),"LASTANA EXPRESS",IF(ISNUMBER(SEARCH("FASHION MARKETPLACE",B322)),"FASHION MARKETPLACE",IF(ISNUMBER(SEARCH("GLOBAL DIGITAL NIAGA",B322)),"GLOBAL DIGITAL NIAGA",IF(ISNUMBER(SEARCH("TOKGISTIC",B322)),"TOKGISTIC",IF(ISNUMBER(SEARCH("TOCO RAMAI",B322)),"TOCO RAMAI DIGITAL",B322)))))))</f>
        <v>SHOPEE</v>
      </c>
    </row>
    <row r="323" spans="1:24">
      <c r="A323" s="15" t="s">
        <v>79</v>
      </c>
      <c r="B323" s="15" t="s">
        <v>83</v>
      </c>
      <c r="C323" s="15" t="s">
        <v>730</v>
      </c>
      <c r="D323" s="13">
        <v>46221.847222222219</v>
      </c>
      <c r="E323" s="15" t="s">
        <v>265</v>
      </c>
      <c r="F323" s="15" t="s">
        <v>731</v>
      </c>
      <c r="G323" s="15" t="s">
        <v>74</v>
      </c>
      <c r="H323" s="15" t="s">
        <v>75</v>
      </c>
      <c r="I323" s="14">
        <v>12000</v>
      </c>
      <c r="J323" s="15" t="s">
        <v>267</v>
      </c>
      <c r="K323" s="15" t="s">
        <v>24</v>
      </c>
      <c r="L323" s="15">
        <v>1</v>
      </c>
      <c r="M323" s="15">
        <v>0.7</v>
      </c>
      <c r="N323" s="15" t="s">
        <v>76</v>
      </c>
      <c r="O323" s="15" t="s">
        <v>76</v>
      </c>
      <c r="P323" s="14">
        <v>22500</v>
      </c>
      <c r="Q323" s="13">
        <v>46221.847222222219</v>
      </c>
      <c r="R323" s="15" t="s">
        <v>147</v>
      </c>
      <c r="S323" s="11" t="str">
        <f t="shared" si="10"/>
        <v>2026-07-18</v>
      </c>
      <c r="T323" s="11">
        <f>IF($E323="","",IF(COUNTIF($E$2:$E323,$E323)=1,1,0))</f>
        <v>0</v>
      </c>
      <c r="U323" s="11" t="str">
        <f>IF(T323=1,SUM($T$2:T323),"")</f>
        <v/>
      </c>
      <c r="V323" s="11">
        <f>IF(OR($R323="",$R323="-"),"",IF(COUNTIF($R$2:$R323,$R323)=1,1,0))</f>
        <v>0</v>
      </c>
      <c r="W323" s="11" t="str">
        <f>IF(V323=1,SUM($V$2:V323),"")</f>
        <v/>
      </c>
      <c r="X323" s="11" t="str">
        <f t="shared" si="11"/>
        <v>SHOPEE</v>
      </c>
    </row>
    <row r="324" spans="1:24">
      <c r="A324" s="15" t="s">
        <v>79</v>
      </c>
      <c r="B324" s="15" t="s">
        <v>83</v>
      </c>
      <c r="C324" s="15" t="s">
        <v>732</v>
      </c>
      <c r="D324" s="13">
        <v>46221.811805555553</v>
      </c>
      <c r="E324" s="15" t="s">
        <v>95</v>
      </c>
      <c r="F324" s="15" t="s">
        <v>733</v>
      </c>
      <c r="G324" s="15" t="s">
        <v>74</v>
      </c>
      <c r="H324" s="15" t="s">
        <v>75</v>
      </c>
      <c r="I324" s="14">
        <v>21000</v>
      </c>
      <c r="J324" s="15" t="s">
        <v>183</v>
      </c>
      <c r="K324" s="15" t="s">
        <v>24</v>
      </c>
      <c r="L324" s="15">
        <v>1</v>
      </c>
      <c r="M324" s="15">
        <v>1</v>
      </c>
      <c r="N324" s="15" t="s">
        <v>76</v>
      </c>
      <c r="O324" s="15" t="s">
        <v>76</v>
      </c>
      <c r="P324" s="14">
        <v>85000</v>
      </c>
      <c r="Q324" s="13">
        <v>46221.811805555553</v>
      </c>
      <c r="R324" s="15" t="s">
        <v>108</v>
      </c>
      <c r="S324" s="11" t="str">
        <f t="shared" si="10"/>
        <v>2026-07-18</v>
      </c>
      <c r="T324" s="11">
        <f>IF($E324="","",IF(COUNTIF($E$2:$E324,$E324)=1,1,0))</f>
        <v>0</v>
      </c>
      <c r="U324" s="11" t="str">
        <f>IF(T324=1,SUM($T$2:T324),"")</f>
        <v/>
      </c>
      <c r="V324" s="11">
        <f>IF(OR($R324="",$R324="-"),"",IF(COUNTIF($R$2:$R324,$R324)=1,1,0))</f>
        <v>0</v>
      </c>
      <c r="W324" s="11" t="str">
        <f>IF(V324=1,SUM($V$2:V324),"")</f>
        <v/>
      </c>
      <c r="X324" s="11" t="str">
        <f t="shared" si="11"/>
        <v>SHOPEE</v>
      </c>
    </row>
    <row r="325" spans="1:24">
      <c r="A325" s="15" t="s">
        <v>79</v>
      </c>
      <c r="B325" s="15" t="s">
        <v>83</v>
      </c>
      <c r="C325" s="15" t="s">
        <v>734</v>
      </c>
      <c r="D325" s="13">
        <v>46221.797222222223</v>
      </c>
      <c r="E325" s="15" t="s">
        <v>95</v>
      </c>
      <c r="F325" s="15" t="s">
        <v>735</v>
      </c>
      <c r="G325" s="15" t="s">
        <v>74</v>
      </c>
      <c r="H325" s="15" t="s">
        <v>75</v>
      </c>
      <c r="I325" s="14">
        <v>306000</v>
      </c>
      <c r="J325" s="15" t="s">
        <v>736</v>
      </c>
      <c r="K325" s="15" t="s">
        <v>26</v>
      </c>
      <c r="L325" s="15">
        <v>1</v>
      </c>
      <c r="M325" s="15">
        <v>50</v>
      </c>
      <c r="N325" s="15" t="s">
        <v>76</v>
      </c>
      <c r="O325" s="15" t="s">
        <v>76</v>
      </c>
      <c r="P325" s="14">
        <v>6000000</v>
      </c>
      <c r="Q325" s="13">
        <v>46221.797222222223</v>
      </c>
      <c r="R325" s="15" t="s">
        <v>737</v>
      </c>
      <c r="S325" s="11" t="str">
        <f t="shared" si="10"/>
        <v>2026-07-18</v>
      </c>
      <c r="T325" s="11">
        <f>IF($E325="","",IF(COUNTIF($E$2:$E325,$E325)=1,1,0))</f>
        <v>0</v>
      </c>
      <c r="U325" s="11" t="str">
        <f>IF(T325=1,SUM($T$2:T325),"")</f>
        <v/>
      </c>
      <c r="V325" s="11">
        <f>IF(OR($R325="",$R325="-"),"",IF(COUNTIF($R$2:$R325,$R325)=1,1,0))</f>
        <v>1</v>
      </c>
      <c r="W325" s="11">
        <f>IF(V325=1,SUM($V$2:V325),"")</f>
        <v>118</v>
      </c>
      <c r="X325" s="11" t="str">
        <f t="shared" si="11"/>
        <v>SHOPEE</v>
      </c>
    </row>
    <row r="326" spans="1:24">
      <c r="A326" s="15" t="s">
        <v>79</v>
      </c>
      <c r="B326" s="15" t="s">
        <v>80</v>
      </c>
      <c r="C326" s="15" t="s">
        <v>738</v>
      </c>
      <c r="D326" s="13">
        <v>46221.790277777778</v>
      </c>
      <c r="E326" s="15" t="s">
        <v>95</v>
      </c>
      <c r="F326" s="15" t="s">
        <v>739</v>
      </c>
      <c r="G326" s="15" t="s">
        <v>74</v>
      </c>
      <c r="H326" s="15" t="s">
        <v>75</v>
      </c>
      <c r="I326" s="14">
        <v>19000</v>
      </c>
      <c r="J326" s="15" t="s">
        <v>740</v>
      </c>
      <c r="K326" s="15" t="s">
        <v>24</v>
      </c>
      <c r="L326" s="15">
        <v>1</v>
      </c>
      <c r="M326" s="15">
        <v>0.04</v>
      </c>
      <c r="N326" s="15" t="s">
        <v>76</v>
      </c>
      <c r="O326" s="15" t="s">
        <v>76</v>
      </c>
      <c r="P326" s="14">
        <v>60000</v>
      </c>
      <c r="Q326" s="13">
        <v>46221.790972222225</v>
      </c>
      <c r="R326" s="15" t="s">
        <v>741</v>
      </c>
      <c r="S326" s="11" t="str">
        <f t="shared" si="10"/>
        <v>2026-07-18</v>
      </c>
      <c r="T326" s="11">
        <f>IF($E326="","",IF(COUNTIF($E$2:$E326,$E326)=1,1,0))</f>
        <v>0</v>
      </c>
      <c r="U326" s="11" t="str">
        <f>IF(T326=1,SUM($T$2:T326),"")</f>
        <v/>
      </c>
      <c r="V326" s="11">
        <f>IF(OR($R326="",$R326="-"),"",IF(COUNTIF($R$2:$R326,$R326)=1,1,0))</f>
        <v>1</v>
      </c>
      <c r="W326" s="11">
        <f>IF(V326=1,SUM($V$2:V326),"")</f>
        <v>119</v>
      </c>
      <c r="X326" s="11" t="str">
        <f t="shared" si="11"/>
        <v>SHOPEE</v>
      </c>
    </row>
    <row r="327" spans="1:24">
      <c r="A327" s="15" t="s">
        <v>79</v>
      </c>
      <c r="B327" s="15" t="s">
        <v>83</v>
      </c>
      <c r="C327" s="15" t="s">
        <v>742</v>
      </c>
      <c r="D327" s="13">
        <v>46221.783333333333</v>
      </c>
      <c r="E327" s="15" t="s">
        <v>265</v>
      </c>
      <c r="F327" s="15" t="s">
        <v>743</v>
      </c>
      <c r="G327" s="15" t="s">
        <v>74</v>
      </c>
      <c r="H327" s="15" t="s">
        <v>75</v>
      </c>
      <c r="I327" s="14">
        <v>24000</v>
      </c>
      <c r="J327" s="15" t="s">
        <v>125</v>
      </c>
      <c r="K327" s="15" t="s">
        <v>24</v>
      </c>
      <c r="L327" s="15">
        <v>1</v>
      </c>
      <c r="M327" s="15">
        <v>2</v>
      </c>
      <c r="N327" s="15" t="s">
        <v>76</v>
      </c>
      <c r="O327" s="15" t="s">
        <v>76</v>
      </c>
      <c r="P327" s="14">
        <v>9000000</v>
      </c>
      <c r="Q327" s="13">
        <v>46221.783333333333</v>
      </c>
      <c r="R327" s="15" t="s">
        <v>324</v>
      </c>
      <c r="S327" s="11" t="str">
        <f t="shared" si="10"/>
        <v>2026-07-18</v>
      </c>
      <c r="T327" s="11">
        <f>IF($E327="","",IF(COUNTIF($E$2:$E327,$E327)=1,1,0))</f>
        <v>0</v>
      </c>
      <c r="U327" s="11" t="str">
        <f>IF(T327=1,SUM($T$2:T327),"")</f>
        <v/>
      </c>
      <c r="V327" s="11">
        <f>IF(OR($R327="",$R327="-"),"",IF(COUNTIF($R$2:$R327,$R327)=1,1,0))</f>
        <v>1</v>
      </c>
      <c r="W327" s="11">
        <f>IF(V327=1,SUM($V$2:V327),"")</f>
        <v>120</v>
      </c>
      <c r="X327" s="11" t="str">
        <f t="shared" si="11"/>
        <v>SHOPEE</v>
      </c>
    </row>
    <row r="328" spans="1:24">
      <c r="A328" s="15" t="s">
        <v>110</v>
      </c>
      <c r="B328" s="15" t="s">
        <v>744</v>
      </c>
      <c r="C328" s="15" t="s">
        <v>745</v>
      </c>
      <c r="D328" s="13">
        <v>46221.61041666667</v>
      </c>
      <c r="E328" s="15" t="s">
        <v>95</v>
      </c>
      <c r="F328" s="15" t="s">
        <v>746</v>
      </c>
      <c r="G328" s="15" t="s">
        <v>74</v>
      </c>
      <c r="H328" s="15" t="s">
        <v>75</v>
      </c>
      <c r="I328" s="14">
        <v>10000</v>
      </c>
      <c r="J328" s="15" t="s">
        <v>112</v>
      </c>
      <c r="K328" s="15" t="s">
        <v>24</v>
      </c>
      <c r="L328" s="15">
        <v>1</v>
      </c>
      <c r="M328" s="15">
        <v>0.34</v>
      </c>
      <c r="N328" s="15" t="s">
        <v>76</v>
      </c>
      <c r="O328" s="15" t="s">
        <v>74</v>
      </c>
      <c r="P328" s="14">
        <v>450000</v>
      </c>
      <c r="Q328" s="13">
        <v>46221.61041666667</v>
      </c>
      <c r="R328" s="15" t="s">
        <v>747</v>
      </c>
      <c r="S328" s="11" t="str">
        <f t="shared" si="10"/>
        <v>2026-07-18</v>
      </c>
      <c r="T328" s="11">
        <f>IF($E328="","",IF(COUNTIF($E$2:$E328,$E328)=1,1,0))</f>
        <v>0</v>
      </c>
      <c r="U328" s="11" t="str">
        <f>IF(T328=1,SUM($T$2:T328),"")</f>
        <v/>
      </c>
      <c r="V328" s="11">
        <f>IF(OR($R328="",$R328="-"),"",IF(COUNTIF($R$2:$R328,$R328)=1,1,0))</f>
        <v>1</v>
      </c>
      <c r="W328" s="11">
        <f>IF(V328=1,SUM($V$2:V328),"")</f>
        <v>121</v>
      </c>
      <c r="X328" s="11" t="str">
        <f t="shared" si="11"/>
        <v>GLOBAL DIGITAL NIAGA</v>
      </c>
    </row>
    <row r="329" spans="1:24">
      <c r="A329" s="15" t="s">
        <v>79</v>
      </c>
      <c r="B329" s="15" t="s">
        <v>80</v>
      </c>
      <c r="C329" s="15" t="s">
        <v>748</v>
      </c>
      <c r="D329" s="13">
        <v>46221.606249999997</v>
      </c>
      <c r="E329" s="15" t="s">
        <v>111</v>
      </c>
      <c r="F329" s="15" t="s">
        <v>749</v>
      </c>
      <c r="G329" s="15" t="s">
        <v>74</v>
      </c>
      <c r="H329" s="15" t="s">
        <v>75</v>
      </c>
      <c r="I329" s="14">
        <v>12000</v>
      </c>
      <c r="J329" s="15" t="s">
        <v>96</v>
      </c>
      <c r="K329" s="15" t="s">
        <v>24</v>
      </c>
      <c r="L329" s="15">
        <v>1</v>
      </c>
      <c r="M329" s="15">
        <v>1.2</v>
      </c>
      <c r="N329" s="15" t="s">
        <v>76</v>
      </c>
      <c r="O329" s="15" t="s">
        <v>76</v>
      </c>
      <c r="P329" s="14">
        <v>103999</v>
      </c>
      <c r="Q329" s="13">
        <v>46221.606249999997</v>
      </c>
      <c r="R329" s="15" t="s">
        <v>304</v>
      </c>
      <c r="S329" s="11" t="str">
        <f t="shared" si="10"/>
        <v>2026-07-18</v>
      </c>
      <c r="T329" s="11">
        <f>IF($E329="","",IF(COUNTIF($E$2:$E329,$E329)=1,1,0))</f>
        <v>0</v>
      </c>
      <c r="U329" s="11" t="str">
        <f>IF(T329=1,SUM($T$2:T329),"")</f>
        <v/>
      </c>
      <c r="V329" s="11">
        <f>IF(OR($R329="",$R329="-"),"",IF(COUNTIF($R$2:$R329,$R329)=1,1,0))</f>
        <v>0</v>
      </c>
      <c r="W329" s="11" t="str">
        <f>IF(V329=1,SUM($V$2:V329),"")</f>
        <v/>
      </c>
      <c r="X329" s="11" t="str">
        <f t="shared" si="11"/>
        <v>SHOPEE</v>
      </c>
    </row>
    <row r="330" spans="1:24">
      <c r="A330" s="15" t="s">
        <v>79</v>
      </c>
      <c r="B330" s="15" t="s">
        <v>83</v>
      </c>
      <c r="C330" s="15" t="s">
        <v>750</v>
      </c>
      <c r="D330" s="13">
        <v>46221.499305555553</v>
      </c>
      <c r="E330" s="15" t="s">
        <v>111</v>
      </c>
      <c r="F330" s="15" t="s">
        <v>751</v>
      </c>
      <c r="G330" s="15" t="s">
        <v>74</v>
      </c>
      <c r="H330" s="15" t="s">
        <v>75</v>
      </c>
      <c r="I330" s="14">
        <v>38000</v>
      </c>
      <c r="J330" s="15" t="s">
        <v>752</v>
      </c>
      <c r="K330" s="15" t="s">
        <v>24</v>
      </c>
      <c r="L330" s="15">
        <v>1</v>
      </c>
      <c r="M330" s="15">
        <v>2.2000000000000002</v>
      </c>
      <c r="N330" s="15" t="s">
        <v>76</v>
      </c>
      <c r="O330" s="15" t="s">
        <v>76</v>
      </c>
      <c r="P330" s="14">
        <v>12500</v>
      </c>
      <c r="Q330" s="13">
        <v>46221.5</v>
      </c>
      <c r="R330" s="15" t="s">
        <v>98</v>
      </c>
      <c r="S330" s="11" t="str">
        <f t="shared" si="10"/>
        <v>2026-07-18</v>
      </c>
      <c r="T330" s="11">
        <f>IF($E330="","",IF(COUNTIF($E$2:$E330,$E330)=1,1,0))</f>
        <v>0</v>
      </c>
      <c r="U330" s="11" t="str">
        <f>IF(T330=1,SUM($T$2:T330),"")</f>
        <v/>
      </c>
      <c r="V330" s="11">
        <f>IF(OR($R330="",$R330="-"),"",IF(COUNTIF($R$2:$R330,$R330)=1,1,0))</f>
        <v>0</v>
      </c>
      <c r="W330" s="11" t="str">
        <f>IF(V330=1,SUM($V$2:V330),"")</f>
        <v/>
      </c>
      <c r="X330" s="11" t="str">
        <f t="shared" si="11"/>
        <v>SHOPEE</v>
      </c>
    </row>
    <row r="331" spans="1:24">
      <c r="A331" s="15" t="s">
        <v>753</v>
      </c>
      <c r="B331" s="15" t="s">
        <v>191</v>
      </c>
      <c r="C331" s="15" t="s">
        <v>754</v>
      </c>
      <c r="D331" s="13">
        <v>46221.381249999999</v>
      </c>
      <c r="E331" s="15" t="s">
        <v>111</v>
      </c>
      <c r="F331" s="15" t="s">
        <v>755</v>
      </c>
      <c r="G331" s="15" t="s">
        <v>74</v>
      </c>
      <c r="H331" s="15" t="s">
        <v>75</v>
      </c>
      <c r="I331" s="14">
        <v>12000</v>
      </c>
      <c r="J331" s="15" t="s">
        <v>136</v>
      </c>
      <c r="K331" s="15" t="s">
        <v>24</v>
      </c>
      <c r="L331" s="15">
        <v>1</v>
      </c>
      <c r="M331" s="15">
        <v>0.23</v>
      </c>
      <c r="N331" s="15" t="s">
        <v>76</v>
      </c>
      <c r="O331" s="15" t="s">
        <v>76</v>
      </c>
      <c r="P331" s="14">
        <v>20000</v>
      </c>
      <c r="Q331" s="13">
        <v>46221.381249999999</v>
      </c>
      <c r="R331" s="15" t="s">
        <v>756</v>
      </c>
      <c r="S331" s="11" t="str">
        <f t="shared" si="10"/>
        <v>2026-07-18</v>
      </c>
      <c r="T331" s="11">
        <f>IF($E331="","",IF(COUNTIF($E$2:$E331,$E331)=1,1,0))</f>
        <v>0</v>
      </c>
      <c r="U331" s="11" t="str">
        <f>IF(T331=1,SUM($T$2:T331),"")</f>
        <v/>
      </c>
      <c r="V331" s="11">
        <f>IF(OR($R331="",$R331="-"),"",IF(COUNTIF($R$2:$R331,$R331)=1,1,0))</f>
        <v>1</v>
      </c>
      <c r="W331" s="11">
        <f>IF(V331=1,SUM($V$2:V331),"")</f>
        <v>122</v>
      </c>
      <c r="X331" s="11" t="str">
        <f t="shared" si="11"/>
        <v>TOKGISTIC</v>
      </c>
    </row>
    <row r="332" spans="1:24">
      <c r="A332" s="15" t="s">
        <v>79</v>
      </c>
      <c r="B332" s="15" t="s">
        <v>80</v>
      </c>
      <c r="C332" s="15" t="s">
        <v>757</v>
      </c>
      <c r="D332" s="13">
        <v>46221.380555555559</v>
      </c>
      <c r="E332" s="15" t="s">
        <v>111</v>
      </c>
      <c r="F332" s="15" t="s">
        <v>758</v>
      </c>
      <c r="G332" s="15" t="s">
        <v>74</v>
      </c>
      <c r="H332" s="15" t="s">
        <v>75</v>
      </c>
      <c r="I332" s="14">
        <v>12000</v>
      </c>
      <c r="J332" s="15" t="s">
        <v>200</v>
      </c>
      <c r="K332" s="15" t="s">
        <v>24</v>
      </c>
      <c r="L332" s="15">
        <v>1</v>
      </c>
      <c r="M332" s="15">
        <v>0.2</v>
      </c>
      <c r="N332" s="15" t="s">
        <v>76</v>
      </c>
      <c r="O332" s="15" t="s">
        <v>76</v>
      </c>
      <c r="P332" s="14">
        <v>12999</v>
      </c>
      <c r="Q332" s="13">
        <v>46221.380555555559</v>
      </c>
      <c r="R332" s="15" t="s">
        <v>284</v>
      </c>
      <c r="S332" s="11" t="str">
        <f t="shared" si="10"/>
        <v>2026-07-18</v>
      </c>
      <c r="T332" s="11">
        <f>IF($E332="","",IF(COUNTIF($E$2:$E332,$E332)=1,1,0))</f>
        <v>0</v>
      </c>
      <c r="U332" s="11" t="str">
        <f>IF(T332=1,SUM($T$2:T332),"")</f>
        <v/>
      </c>
      <c r="V332" s="11">
        <f>IF(OR($R332="",$R332="-"),"",IF(COUNTIF($R$2:$R332,$R332)=1,1,0))</f>
        <v>1</v>
      </c>
      <c r="W332" s="11">
        <f>IF(V332=1,SUM($V$2:V332),"")</f>
        <v>123</v>
      </c>
      <c r="X332" s="11" t="str">
        <f t="shared" si="11"/>
        <v>SHOPEE</v>
      </c>
    </row>
    <row r="333" spans="1:24">
      <c r="A333" s="15" t="s">
        <v>79</v>
      </c>
      <c r="B333" s="15" t="s">
        <v>80</v>
      </c>
      <c r="C333" s="15" t="s">
        <v>759</v>
      </c>
      <c r="D333" s="13">
        <v>46221.359722222223</v>
      </c>
      <c r="E333" s="15" t="s">
        <v>111</v>
      </c>
      <c r="F333" s="15" t="s">
        <v>760</v>
      </c>
      <c r="G333" s="15" t="s">
        <v>74</v>
      </c>
      <c r="H333" s="15" t="s">
        <v>75</v>
      </c>
      <c r="I333" s="14">
        <v>12000</v>
      </c>
      <c r="J333" s="15" t="s">
        <v>136</v>
      </c>
      <c r="K333" s="15" t="s">
        <v>24</v>
      </c>
      <c r="L333" s="15">
        <v>1</v>
      </c>
      <c r="M333" s="15">
        <v>0.39</v>
      </c>
      <c r="N333" s="15" t="s">
        <v>76</v>
      </c>
      <c r="O333" s="15" t="s">
        <v>76</v>
      </c>
      <c r="P333" s="14">
        <v>249900</v>
      </c>
      <c r="Q333" s="13">
        <v>46221.36041666667</v>
      </c>
      <c r="R333" s="15" t="s">
        <v>94</v>
      </c>
      <c r="S333" s="11" t="str">
        <f t="shared" si="10"/>
        <v>2026-07-18</v>
      </c>
      <c r="T333" s="11">
        <f>IF($E333="","",IF(COUNTIF($E$2:$E333,$E333)=1,1,0))</f>
        <v>0</v>
      </c>
      <c r="U333" s="11" t="str">
        <f>IF(T333=1,SUM($T$2:T333),"")</f>
        <v/>
      </c>
      <c r="V333" s="11">
        <f>IF(OR($R333="",$R333="-"),"",IF(COUNTIF($R$2:$R333,$R333)=1,1,0))</f>
        <v>1</v>
      </c>
      <c r="W333" s="11">
        <f>IF(V333=1,SUM($V$2:V333),"")</f>
        <v>124</v>
      </c>
      <c r="X333" s="11" t="str">
        <f t="shared" si="11"/>
        <v>SHOPEE</v>
      </c>
    </row>
    <row r="334" spans="1:24">
      <c r="A334" s="15" t="s">
        <v>79</v>
      </c>
      <c r="B334" s="15" t="s">
        <v>80</v>
      </c>
      <c r="C334" s="15" t="s">
        <v>761</v>
      </c>
      <c r="D334" s="13">
        <v>46220.904166666667</v>
      </c>
      <c r="E334" s="15" t="s">
        <v>73</v>
      </c>
      <c r="F334" s="15" t="s">
        <v>762</v>
      </c>
      <c r="G334" s="15" t="s">
        <v>74</v>
      </c>
      <c r="H334" s="15" t="s">
        <v>75</v>
      </c>
      <c r="I334" s="14">
        <v>21000</v>
      </c>
      <c r="J334" s="15" t="s">
        <v>319</v>
      </c>
      <c r="K334" s="15" t="s">
        <v>24</v>
      </c>
      <c r="L334" s="15">
        <v>3</v>
      </c>
      <c r="M334" s="15">
        <v>0.68</v>
      </c>
      <c r="N334" s="15" t="s">
        <v>76</v>
      </c>
      <c r="O334" s="15" t="s">
        <v>76</v>
      </c>
      <c r="P334" s="14">
        <v>75000</v>
      </c>
      <c r="Q334" s="13">
        <v>46220.905555555553</v>
      </c>
      <c r="R334" s="15" t="s">
        <v>763</v>
      </c>
      <c r="S334" s="11" t="str">
        <f t="shared" si="10"/>
        <v>2026-07-17</v>
      </c>
      <c r="T334" s="11">
        <f>IF($E334="","",IF(COUNTIF($E$2:$E334,$E334)=1,1,0))</f>
        <v>0</v>
      </c>
      <c r="U334" s="11" t="str">
        <f>IF(T334=1,SUM($T$2:T334),"")</f>
        <v/>
      </c>
      <c r="V334" s="11">
        <f>IF(OR($R334="",$R334="-"),"",IF(COUNTIF($R$2:$R334,$R334)=1,1,0))</f>
        <v>1</v>
      </c>
      <c r="W334" s="11">
        <f>IF(V334=1,SUM($V$2:V334),"")</f>
        <v>125</v>
      </c>
      <c r="X334" s="11" t="str">
        <f t="shared" si="11"/>
        <v>SHOPEE</v>
      </c>
    </row>
    <row r="335" spans="1:24">
      <c r="A335" s="15" t="s">
        <v>79</v>
      </c>
      <c r="B335" s="15" t="s">
        <v>83</v>
      </c>
      <c r="C335" s="15" t="s">
        <v>764</v>
      </c>
      <c r="D335" s="13">
        <v>46220.877083333333</v>
      </c>
      <c r="E335" s="15" t="s">
        <v>73</v>
      </c>
      <c r="F335" s="15" t="s">
        <v>765</v>
      </c>
      <c r="G335" s="15" t="s">
        <v>74</v>
      </c>
      <c r="H335" s="15" t="s">
        <v>75</v>
      </c>
      <c r="I335" s="14">
        <v>12000</v>
      </c>
      <c r="J335" s="15" t="s">
        <v>248</v>
      </c>
      <c r="K335" s="15" t="s">
        <v>24</v>
      </c>
      <c r="L335" s="15">
        <v>1</v>
      </c>
      <c r="M335" s="15">
        <v>1</v>
      </c>
      <c r="N335" s="15" t="s">
        <v>76</v>
      </c>
      <c r="O335" s="15" t="s">
        <v>76</v>
      </c>
      <c r="P335" s="14">
        <v>35000</v>
      </c>
      <c r="Q335" s="13">
        <v>46220.877083333333</v>
      </c>
      <c r="R335" s="15" t="s">
        <v>153</v>
      </c>
      <c r="S335" s="11" t="str">
        <f t="shared" si="10"/>
        <v>2026-07-17</v>
      </c>
      <c r="T335" s="11">
        <f>IF($E335="","",IF(COUNTIF($E$2:$E335,$E335)=1,1,0))</f>
        <v>0</v>
      </c>
      <c r="U335" s="11" t="str">
        <f>IF(T335=1,SUM($T$2:T335),"")</f>
        <v/>
      </c>
      <c r="V335" s="11">
        <f>IF(OR($R335="",$R335="-"),"",IF(COUNTIF($R$2:$R335,$R335)=1,1,0))</f>
        <v>1</v>
      </c>
      <c r="W335" s="11">
        <f>IF(V335=1,SUM($V$2:V335),"")</f>
        <v>126</v>
      </c>
      <c r="X335" s="11" t="str">
        <f t="shared" si="11"/>
        <v>SHOPEE</v>
      </c>
    </row>
    <row r="336" spans="1:24">
      <c r="A336" s="15" t="s">
        <v>79</v>
      </c>
      <c r="B336" s="15" t="s">
        <v>83</v>
      </c>
      <c r="C336" s="15" t="s">
        <v>764</v>
      </c>
      <c r="D336" s="13">
        <v>46220.877083333333</v>
      </c>
      <c r="E336" s="15" t="s">
        <v>73</v>
      </c>
      <c r="F336" s="15" t="s">
        <v>766</v>
      </c>
      <c r="G336" s="15" t="s">
        <v>74</v>
      </c>
      <c r="H336" s="15" t="s">
        <v>75</v>
      </c>
      <c r="I336" s="14">
        <v>12000</v>
      </c>
      <c r="J336" s="15" t="s">
        <v>227</v>
      </c>
      <c r="K336" s="15" t="s">
        <v>24</v>
      </c>
      <c r="L336" s="15">
        <v>1</v>
      </c>
      <c r="M336" s="15">
        <v>1</v>
      </c>
      <c r="N336" s="15" t="s">
        <v>76</v>
      </c>
      <c r="O336" s="15" t="s">
        <v>76</v>
      </c>
      <c r="P336" s="14">
        <v>24000</v>
      </c>
      <c r="Q336" s="13">
        <v>46220.877083333333</v>
      </c>
      <c r="R336" s="15" t="s">
        <v>153</v>
      </c>
      <c r="S336" s="11" t="str">
        <f t="shared" si="10"/>
        <v>2026-07-17</v>
      </c>
      <c r="T336" s="11">
        <f>IF($E336="","",IF(COUNTIF($E$2:$E336,$E336)=1,1,0))</f>
        <v>0</v>
      </c>
      <c r="U336" s="11" t="str">
        <f>IF(T336=1,SUM($T$2:T336),"")</f>
        <v/>
      </c>
      <c r="V336" s="11">
        <f>IF(OR($R336="",$R336="-"),"",IF(COUNTIF($R$2:$R336,$R336)=1,1,0))</f>
        <v>0</v>
      </c>
      <c r="W336" s="11" t="str">
        <f>IF(V336=1,SUM($V$2:V336),"")</f>
        <v/>
      </c>
      <c r="X336" s="11" t="str">
        <f t="shared" si="11"/>
        <v>SHOPEE</v>
      </c>
    </row>
    <row r="337" spans="1:24">
      <c r="A337" s="15" t="s">
        <v>79</v>
      </c>
      <c r="B337" s="15" t="s">
        <v>83</v>
      </c>
      <c r="C337" s="15" t="s">
        <v>764</v>
      </c>
      <c r="D337" s="13">
        <v>46220.877083333333</v>
      </c>
      <c r="E337" s="15" t="s">
        <v>73</v>
      </c>
      <c r="F337" s="15" t="s">
        <v>767</v>
      </c>
      <c r="G337" s="15" t="s">
        <v>74</v>
      </c>
      <c r="H337" s="15" t="s">
        <v>75</v>
      </c>
      <c r="I337" s="14">
        <v>12000</v>
      </c>
      <c r="J337" s="15" t="s">
        <v>172</v>
      </c>
      <c r="K337" s="15" t="s">
        <v>24</v>
      </c>
      <c r="L337" s="15">
        <v>1</v>
      </c>
      <c r="M337" s="15">
        <v>1</v>
      </c>
      <c r="N337" s="15" t="s">
        <v>76</v>
      </c>
      <c r="O337" s="15" t="s">
        <v>76</v>
      </c>
      <c r="P337" s="14">
        <v>30000</v>
      </c>
      <c r="Q337" s="13">
        <v>46220.877083333333</v>
      </c>
      <c r="R337" s="15" t="s">
        <v>153</v>
      </c>
      <c r="S337" s="11" t="str">
        <f t="shared" si="10"/>
        <v>2026-07-17</v>
      </c>
      <c r="T337" s="11">
        <f>IF($E337="","",IF(COUNTIF($E$2:$E337,$E337)=1,1,0))</f>
        <v>0</v>
      </c>
      <c r="U337" s="11" t="str">
        <f>IF(T337=1,SUM($T$2:T337),"")</f>
        <v/>
      </c>
      <c r="V337" s="11">
        <f>IF(OR($R337="",$R337="-"),"",IF(COUNTIF($R$2:$R337,$R337)=1,1,0))</f>
        <v>0</v>
      </c>
      <c r="W337" s="11" t="str">
        <f>IF(V337=1,SUM($V$2:V337),"")</f>
        <v/>
      </c>
      <c r="X337" s="11" t="str">
        <f t="shared" si="11"/>
        <v>SHOPEE</v>
      </c>
    </row>
    <row r="338" spans="1:24">
      <c r="A338" s="15" t="s">
        <v>79</v>
      </c>
      <c r="B338" s="15" t="s">
        <v>80</v>
      </c>
      <c r="C338" s="15" t="s">
        <v>768</v>
      </c>
      <c r="D338" s="13">
        <v>46220.811805555553</v>
      </c>
      <c r="E338" s="15" t="s">
        <v>73</v>
      </c>
      <c r="F338" s="15" t="s">
        <v>769</v>
      </c>
      <c r="G338" s="15" t="s">
        <v>74</v>
      </c>
      <c r="H338" s="15" t="s">
        <v>75</v>
      </c>
      <c r="I338" s="14">
        <v>13000</v>
      </c>
      <c r="J338" s="15" t="s">
        <v>262</v>
      </c>
      <c r="K338" s="15" t="s">
        <v>24</v>
      </c>
      <c r="L338" s="15">
        <v>1</v>
      </c>
      <c r="M338" s="15">
        <v>0.5</v>
      </c>
      <c r="N338" s="15" t="s">
        <v>76</v>
      </c>
      <c r="O338" s="15" t="s">
        <v>76</v>
      </c>
      <c r="P338" s="14">
        <v>189000</v>
      </c>
      <c r="Q338" s="13">
        <v>46220.8125</v>
      </c>
      <c r="R338" s="15" t="s">
        <v>306</v>
      </c>
      <c r="S338" s="11" t="str">
        <f t="shared" si="10"/>
        <v>2026-07-17</v>
      </c>
      <c r="T338" s="11">
        <f>IF($E338="","",IF(COUNTIF($E$2:$E338,$E338)=1,1,0))</f>
        <v>0</v>
      </c>
      <c r="U338" s="11" t="str">
        <f>IF(T338=1,SUM($T$2:T338),"")</f>
        <v/>
      </c>
      <c r="V338" s="11">
        <f>IF(OR($R338="",$R338="-"),"",IF(COUNTIF($R$2:$R338,$R338)=1,1,0))</f>
        <v>1</v>
      </c>
      <c r="W338" s="11">
        <f>IF(V338=1,SUM($V$2:V338),"")</f>
        <v>127</v>
      </c>
      <c r="X338" s="11" t="str">
        <f t="shared" si="11"/>
        <v>SHOPEE</v>
      </c>
    </row>
    <row r="339" spans="1:24">
      <c r="A339" s="15" t="s">
        <v>79</v>
      </c>
      <c r="B339" s="15" t="s">
        <v>83</v>
      </c>
      <c r="C339" s="15" t="s">
        <v>770</v>
      </c>
      <c r="D339" s="13">
        <v>46220.796527777777</v>
      </c>
      <c r="E339" s="15" t="s">
        <v>265</v>
      </c>
      <c r="F339" s="15" t="s">
        <v>771</v>
      </c>
      <c r="G339" s="15" t="s">
        <v>74</v>
      </c>
      <c r="H339" s="15" t="s">
        <v>75</v>
      </c>
      <c r="I339" s="14">
        <v>46000</v>
      </c>
      <c r="J339" s="15" t="s">
        <v>195</v>
      </c>
      <c r="K339" s="15" t="s">
        <v>24</v>
      </c>
      <c r="L339" s="15">
        <v>1</v>
      </c>
      <c r="M339" s="15">
        <v>2</v>
      </c>
      <c r="N339" s="15" t="s">
        <v>76</v>
      </c>
      <c r="O339" s="15" t="s">
        <v>76</v>
      </c>
      <c r="P339" s="14">
        <v>349000</v>
      </c>
      <c r="Q339" s="13">
        <v>46220.796527777777</v>
      </c>
      <c r="R339" s="15" t="s">
        <v>772</v>
      </c>
      <c r="S339" s="11" t="str">
        <f t="shared" si="10"/>
        <v>2026-07-17</v>
      </c>
      <c r="T339" s="11">
        <f>IF($E339="","",IF(COUNTIF($E$2:$E339,$E339)=1,1,0))</f>
        <v>0</v>
      </c>
      <c r="U339" s="11" t="str">
        <f>IF(T339=1,SUM($T$2:T339),"")</f>
        <v/>
      </c>
      <c r="V339" s="11">
        <f>IF(OR($R339="",$R339="-"),"",IF(COUNTIF($R$2:$R339,$R339)=1,1,0))</f>
        <v>1</v>
      </c>
      <c r="W339" s="11">
        <f>IF(V339=1,SUM($V$2:V339),"")</f>
        <v>128</v>
      </c>
      <c r="X339" s="11" t="str">
        <f t="shared" si="11"/>
        <v>SHOPEE</v>
      </c>
    </row>
    <row r="340" spans="1:24">
      <c r="A340" s="15" t="s">
        <v>79</v>
      </c>
      <c r="B340" s="15" t="s">
        <v>83</v>
      </c>
      <c r="C340" s="15" t="s">
        <v>773</v>
      </c>
      <c r="D340" s="13">
        <v>46220.786805555559</v>
      </c>
      <c r="E340" s="15" t="s">
        <v>265</v>
      </c>
      <c r="F340" s="15" t="s">
        <v>774</v>
      </c>
      <c r="G340" s="15" t="s">
        <v>74</v>
      </c>
      <c r="H340" s="15" t="s">
        <v>75</v>
      </c>
      <c r="I340" s="14">
        <v>112500</v>
      </c>
      <c r="J340" s="15" t="s">
        <v>243</v>
      </c>
      <c r="K340" s="15" t="s">
        <v>26</v>
      </c>
      <c r="L340" s="15">
        <v>1</v>
      </c>
      <c r="M340" s="15">
        <v>24.2</v>
      </c>
      <c r="N340" s="15" t="s">
        <v>76</v>
      </c>
      <c r="O340" s="15" t="s">
        <v>76</v>
      </c>
      <c r="P340" s="14">
        <v>605900</v>
      </c>
      <c r="Q340" s="13">
        <v>46220.786805555559</v>
      </c>
      <c r="R340" s="15" t="s">
        <v>102</v>
      </c>
      <c r="S340" s="11" t="str">
        <f t="shared" si="10"/>
        <v>2026-07-17</v>
      </c>
      <c r="T340" s="11">
        <f>IF($E340="","",IF(COUNTIF($E$2:$E340,$E340)=1,1,0))</f>
        <v>0</v>
      </c>
      <c r="U340" s="11" t="str">
        <f>IF(T340=1,SUM($T$2:T340),"")</f>
        <v/>
      </c>
      <c r="V340" s="11">
        <f>IF(OR($R340="",$R340="-"),"",IF(COUNTIF($R$2:$R340,$R340)=1,1,0))</f>
        <v>0</v>
      </c>
      <c r="W340" s="11" t="str">
        <f>IF(V340=1,SUM($V$2:V340),"")</f>
        <v/>
      </c>
      <c r="X340" s="11" t="str">
        <f t="shared" si="11"/>
        <v>SHOPEE</v>
      </c>
    </row>
    <row r="341" spans="1:24">
      <c r="A341" s="15" t="s">
        <v>79</v>
      </c>
      <c r="B341" s="15" t="s">
        <v>80</v>
      </c>
      <c r="C341" s="15" t="s">
        <v>775</v>
      </c>
      <c r="D341" s="13">
        <v>46220.759027777778</v>
      </c>
      <c r="E341" s="15" t="s">
        <v>265</v>
      </c>
      <c r="F341" s="15" t="s">
        <v>776</v>
      </c>
      <c r="G341" s="15" t="s">
        <v>74</v>
      </c>
      <c r="H341" s="15" t="s">
        <v>75</v>
      </c>
      <c r="I341" s="14">
        <v>24000</v>
      </c>
      <c r="J341" s="15" t="s">
        <v>777</v>
      </c>
      <c r="K341" s="15" t="s">
        <v>24</v>
      </c>
      <c r="L341" s="15">
        <v>2</v>
      </c>
      <c r="M341" s="15">
        <v>1.6</v>
      </c>
      <c r="N341" s="15" t="s">
        <v>76</v>
      </c>
      <c r="O341" s="15" t="s">
        <v>76</v>
      </c>
      <c r="P341" s="14">
        <v>47980</v>
      </c>
      <c r="Q341" s="13">
        <v>46220.759027777778</v>
      </c>
      <c r="R341" s="15" t="s">
        <v>778</v>
      </c>
      <c r="S341" s="11" t="str">
        <f t="shared" si="10"/>
        <v>2026-07-17</v>
      </c>
      <c r="T341" s="11">
        <f>IF($E341="","",IF(COUNTIF($E$2:$E341,$E341)=1,1,0))</f>
        <v>0</v>
      </c>
      <c r="U341" s="11" t="str">
        <f>IF(T341=1,SUM($T$2:T341),"")</f>
        <v/>
      </c>
      <c r="V341" s="11">
        <f>IF(OR($R341="",$R341="-"),"",IF(COUNTIF($R$2:$R341,$R341)=1,1,0))</f>
        <v>1</v>
      </c>
      <c r="W341" s="11">
        <f>IF(V341=1,SUM($V$2:V341),"")</f>
        <v>129</v>
      </c>
      <c r="X341" s="11" t="str">
        <f t="shared" si="11"/>
        <v>SHOPEE</v>
      </c>
    </row>
    <row r="342" spans="1:24">
      <c r="A342" s="15" t="s">
        <v>779</v>
      </c>
      <c r="B342" s="15" t="s">
        <v>116</v>
      </c>
      <c r="C342" s="15" t="s">
        <v>780</v>
      </c>
      <c r="D342" s="13">
        <v>46220.724305555559</v>
      </c>
      <c r="E342" s="15" t="s">
        <v>265</v>
      </c>
      <c r="F342" s="15" t="s">
        <v>781</v>
      </c>
      <c r="G342" s="15" t="s">
        <v>74</v>
      </c>
      <c r="H342" s="15" t="s">
        <v>75</v>
      </c>
      <c r="I342" s="14">
        <v>31500</v>
      </c>
      <c r="J342" s="15" t="s">
        <v>213</v>
      </c>
      <c r="K342" s="15" t="s">
        <v>26</v>
      </c>
      <c r="L342" s="15">
        <v>3</v>
      </c>
      <c r="M342" s="15">
        <v>5.4</v>
      </c>
      <c r="N342" s="15" t="s">
        <v>76</v>
      </c>
      <c r="O342" s="15" t="s">
        <v>76</v>
      </c>
      <c r="P342" s="14">
        <v>111000</v>
      </c>
      <c r="Q342" s="13">
        <v>46220.724305555559</v>
      </c>
      <c r="R342" s="15" t="s">
        <v>779</v>
      </c>
      <c r="S342" s="11" t="str">
        <f t="shared" si="10"/>
        <v>2026-07-17</v>
      </c>
      <c r="T342" s="11">
        <f>IF($E342="","",IF(COUNTIF($E$2:$E342,$E342)=1,1,0))</f>
        <v>0</v>
      </c>
      <c r="U342" s="11" t="str">
        <f>IF(T342=1,SUM($T$2:T342),"")</f>
        <v/>
      </c>
      <c r="V342" s="11">
        <f>IF(OR($R342="",$R342="-"),"",IF(COUNTIF($R$2:$R342,$R342)=1,1,0))</f>
        <v>0</v>
      </c>
      <c r="W342" s="11" t="str">
        <f>IF(V342=1,SUM($V$2:V342),"")</f>
        <v/>
      </c>
      <c r="X342" s="11" t="str">
        <f t="shared" si="11"/>
        <v>SHOPEE</v>
      </c>
    </row>
    <row r="343" spans="1:24">
      <c r="A343" s="15" t="s">
        <v>782</v>
      </c>
      <c r="B343" s="15" t="s">
        <v>263</v>
      </c>
      <c r="C343" s="15" t="s">
        <v>783</v>
      </c>
      <c r="D343" s="13">
        <v>46220.715277777781</v>
      </c>
      <c r="E343" s="15" t="s">
        <v>73</v>
      </c>
      <c r="F343" s="15" t="s">
        <v>784</v>
      </c>
      <c r="G343" s="15" t="s">
        <v>74</v>
      </c>
      <c r="H343" s="15" t="s">
        <v>75</v>
      </c>
      <c r="I343" s="14">
        <v>12000</v>
      </c>
      <c r="J343" s="15" t="s">
        <v>199</v>
      </c>
      <c r="K343" s="15" t="s">
        <v>24</v>
      </c>
      <c r="L343" s="15">
        <v>1</v>
      </c>
      <c r="M343" s="15">
        <v>0.1</v>
      </c>
      <c r="N343" s="15" t="s">
        <v>76</v>
      </c>
      <c r="O343" s="15" t="s">
        <v>76</v>
      </c>
      <c r="P343" s="14">
        <v>70500</v>
      </c>
      <c r="Q343" s="13">
        <v>46220.715277777781</v>
      </c>
      <c r="R343" s="15" t="s">
        <v>782</v>
      </c>
      <c r="S343" s="11" t="str">
        <f t="shared" si="10"/>
        <v>2026-07-17</v>
      </c>
      <c r="T343" s="11">
        <f>IF($E343="","",IF(COUNTIF($E$2:$E343,$E343)=1,1,0))</f>
        <v>0</v>
      </c>
      <c r="U343" s="11" t="str">
        <f>IF(T343=1,SUM($T$2:T343),"")</f>
        <v/>
      </c>
      <c r="V343" s="11">
        <f>IF(OR($R343="",$R343="-"),"",IF(COUNTIF($R$2:$R343,$R343)=1,1,0))</f>
        <v>1</v>
      </c>
      <c r="W343" s="11">
        <f>IF(V343=1,SUM($V$2:V343),"")</f>
        <v>130</v>
      </c>
      <c r="X343" s="11" t="str">
        <f t="shared" si="11"/>
        <v>LASTANA EXPRESS</v>
      </c>
    </row>
    <row r="344" spans="1:24">
      <c r="A344" s="15" t="s">
        <v>79</v>
      </c>
      <c r="B344" s="15" t="s">
        <v>83</v>
      </c>
      <c r="C344" s="15" t="s">
        <v>785</v>
      </c>
      <c r="D344" s="13">
        <v>46220.707638888889</v>
      </c>
      <c r="E344" s="15" t="s">
        <v>73</v>
      </c>
      <c r="F344" s="15" t="s">
        <v>786</v>
      </c>
      <c r="G344" s="15" t="s">
        <v>74</v>
      </c>
      <c r="H344" s="15" t="s">
        <v>75</v>
      </c>
      <c r="I344" s="14">
        <v>24000</v>
      </c>
      <c r="J344" s="15" t="s">
        <v>196</v>
      </c>
      <c r="K344" s="15" t="s">
        <v>24</v>
      </c>
      <c r="L344" s="15">
        <v>1</v>
      </c>
      <c r="M344" s="15">
        <v>2</v>
      </c>
      <c r="N344" s="15" t="s">
        <v>76</v>
      </c>
      <c r="O344" s="15" t="s">
        <v>76</v>
      </c>
      <c r="P344" s="14">
        <v>1199000</v>
      </c>
      <c r="Q344" s="13">
        <v>46220.707638888889</v>
      </c>
      <c r="R344" s="15" t="s">
        <v>296</v>
      </c>
      <c r="S344" s="11" t="str">
        <f t="shared" si="10"/>
        <v>2026-07-17</v>
      </c>
      <c r="T344" s="11">
        <f>IF($E344="","",IF(COUNTIF($E$2:$E344,$E344)=1,1,0))</f>
        <v>0</v>
      </c>
      <c r="U344" s="11" t="str">
        <f>IF(T344=1,SUM($T$2:T344),"")</f>
        <v/>
      </c>
      <c r="V344" s="11">
        <f>IF(OR($R344="",$R344="-"),"",IF(COUNTIF($R$2:$R344,$R344)=1,1,0))</f>
        <v>1</v>
      </c>
      <c r="W344" s="11">
        <f>IF(V344=1,SUM($V$2:V344),"")</f>
        <v>131</v>
      </c>
      <c r="X344" s="11" t="str">
        <f t="shared" si="11"/>
        <v>SHOPEE</v>
      </c>
    </row>
    <row r="345" spans="1:24">
      <c r="A345" s="15" t="s">
        <v>79</v>
      </c>
      <c r="B345" s="15" t="s">
        <v>80</v>
      </c>
      <c r="C345" s="15" t="s">
        <v>787</v>
      </c>
      <c r="D345" s="13">
        <v>46220.701388888891</v>
      </c>
      <c r="E345" s="15" t="s">
        <v>265</v>
      </c>
      <c r="F345" s="15" t="s">
        <v>788</v>
      </c>
      <c r="G345" s="15" t="s">
        <v>74</v>
      </c>
      <c r="H345" s="15" t="s">
        <v>75</v>
      </c>
      <c r="I345" s="14">
        <v>24000</v>
      </c>
      <c r="J345" s="15" t="s">
        <v>789</v>
      </c>
      <c r="K345" s="15" t="s">
        <v>24</v>
      </c>
      <c r="L345" s="15">
        <v>1</v>
      </c>
      <c r="M345" s="15">
        <v>0.35</v>
      </c>
      <c r="N345" s="15" t="s">
        <v>76</v>
      </c>
      <c r="O345" s="15" t="s">
        <v>76</v>
      </c>
      <c r="P345" s="14">
        <v>79999</v>
      </c>
      <c r="Q345" s="13">
        <v>46220.701388888891</v>
      </c>
      <c r="R345" s="15" t="s">
        <v>790</v>
      </c>
      <c r="S345" s="11" t="str">
        <f t="shared" si="10"/>
        <v>2026-07-17</v>
      </c>
      <c r="T345" s="11">
        <f>IF($E345="","",IF(COUNTIF($E$2:$E345,$E345)=1,1,0))</f>
        <v>0</v>
      </c>
      <c r="U345" s="11" t="str">
        <f>IF(T345=1,SUM($T$2:T345),"")</f>
        <v/>
      </c>
      <c r="V345" s="11">
        <f>IF(OR($R345="",$R345="-"),"",IF(COUNTIF($R$2:$R345,$R345)=1,1,0))</f>
        <v>1</v>
      </c>
      <c r="W345" s="11">
        <f>IF(V345=1,SUM($V$2:V345),"")</f>
        <v>132</v>
      </c>
      <c r="X345" s="11" t="str">
        <f t="shared" si="11"/>
        <v>SHOPEE</v>
      </c>
    </row>
    <row r="346" spans="1:24">
      <c r="A346" s="15" t="s">
        <v>791</v>
      </c>
      <c r="B346" s="15" t="s">
        <v>191</v>
      </c>
      <c r="C346" s="15" t="s">
        <v>792</v>
      </c>
      <c r="D346" s="13">
        <v>46220.65625</v>
      </c>
      <c r="E346" s="15" t="s">
        <v>265</v>
      </c>
      <c r="F346" s="15" t="s">
        <v>793</v>
      </c>
      <c r="G346" s="15" t="s">
        <v>74</v>
      </c>
      <c r="H346" s="15" t="s">
        <v>75</v>
      </c>
      <c r="I346" s="14">
        <v>12000</v>
      </c>
      <c r="J346" s="15" t="s">
        <v>192</v>
      </c>
      <c r="K346" s="15" t="s">
        <v>24</v>
      </c>
      <c r="L346" s="15">
        <v>1</v>
      </c>
      <c r="M346" s="15">
        <v>1</v>
      </c>
      <c r="N346" s="15" t="s">
        <v>76</v>
      </c>
      <c r="O346" s="15" t="s">
        <v>76</v>
      </c>
      <c r="P346" s="14">
        <v>350000</v>
      </c>
      <c r="Q346" s="13">
        <v>46220.656944444447</v>
      </c>
      <c r="R346" s="15" t="s">
        <v>794</v>
      </c>
      <c r="S346" s="11" t="str">
        <f t="shared" si="10"/>
        <v>2026-07-17</v>
      </c>
      <c r="T346" s="11">
        <f>IF($E346="","",IF(COUNTIF($E$2:$E346,$E346)=1,1,0))</f>
        <v>0</v>
      </c>
      <c r="U346" s="11" t="str">
        <f>IF(T346=1,SUM($T$2:T346),"")</f>
        <v/>
      </c>
      <c r="V346" s="11">
        <f>IF(OR($R346="",$R346="-"),"",IF(COUNTIF($R$2:$R346,$R346)=1,1,0))</f>
        <v>1</v>
      </c>
      <c r="W346" s="11">
        <f>IF(V346=1,SUM($V$2:V346),"")</f>
        <v>133</v>
      </c>
      <c r="X346" s="11" t="str">
        <f t="shared" si="11"/>
        <v>TOKGISTIC</v>
      </c>
    </row>
    <row r="347" spans="1:24">
      <c r="A347" s="15" t="s">
        <v>79</v>
      </c>
      <c r="B347" s="15" t="s">
        <v>83</v>
      </c>
      <c r="C347" s="15" t="s">
        <v>795</v>
      </c>
      <c r="D347" s="13">
        <v>46220.65</v>
      </c>
      <c r="E347" s="15" t="s">
        <v>265</v>
      </c>
      <c r="F347" s="15" t="s">
        <v>798</v>
      </c>
      <c r="G347" s="15" t="s">
        <v>74</v>
      </c>
      <c r="H347" s="15" t="s">
        <v>75</v>
      </c>
      <c r="I347" s="14">
        <v>25000</v>
      </c>
      <c r="J347" s="15" t="s">
        <v>329</v>
      </c>
      <c r="K347" s="15" t="s">
        <v>27</v>
      </c>
      <c r="L347" s="15">
        <v>1</v>
      </c>
      <c r="M347" s="15">
        <v>0.01</v>
      </c>
      <c r="N347" s="15" t="s">
        <v>76</v>
      </c>
      <c r="O347" s="15" t="s">
        <v>76</v>
      </c>
      <c r="P347" s="14">
        <v>400000</v>
      </c>
      <c r="Q347" s="13">
        <v>46220.65</v>
      </c>
      <c r="R347" s="15" t="s">
        <v>168</v>
      </c>
      <c r="S347" s="11" t="str">
        <f t="shared" si="10"/>
        <v>2026-07-17</v>
      </c>
      <c r="T347" s="11">
        <f>IF($E347="","",IF(COUNTIF($E$2:$E347,$E347)=1,1,0))</f>
        <v>0</v>
      </c>
      <c r="U347" s="11" t="str">
        <f>IF(T347=1,SUM($T$2:T347),"")</f>
        <v/>
      </c>
      <c r="V347" s="11">
        <f>IF(OR($R347="",$R347="-"),"",IF(COUNTIF($R$2:$R347,$R347)=1,1,0))</f>
        <v>0</v>
      </c>
      <c r="W347" s="11" t="str">
        <f>IF(V347=1,SUM($V$2:V347),"")</f>
        <v/>
      </c>
      <c r="X347" s="11" t="str">
        <f t="shared" si="11"/>
        <v>SHOPEE</v>
      </c>
    </row>
    <row r="348" spans="1:24">
      <c r="A348" s="15" t="s">
        <v>79</v>
      </c>
      <c r="B348" s="15" t="s">
        <v>83</v>
      </c>
      <c r="C348" s="15" t="s">
        <v>795</v>
      </c>
      <c r="D348" s="13">
        <v>46220.65</v>
      </c>
      <c r="E348" s="15" t="s">
        <v>265</v>
      </c>
      <c r="F348" s="15" t="s">
        <v>797</v>
      </c>
      <c r="G348" s="15" t="s">
        <v>74</v>
      </c>
      <c r="H348" s="15" t="s">
        <v>75</v>
      </c>
      <c r="I348" s="14">
        <v>17000</v>
      </c>
      <c r="J348" s="15" t="s">
        <v>226</v>
      </c>
      <c r="K348" s="15" t="s">
        <v>27</v>
      </c>
      <c r="L348" s="15">
        <v>1</v>
      </c>
      <c r="M348" s="15">
        <v>0.01</v>
      </c>
      <c r="N348" s="15" t="s">
        <v>76</v>
      </c>
      <c r="O348" s="15" t="s">
        <v>76</v>
      </c>
      <c r="P348" s="14">
        <v>189000</v>
      </c>
      <c r="Q348" s="13">
        <v>46220.65</v>
      </c>
      <c r="R348" s="15" t="s">
        <v>168</v>
      </c>
      <c r="S348" s="11" t="str">
        <f t="shared" si="10"/>
        <v>2026-07-17</v>
      </c>
      <c r="T348" s="11">
        <f>IF($E348="","",IF(COUNTIF($E$2:$E348,$E348)=1,1,0))</f>
        <v>0</v>
      </c>
      <c r="U348" s="11" t="str">
        <f>IF(T348=1,SUM($T$2:T348),"")</f>
        <v/>
      </c>
      <c r="V348" s="11">
        <f>IF(OR($R348="",$R348="-"),"",IF(COUNTIF($R$2:$R348,$R348)=1,1,0))</f>
        <v>0</v>
      </c>
      <c r="W348" s="11" t="str">
        <f>IF(V348=1,SUM($V$2:V348),"")</f>
        <v/>
      </c>
      <c r="X348" s="11" t="str">
        <f t="shared" si="11"/>
        <v>SHOPEE</v>
      </c>
    </row>
    <row r="349" spans="1:24">
      <c r="A349" s="15" t="s">
        <v>79</v>
      </c>
      <c r="B349" s="15" t="s">
        <v>83</v>
      </c>
      <c r="C349" s="15" t="s">
        <v>795</v>
      </c>
      <c r="D349" s="13">
        <v>46220.65</v>
      </c>
      <c r="E349" s="15" t="s">
        <v>265</v>
      </c>
      <c r="F349" s="15" t="s">
        <v>796</v>
      </c>
      <c r="G349" s="15" t="s">
        <v>74</v>
      </c>
      <c r="H349" s="15" t="s">
        <v>75</v>
      </c>
      <c r="I349" s="14">
        <v>21000</v>
      </c>
      <c r="J349" s="15" t="s">
        <v>459</v>
      </c>
      <c r="K349" s="15" t="s">
        <v>24</v>
      </c>
      <c r="L349" s="15">
        <v>2</v>
      </c>
      <c r="M349" s="15">
        <v>1</v>
      </c>
      <c r="N349" s="15" t="s">
        <v>76</v>
      </c>
      <c r="O349" s="15" t="s">
        <v>76</v>
      </c>
      <c r="P349" s="14">
        <v>120000</v>
      </c>
      <c r="Q349" s="13">
        <v>46220.65</v>
      </c>
      <c r="R349" s="15" t="s">
        <v>168</v>
      </c>
      <c r="S349" s="11" t="str">
        <f t="shared" si="10"/>
        <v>2026-07-17</v>
      </c>
      <c r="T349" s="11">
        <f>IF($E349="","",IF(COUNTIF($E$2:$E349,$E349)=1,1,0))</f>
        <v>0</v>
      </c>
      <c r="U349" s="11" t="str">
        <f>IF(T349=1,SUM($T$2:T349),"")</f>
        <v/>
      </c>
      <c r="V349" s="11">
        <f>IF(OR($R349="",$R349="-"),"",IF(COUNTIF($R$2:$R349,$R349)=1,1,0))</f>
        <v>0</v>
      </c>
      <c r="W349" s="11" t="str">
        <f>IF(V349=1,SUM($V$2:V349),"")</f>
        <v/>
      </c>
      <c r="X349" s="11" t="str">
        <f t="shared" si="11"/>
        <v>SHOPEE</v>
      </c>
    </row>
    <row r="350" spans="1:24">
      <c r="A350" s="15" t="s">
        <v>79</v>
      </c>
      <c r="B350" s="15" t="s">
        <v>83</v>
      </c>
      <c r="C350" s="15" t="s">
        <v>799</v>
      </c>
      <c r="D350" s="13">
        <v>46220.640277777777</v>
      </c>
      <c r="E350" s="15" t="s">
        <v>265</v>
      </c>
      <c r="F350" s="15" t="s">
        <v>804</v>
      </c>
      <c r="G350" s="15" t="s">
        <v>74</v>
      </c>
      <c r="H350" s="15" t="s">
        <v>75</v>
      </c>
      <c r="I350" s="14">
        <v>12000</v>
      </c>
      <c r="J350" s="15" t="s">
        <v>343</v>
      </c>
      <c r="K350" s="15" t="s">
        <v>24</v>
      </c>
      <c r="L350" s="15">
        <v>1</v>
      </c>
      <c r="M350" s="15">
        <v>0.35</v>
      </c>
      <c r="N350" s="15" t="s">
        <v>76</v>
      </c>
      <c r="O350" s="15" t="s">
        <v>76</v>
      </c>
      <c r="P350" s="14">
        <v>8500</v>
      </c>
      <c r="Q350" s="13">
        <v>46220.640277777777</v>
      </c>
      <c r="R350" s="15" t="s">
        <v>193</v>
      </c>
      <c r="S350" s="11" t="str">
        <f t="shared" si="10"/>
        <v>2026-07-17</v>
      </c>
      <c r="T350" s="11">
        <f>IF($E350="","",IF(COUNTIF($E$2:$E350,$E350)=1,1,0))</f>
        <v>0</v>
      </c>
      <c r="U350" s="11" t="str">
        <f>IF(T350=1,SUM($T$2:T350),"")</f>
        <v/>
      </c>
      <c r="V350" s="11">
        <f>IF(OR($R350="",$R350="-"),"",IF(COUNTIF($R$2:$R350,$R350)=1,1,0))</f>
        <v>0</v>
      </c>
      <c r="W350" s="11" t="str">
        <f>IF(V350=1,SUM($V$2:V350),"")</f>
        <v/>
      </c>
      <c r="X350" s="11" t="str">
        <f t="shared" si="11"/>
        <v>SHOPEE</v>
      </c>
    </row>
    <row r="351" spans="1:24">
      <c r="A351" s="15" t="s">
        <v>79</v>
      </c>
      <c r="B351" s="15" t="s">
        <v>83</v>
      </c>
      <c r="C351" s="15" t="s">
        <v>799</v>
      </c>
      <c r="D351" s="13">
        <v>46220.640277777777</v>
      </c>
      <c r="E351" s="15" t="s">
        <v>265</v>
      </c>
      <c r="F351" s="15" t="s">
        <v>802</v>
      </c>
      <c r="G351" s="15" t="s">
        <v>74</v>
      </c>
      <c r="H351" s="15" t="s">
        <v>75</v>
      </c>
      <c r="I351" s="14">
        <v>16500</v>
      </c>
      <c r="J351" s="15" t="s">
        <v>803</v>
      </c>
      <c r="K351" s="15" t="s">
        <v>27</v>
      </c>
      <c r="L351" s="15">
        <v>1</v>
      </c>
      <c r="M351" s="15">
        <v>0.35</v>
      </c>
      <c r="N351" s="15" t="s">
        <v>76</v>
      </c>
      <c r="O351" s="15" t="s">
        <v>76</v>
      </c>
      <c r="P351" s="14">
        <v>8500</v>
      </c>
      <c r="Q351" s="13">
        <v>46220.640277777777</v>
      </c>
      <c r="R351" s="15" t="s">
        <v>193</v>
      </c>
      <c r="S351" s="11" t="str">
        <f t="shared" si="10"/>
        <v>2026-07-17</v>
      </c>
      <c r="T351" s="11">
        <f>IF($E351="","",IF(COUNTIF($E$2:$E351,$E351)=1,1,0))</f>
        <v>0</v>
      </c>
      <c r="U351" s="11" t="str">
        <f>IF(T351=1,SUM($T$2:T351),"")</f>
        <v/>
      </c>
      <c r="V351" s="11">
        <f>IF(OR($R351="",$R351="-"),"",IF(COUNTIF($R$2:$R351,$R351)=1,1,0))</f>
        <v>0</v>
      </c>
      <c r="W351" s="11" t="str">
        <f>IF(V351=1,SUM($V$2:V351),"")</f>
        <v/>
      </c>
      <c r="X351" s="11" t="str">
        <f t="shared" si="11"/>
        <v>SHOPEE</v>
      </c>
    </row>
    <row r="352" spans="1:24">
      <c r="A352" s="15" t="s">
        <v>79</v>
      </c>
      <c r="B352" s="15" t="s">
        <v>83</v>
      </c>
      <c r="C352" s="15" t="s">
        <v>799</v>
      </c>
      <c r="D352" s="13">
        <v>46220.640277777777</v>
      </c>
      <c r="E352" s="15" t="s">
        <v>265</v>
      </c>
      <c r="F352" s="15" t="s">
        <v>800</v>
      </c>
      <c r="G352" s="15" t="s">
        <v>74</v>
      </c>
      <c r="H352" s="15" t="s">
        <v>75</v>
      </c>
      <c r="I352" s="14">
        <v>24000</v>
      </c>
      <c r="J352" s="15" t="s">
        <v>801</v>
      </c>
      <c r="K352" s="15" t="s">
        <v>24</v>
      </c>
      <c r="L352" s="15">
        <v>1</v>
      </c>
      <c r="M352" s="15">
        <v>0.65</v>
      </c>
      <c r="N352" s="15" t="s">
        <v>76</v>
      </c>
      <c r="O352" s="15" t="s">
        <v>76</v>
      </c>
      <c r="P352" s="14">
        <v>16000</v>
      </c>
      <c r="Q352" s="13">
        <v>46220.640277777777</v>
      </c>
      <c r="R352" s="15" t="s">
        <v>193</v>
      </c>
      <c r="S352" s="11" t="str">
        <f t="shared" si="10"/>
        <v>2026-07-17</v>
      </c>
      <c r="T352" s="11">
        <f>IF($E352="","",IF(COUNTIF($E$2:$E352,$E352)=1,1,0))</f>
        <v>0</v>
      </c>
      <c r="U352" s="11" t="str">
        <f>IF(T352=1,SUM($T$2:T352),"")</f>
        <v/>
      </c>
      <c r="V352" s="11">
        <f>IF(OR($R352="",$R352="-"),"",IF(COUNTIF($R$2:$R352,$R352)=1,1,0))</f>
        <v>0</v>
      </c>
      <c r="W352" s="11" t="str">
        <f>IF(V352=1,SUM($V$2:V352),"")</f>
        <v/>
      </c>
      <c r="X352" s="11" t="str">
        <f t="shared" si="11"/>
        <v>SHOPEE</v>
      </c>
    </row>
    <row r="353" spans="1:24">
      <c r="A353" s="15" t="s">
        <v>79</v>
      </c>
      <c r="B353" s="15" t="s">
        <v>83</v>
      </c>
      <c r="C353" s="15" t="s">
        <v>799</v>
      </c>
      <c r="D353" s="13">
        <v>46220.640277777777</v>
      </c>
      <c r="E353" s="15" t="s">
        <v>265</v>
      </c>
      <c r="F353" s="15" t="s">
        <v>805</v>
      </c>
      <c r="G353" s="15" t="s">
        <v>74</v>
      </c>
      <c r="H353" s="15" t="s">
        <v>75</v>
      </c>
      <c r="I353" s="14">
        <v>24000</v>
      </c>
      <c r="J353" s="15" t="s">
        <v>583</v>
      </c>
      <c r="K353" s="15" t="s">
        <v>24</v>
      </c>
      <c r="L353" s="15">
        <v>1</v>
      </c>
      <c r="M353" s="15">
        <v>0.65</v>
      </c>
      <c r="N353" s="15" t="s">
        <v>76</v>
      </c>
      <c r="O353" s="15" t="s">
        <v>76</v>
      </c>
      <c r="P353" s="14">
        <v>16000</v>
      </c>
      <c r="Q353" s="13">
        <v>46220.640277777777</v>
      </c>
      <c r="R353" s="15" t="s">
        <v>193</v>
      </c>
      <c r="S353" s="11" t="str">
        <f t="shared" si="10"/>
        <v>2026-07-17</v>
      </c>
      <c r="T353" s="11">
        <f>IF($E353="","",IF(COUNTIF($E$2:$E353,$E353)=1,1,0))</f>
        <v>0</v>
      </c>
      <c r="U353" s="11" t="str">
        <f>IF(T353=1,SUM($T$2:T353),"")</f>
        <v/>
      </c>
      <c r="V353" s="11">
        <f>IF(OR($R353="",$R353="-"),"",IF(COUNTIF($R$2:$R353,$R353)=1,1,0))</f>
        <v>0</v>
      </c>
      <c r="W353" s="11" t="str">
        <f>IF(V353=1,SUM($V$2:V353),"")</f>
        <v/>
      </c>
      <c r="X353" s="11" t="str">
        <f t="shared" si="11"/>
        <v>SHOPEE</v>
      </c>
    </row>
    <row r="354" spans="1:24">
      <c r="A354" s="15" t="s">
        <v>79</v>
      </c>
      <c r="B354" s="15" t="s">
        <v>83</v>
      </c>
      <c r="C354" s="15" t="s">
        <v>806</v>
      </c>
      <c r="D354" s="13">
        <v>46220.506249999999</v>
      </c>
      <c r="E354" s="15" t="s">
        <v>111</v>
      </c>
      <c r="F354" s="15" t="s">
        <v>807</v>
      </c>
      <c r="G354" s="15" t="s">
        <v>74</v>
      </c>
      <c r="H354" s="15" t="s">
        <v>75</v>
      </c>
      <c r="I354" s="14">
        <v>5500</v>
      </c>
      <c r="J354" s="15" t="s">
        <v>808</v>
      </c>
      <c r="K354" s="15" t="s">
        <v>27</v>
      </c>
      <c r="L354" s="15">
        <v>3</v>
      </c>
      <c r="M354" s="15">
        <v>0.06</v>
      </c>
      <c r="N354" s="15" t="s">
        <v>76</v>
      </c>
      <c r="O354" s="15" t="s">
        <v>76</v>
      </c>
      <c r="P354" s="14">
        <v>21300</v>
      </c>
      <c r="Q354" s="13">
        <v>46220.506249999999</v>
      </c>
      <c r="R354" s="15" t="s">
        <v>170</v>
      </c>
      <c r="S354" s="11" t="str">
        <f t="shared" si="10"/>
        <v>2026-07-17</v>
      </c>
      <c r="T354" s="11">
        <f>IF($E354="","",IF(COUNTIF($E$2:$E354,$E354)=1,1,0))</f>
        <v>0</v>
      </c>
      <c r="U354" s="11" t="str">
        <f>IF(T354=1,SUM($T$2:T354),"")</f>
        <v/>
      </c>
      <c r="V354" s="11">
        <f>IF(OR($R354="",$R354="-"),"",IF(COUNTIF($R$2:$R354,$R354)=1,1,0))</f>
        <v>0</v>
      </c>
      <c r="W354" s="11" t="str">
        <f>IF(V354=1,SUM($V$2:V354),"")</f>
        <v/>
      </c>
      <c r="X354" s="11" t="str">
        <f t="shared" si="11"/>
        <v>SHOPEE</v>
      </c>
    </row>
    <row r="355" spans="1:24">
      <c r="A355" s="15" t="s">
        <v>79</v>
      </c>
      <c r="B355" s="15" t="s">
        <v>83</v>
      </c>
      <c r="C355" s="15" t="s">
        <v>806</v>
      </c>
      <c r="D355" s="13">
        <v>46220.506249999999</v>
      </c>
      <c r="E355" s="15" t="s">
        <v>111</v>
      </c>
      <c r="F355" s="15" t="s">
        <v>809</v>
      </c>
      <c r="G355" s="15" t="s">
        <v>74</v>
      </c>
      <c r="H355" s="15" t="s">
        <v>75</v>
      </c>
      <c r="I355" s="14">
        <v>24000</v>
      </c>
      <c r="J355" s="15" t="s">
        <v>810</v>
      </c>
      <c r="K355" s="15" t="s">
        <v>24</v>
      </c>
      <c r="L355" s="15">
        <v>1</v>
      </c>
      <c r="M355" s="15">
        <v>0.2</v>
      </c>
      <c r="N355" s="15" t="s">
        <v>76</v>
      </c>
      <c r="O355" s="15" t="s">
        <v>76</v>
      </c>
      <c r="P355" s="14">
        <v>48200</v>
      </c>
      <c r="Q355" s="13">
        <v>46220.506249999999</v>
      </c>
      <c r="R355" s="15" t="s">
        <v>170</v>
      </c>
      <c r="S355" s="11" t="str">
        <f t="shared" si="10"/>
        <v>2026-07-17</v>
      </c>
      <c r="T355" s="11">
        <f>IF($E355="","",IF(COUNTIF($E$2:$E355,$E355)=1,1,0))</f>
        <v>0</v>
      </c>
      <c r="U355" s="11" t="str">
        <f>IF(T355=1,SUM($T$2:T355),"")</f>
        <v/>
      </c>
      <c r="V355" s="11">
        <f>IF(OR($R355="",$R355="-"),"",IF(COUNTIF($R$2:$R355,$R355)=1,1,0))</f>
        <v>0</v>
      </c>
      <c r="W355" s="11" t="str">
        <f>IF(V355=1,SUM($V$2:V355),"")</f>
        <v/>
      </c>
      <c r="X355" s="11" t="str">
        <f t="shared" si="11"/>
        <v>SHOPEE</v>
      </c>
    </row>
    <row r="356" spans="1:24">
      <c r="A356" s="15" t="s">
        <v>79</v>
      </c>
      <c r="B356" s="15" t="s">
        <v>80</v>
      </c>
      <c r="C356" s="15" t="s">
        <v>811</v>
      </c>
      <c r="D356" s="13">
        <v>46220.421527777777</v>
      </c>
      <c r="E356" s="15" t="s">
        <v>111</v>
      </c>
      <c r="F356" s="15" t="s">
        <v>812</v>
      </c>
      <c r="G356" s="15" t="s">
        <v>74</v>
      </c>
      <c r="H356" s="15" t="s">
        <v>75</v>
      </c>
      <c r="I356" s="14">
        <v>12000</v>
      </c>
      <c r="J356" s="15" t="s">
        <v>532</v>
      </c>
      <c r="K356" s="15" t="s">
        <v>24</v>
      </c>
      <c r="L356" s="15">
        <v>1</v>
      </c>
      <c r="M356" s="15">
        <v>0.5</v>
      </c>
      <c r="N356" s="15" t="s">
        <v>76</v>
      </c>
      <c r="O356" s="15" t="s">
        <v>76</v>
      </c>
      <c r="P356" s="14">
        <v>163023</v>
      </c>
      <c r="Q356" s="13">
        <v>46220.427083333336</v>
      </c>
      <c r="R356" s="15" t="s">
        <v>316</v>
      </c>
      <c r="S356" s="11" t="str">
        <f t="shared" si="10"/>
        <v>2026-07-17</v>
      </c>
      <c r="T356" s="11">
        <f>IF($E356="","",IF(COUNTIF($E$2:$E356,$E356)=1,1,0))</f>
        <v>0</v>
      </c>
      <c r="U356" s="11" t="str">
        <f>IF(T356=1,SUM($T$2:T356),"")</f>
        <v/>
      </c>
      <c r="V356" s="11">
        <f>IF(OR($R356="",$R356="-"),"",IF(COUNTIF($R$2:$R356,$R356)=1,1,0))</f>
        <v>0</v>
      </c>
      <c r="W356" s="11" t="str">
        <f>IF(V356=1,SUM($V$2:V356),"")</f>
        <v/>
      </c>
      <c r="X356" s="11" t="str">
        <f t="shared" si="11"/>
        <v>SHOPEE</v>
      </c>
    </row>
    <row r="357" spans="1:24">
      <c r="A357" s="15" t="s">
        <v>79</v>
      </c>
      <c r="B357" s="15" t="s">
        <v>80</v>
      </c>
      <c r="C357" s="15" t="s">
        <v>811</v>
      </c>
      <c r="D357" s="13">
        <v>46220.421527777777</v>
      </c>
      <c r="E357" s="15" t="s">
        <v>111</v>
      </c>
      <c r="F357" s="15" t="s">
        <v>813</v>
      </c>
      <c r="G357" s="15" t="s">
        <v>74</v>
      </c>
      <c r="H357" s="15" t="s">
        <v>75</v>
      </c>
      <c r="I357" s="14">
        <v>12000</v>
      </c>
      <c r="J357" s="15" t="s">
        <v>144</v>
      </c>
      <c r="K357" s="15" t="s">
        <v>24</v>
      </c>
      <c r="L357" s="15">
        <v>1</v>
      </c>
      <c r="M357" s="15">
        <v>0.6</v>
      </c>
      <c r="N357" s="15" t="s">
        <v>76</v>
      </c>
      <c r="O357" s="15" t="s">
        <v>76</v>
      </c>
      <c r="P357" s="14">
        <v>111000</v>
      </c>
      <c r="Q357" s="13">
        <v>46220.427083333336</v>
      </c>
      <c r="R357" s="15" t="s">
        <v>316</v>
      </c>
      <c r="S357" s="11" t="str">
        <f t="shared" si="10"/>
        <v>2026-07-17</v>
      </c>
      <c r="T357" s="11">
        <f>IF($E357="","",IF(COUNTIF($E$2:$E357,$E357)=1,1,0))</f>
        <v>0</v>
      </c>
      <c r="U357" s="11" t="str">
        <f>IF(T357=1,SUM($T$2:T357),"")</f>
        <v/>
      </c>
      <c r="V357" s="11">
        <f>IF(OR($R357="",$R357="-"),"",IF(COUNTIF($R$2:$R357,$R357)=1,1,0))</f>
        <v>0</v>
      </c>
      <c r="W357" s="11" t="str">
        <f>IF(V357=1,SUM($V$2:V357),"")</f>
        <v/>
      </c>
      <c r="X357" s="11" t="str">
        <f t="shared" si="11"/>
        <v>SHOPEE</v>
      </c>
    </row>
    <row r="358" spans="1:24">
      <c r="A358" s="15" t="s">
        <v>79</v>
      </c>
      <c r="B358" s="15" t="s">
        <v>80</v>
      </c>
      <c r="C358" s="15" t="s">
        <v>814</v>
      </c>
      <c r="D358" s="13">
        <v>46220.419444444444</v>
      </c>
      <c r="E358" s="15" t="s">
        <v>111</v>
      </c>
      <c r="F358" s="15" t="s">
        <v>815</v>
      </c>
      <c r="G358" s="15" t="s">
        <v>74</v>
      </c>
      <c r="H358" s="15" t="s">
        <v>75</v>
      </c>
      <c r="I358" s="14">
        <v>12000</v>
      </c>
      <c r="J358" s="15" t="s">
        <v>92</v>
      </c>
      <c r="K358" s="15" t="s">
        <v>24</v>
      </c>
      <c r="L358" s="15">
        <v>2</v>
      </c>
      <c r="M358" s="15">
        <v>0.05</v>
      </c>
      <c r="N358" s="15" t="s">
        <v>76</v>
      </c>
      <c r="O358" s="15" t="s">
        <v>76</v>
      </c>
      <c r="P358" s="14">
        <v>17996</v>
      </c>
      <c r="Q358" s="13">
        <v>46220.419444444444</v>
      </c>
      <c r="R358" s="15" t="s">
        <v>314</v>
      </c>
      <c r="S358" s="11" t="str">
        <f t="shared" si="10"/>
        <v>2026-07-17</v>
      </c>
      <c r="T358" s="11">
        <f>IF($E358="","",IF(COUNTIF($E$2:$E358,$E358)=1,1,0))</f>
        <v>0</v>
      </c>
      <c r="U358" s="11" t="str">
        <f>IF(T358=1,SUM($T$2:T358),"")</f>
        <v/>
      </c>
      <c r="V358" s="11">
        <f>IF(OR($R358="",$R358="-"),"",IF(COUNTIF($R$2:$R358,$R358)=1,1,0))</f>
        <v>1</v>
      </c>
      <c r="W358" s="11">
        <f>IF(V358=1,SUM($V$2:V358),"")</f>
        <v>134</v>
      </c>
      <c r="X358" s="11" t="str">
        <f t="shared" si="11"/>
        <v>SHOPEE</v>
      </c>
    </row>
    <row r="359" spans="1:24">
      <c r="A359" s="15" t="s">
        <v>79</v>
      </c>
      <c r="B359" s="15" t="s">
        <v>80</v>
      </c>
      <c r="C359" s="15" t="s">
        <v>816</v>
      </c>
      <c r="D359" s="13">
        <v>46220.379166666666</v>
      </c>
      <c r="E359" s="15" t="s">
        <v>111</v>
      </c>
      <c r="F359" s="15" t="s">
        <v>817</v>
      </c>
      <c r="G359" s="15" t="s">
        <v>74</v>
      </c>
      <c r="H359" s="15" t="s">
        <v>75</v>
      </c>
      <c r="I359" s="14">
        <v>12000</v>
      </c>
      <c r="J359" s="15" t="s">
        <v>568</v>
      </c>
      <c r="K359" s="15" t="s">
        <v>24</v>
      </c>
      <c r="L359" s="15">
        <v>1</v>
      </c>
      <c r="M359" s="15">
        <v>0.06</v>
      </c>
      <c r="N359" s="15" t="s">
        <v>76</v>
      </c>
      <c r="O359" s="15" t="s">
        <v>76</v>
      </c>
      <c r="P359" s="14">
        <v>19698</v>
      </c>
      <c r="Q359" s="13">
        <v>46220.379861111112</v>
      </c>
      <c r="R359" s="15" t="s">
        <v>818</v>
      </c>
      <c r="S359" s="11" t="str">
        <f t="shared" si="10"/>
        <v>2026-07-17</v>
      </c>
      <c r="T359" s="11">
        <f>IF($E359="","",IF(COUNTIF($E$2:$E359,$E359)=1,1,0))</f>
        <v>0</v>
      </c>
      <c r="U359" s="11" t="str">
        <f>IF(T359=1,SUM($T$2:T359),"")</f>
        <v/>
      </c>
      <c r="V359" s="11">
        <f>IF(OR($R359="",$R359="-"),"",IF(COUNTIF($R$2:$R359,$R359)=1,1,0))</f>
        <v>1</v>
      </c>
      <c r="W359" s="11">
        <f>IF(V359=1,SUM($V$2:V359),"")</f>
        <v>135</v>
      </c>
      <c r="X359" s="11" t="str">
        <f t="shared" si="11"/>
        <v>SHOPEE</v>
      </c>
    </row>
    <row r="360" spans="1:24">
      <c r="A360" s="15" t="s">
        <v>79</v>
      </c>
      <c r="B360" s="15" t="s">
        <v>83</v>
      </c>
      <c r="C360" s="15" t="s">
        <v>819</v>
      </c>
      <c r="D360" s="13">
        <v>46219.815972222219</v>
      </c>
      <c r="E360" s="15" t="s">
        <v>265</v>
      </c>
      <c r="F360" s="15" t="s">
        <v>820</v>
      </c>
      <c r="G360" s="15" t="s">
        <v>74</v>
      </c>
      <c r="H360" s="15" t="s">
        <v>75</v>
      </c>
      <c r="I360" s="14">
        <v>17000</v>
      </c>
      <c r="J360" s="15" t="s">
        <v>821</v>
      </c>
      <c r="K360" s="15" t="s">
        <v>24</v>
      </c>
      <c r="L360" s="15">
        <v>3</v>
      </c>
      <c r="M360" s="15">
        <v>0.3</v>
      </c>
      <c r="N360" s="15" t="s">
        <v>76</v>
      </c>
      <c r="O360" s="15" t="s">
        <v>76</v>
      </c>
      <c r="P360" s="14">
        <v>54000</v>
      </c>
      <c r="Q360" s="13">
        <v>46219.816666666666</v>
      </c>
      <c r="R360" s="15" t="s">
        <v>118</v>
      </c>
      <c r="S360" s="11" t="str">
        <f t="shared" si="10"/>
        <v>2026-07-16</v>
      </c>
      <c r="T360" s="11">
        <f>IF($E360="","",IF(COUNTIF($E$2:$E360,$E360)=1,1,0))</f>
        <v>0</v>
      </c>
      <c r="U360" s="11" t="str">
        <f>IF(T360=1,SUM($T$2:T360),"")</f>
        <v/>
      </c>
      <c r="V360" s="11">
        <f>IF(OR($R360="",$R360="-"),"",IF(COUNTIF($R$2:$R360,$R360)=1,1,0))</f>
        <v>0</v>
      </c>
      <c r="W360" s="11" t="str">
        <f>IF(V360=1,SUM($V$2:V360),"")</f>
        <v/>
      </c>
      <c r="X360" s="11" t="str">
        <f t="shared" si="11"/>
        <v>SHOPEE</v>
      </c>
    </row>
    <row r="361" spans="1:24">
      <c r="A361" s="15" t="s">
        <v>71</v>
      </c>
      <c r="B361" s="15" t="s">
        <v>72</v>
      </c>
      <c r="C361" s="15" t="s">
        <v>819</v>
      </c>
      <c r="D361" s="13">
        <v>46219.815972222219</v>
      </c>
      <c r="E361" s="15" t="s">
        <v>265</v>
      </c>
      <c r="F361" s="15" t="s">
        <v>822</v>
      </c>
      <c r="G361" s="15" t="s">
        <v>74</v>
      </c>
      <c r="H361" s="15" t="s">
        <v>75</v>
      </c>
      <c r="I361" s="14">
        <v>91000</v>
      </c>
      <c r="J361" s="15" t="s">
        <v>823</v>
      </c>
      <c r="K361" s="15" t="s">
        <v>24</v>
      </c>
      <c r="L361" s="15">
        <v>1</v>
      </c>
      <c r="M361" s="15">
        <v>0.4</v>
      </c>
      <c r="N361" s="15" t="s">
        <v>76</v>
      </c>
      <c r="O361" s="15" t="s">
        <v>76</v>
      </c>
      <c r="P361" s="14">
        <v>144000</v>
      </c>
      <c r="Q361" s="13">
        <v>46219.816666666666</v>
      </c>
      <c r="R361" s="15" t="s">
        <v>78</v>
      </c>
      <c r="S361" s="11" t="str">
        <f t="shared" si="10"/>
        <v>2026-07-16</v>
      </c>
      <c r="T361" s="11">
        <f>IF($E361="","",IF(COUNTIF($E$2:$E361,$E361)=1,1,0))</f>
        <v>0</v>
      </c>
      <c r="U361" s="11" t="str">
        <f>IF(T361=1,SUM($T$2:T361),"")</f>
        <v/>
      </c>
      <c r="V361" s="11">
        <f>IF(OR($R361="",$R361="-"),"",IF(COUNTIF($R$2:$R361,$R361)=1,1,0))</f>
        <v>0</v>
      </c>
      <c r="W361" s="11" t="str">
        <f>IF(V361=1,SUM($V$2:V361),"")</f>
        <v/>
      </c>
      <c r="X361" s="11" t="str">
        <f t="shared" si="11"/>
        <v>TOKOPEDIA</v>
      </c>
    </row>
    <row r="362" spans="1:24">
      <c r="A362" s="15" t="s">
        <v>79</v>
      </c>
      <c r="B362" s="15" t="s">
        <v>83</v>
      </c>
      <c r="C362" s="15" t="s">
        <v>819</v>
      </c>
      <c r="D362" s="13">
        <v>46219.815972222219</v>
      </c>
      <c r="E362" s="15" t="s">
        <v>265</v>
      </c>
      <c r="F362" s="15" t="s">
        <v>824</v>
      </c>
      <c r="G362" s="15" t="s">
        <v>74</v>
      </c>
      <c r="H362" s="15" t="s">
        <v>75</v>
      </c>
      <c r="I362" s="14">
        <v>24000</v>
      </c>
      <c r="J362" s="15" t="s">
        <v>825</v>
      </c>
      <c r="K362" s="15" t="s">
        <v>24</v>
      </c>
      <c r="L362" s="15">
        <v>1</v>
      </c>
      <c r="M362" s="15">
        <v>0.1</v>
      </c>
      <c r="N362" s="15" t="s">
        <v>76</v>
      </c>
      <c r="O362" s="15" t="s">
        <v>76</v>
      </c>
      <c r="P362" s="14">
        <v>50000</v>
      </c>
      <c r="Q362" s="13">
        <v>46219.816666666666</v>
      </c>
      <c r="R362" s="15" t="s">
        <v>118</v>
      </c>
      <c r="S362" s="11" t="str">
        <f t="shared" si="10"/>
        <v>2026-07-16</v>
      </c>
      <c r="T362" s="11">
        <f>IF($E362="","",IF(COUNTIF($E$2:$E362,$E362)=1,1,0))</f>
        <v>0</v>
      </c>
      <c r="U362" s="11" t="str">
        <f>IF(T362=1,SUM($T$2:T362),"")</f>
        <v/>
      </c>
      <c r="V362" s="11">
        <f>IF(OR($R362="",$R362="-"),"",IF(COUNTIF($R$2:$R362,$R362)=1,1,0))</f>
        <v>0</v>
      </c>
      <c r="W362" s="11" t="str">
        <f>IF(V362=1,SUM($V$2:V362),"")</f>
        <v/>
      </c>
      <c r="X362" s="11" t="str">
        <f t="shared" si="11"/>
        <v>SHOPEE</v>
      </c>
    </row>
    <row r="363" spans="1:24">
      <c r="A363" s="15" t="s">
        <v>79</v>
      </c>
      <c r="B363" s="15" t="s">
        <v>83</v>
      </c>
      <c r="C363" s="15" t="s">
        <v>826</v>
      </c>
      <c r="D363" s="13">
        <v>46219.738194444442</v>
      </c>
      <c r="E363" s="15" t="s">
        <v>111</v>
      </c>
      <c r="F363" s="15" t="s">
        <v>827</v>
      </c>
      <c r="G363" s="15" t="s">
        <v>74</v>
      </c>
      <c r="H363" s="15" t="s">
        <v>75</v>
      </c>
      <c r="I363" s="14">
        <v>84000</v>
      </c>
      <c r="J363" s="15" t="s">
        <v>222</v>
      </c>
      <c r="K363" s="15" t="s">
        <v>29</v>
      </c>
      <c r="L363" s="15">
        <v>1</v>
      </c>
      <c r="M363" s="15">
        <v>20.170000000000002</v>
      </c>
      <c r="N363" s="15" t="s">
        <v>76</v>
      </c>
      <c r="O363" s="15" t="s">
        <v>76</v>
      </c>
      <c r="P363" s="14">
        <v>599000</v>
      </c>
      <c r="Q363" s="13">
        <v>46219.738888888889</v>
      </c>
      <c r="R363" s="15" t="s">
        <v>102</v>
      </c>
      <c r="S363" s="11" t="str">
        <f t="shared" si="10"/>
        <v>2026-07-16</v>
      </c>
      <c r="T363" s="11">
        <f>IF($E363="","",IF(COUNTIF($E$2:$E363,$E363)=1,1,0))</f>
        <v>0</v>
      </c>
      <c r="U363" s="11" t="str">
        <f>IF(T363=1,SUM($T$2:T363),"")</f>
        <v/>
      </c>
      <c r="V363" s="11">
        <f>IF(OR($R363="",$R363="-"),"",IF(COUNTIF($R$2:$R363,$R363)=1,1,0))</f>
        <v>0</v>
      </c>
      <c r="W363" s="11" t="str">
        <f>IF(V363=1,SUM($V$2:V363),"")</f>
        <v/>
      </c>
      <c r="X363" s="11" t="str">
        <f t="shared" si="11"/>
        <v>SHOPEE</v>
      </c>
    </row>
    <row r="364" spans="1:24">
      <c r="A364" s="15" t="s">
        <v>79</v>
      </c>
      <c r="B364" s="15" t="s">
        <v>80</v>
      </c>
      <c r="C364" s="15" t="s">
        <v>828</v>
      </c>
      <c r="D364" s="13">
        <v>46219.73333333333</v>
      </c>
      <c r="E364" s="15" t="s">
        <v>111</v>
      </c>
      <c r="F364" s="15" t="s">
        <v>829</v>
      </c>
      <c r="G364" s="15" t="s">
        <v>74</v>
      </c>
      <c r="H364" s="15" t="s">
        <v>75</v>
      </c>
      <c r="I364" s="14">
        <v>156000</v>
      </c>
      <c r="J364" s="15" t="s">
        <v>119</v>
      </c>
      <c r="K364" s="15" t="s">
        <v>24</v>
      </c>
      <c r="L364" s="15">
        <v>1</v>
      </c>
      <c r="M364" s="15">
        <v>13</v>
      </c>
      <c r="N364" s="15" t="s">
        <v>76</v>
      </c>
      <c r="O364" s="15" t="s">
        <v>76</v>
      </c>
      <c r="P364" s="14">
        <v>847440</v>
      </c>
      <c r="Q364" s="13">
        <v>46219.734027777777</v>
      </c>
      <c r="R364" s="15" t="s">
        <v>830</v>
      </c>
      <c r="S364" s="11" t="str">
        <f t="shared" si="10"/>
        <v>2026-07-16</v>
      </c>
      <c r="T364" s="11">
        <f>IF($E364="","",IF(COUNTIF($E$2:$E364,$E364)=1,1,0))</f>
        <v>0</v>
      </c>
      <c r="U364" s="11" t="str">
        <f>IF(T364=1,SUM($T$2:T364),"")</f>
        <v/>
      </c>
      <c r="V364" s="11">
        <f>IF(OR($R364="",$R364="-"),"",IF(COUNTIF($R$2:$R364,$R364)=1,1,0))</f>
        <v>1</v>
      </c>
      <c r="W364" s="11">
        <f>IF(V364=1,SUM($V$2:V364),"")</f>
        <v>136</v>
      </c>
      <c r="X364" s="11" t="str">
        <f t="shared" si="11"/>
        <v>SHOPEE</v>
      </c>
    </row>
    <row r="365" spans="1:24">
      <c r="A365" s="15" t="s">
        <v>79</v>
      </c>
      <c r="B365" s="15" t="s">
        <v>83</v>
      </c>
      <c r="C365" s="15" t="s">
        <v>831</v>
      </c>
      <c r="D365" s="13">
        <v>46219.71597222222</v>
      </c>
      <c r="E365" s="15" t="s">
        <v>265</v>
      </c>
      <c r="F365" s="15" t="s">
        <v>832</v>
      </c>
      <c r="G365" s="15" t="s">
        <v>74</v>
      </c>
      <c r="H365" s="15" t="s">
        <v>75</v>
      </c>
      <c r="I365" s="14">
        <v>21000</v>
      </c>
      <c r="J365" s="15" t="s">
        <v>246</v>
      </c>
      <c r="K365" s="15" t="s">
        <v>24</v>
      </c>
      <c r="L365" s="15">
        <v>1</v>
      </c>
      <c r="M365" s="15">
        <v>1</v>
      </c>
      <c r="N365" s="15" t="s">
        <v>76</v>
      </c>
      <c r="O365" s="15" t="s">
        <v>76</v>
      </c>
      <c r="P365" s="14">
        <v>115000</v>
      </c>
      <c r="Q365" s="13">
        <v>46219.722916666666</v>
      </c>
      <c r="R365" s="15" t="s">
        <v>184</v>
      </c>
      <c r="S365" s="11" t="str">
        <f t="shared" si="10"/>
        <v>2026-07-16</v>
      </c>
      <c r="T365" s="11">
        <f>IF($E365="","",IF(COUNTIF($E$2:$E365,$E365)=1,1,0))</f>
        <v>0</v>
      </c>
      <c r="U365" s="11" t="str">
        <f>IF(T365=1,SUM($T$2:T365),"")</f>
        <v/>
      </c>
      <c r="V365" s="11">
        <f>IF(OR($R365="",$R365="-"),"",IF(COUNTIF($R$2:$R365,$R365)=1,1,0))</f>
        <v>0</v>
      </c>
      <c r="W365" s="11" t="str">
        <f>IF(V365=1,SUM($V$2:V365),"")</f>
        <v/>
      </c>
      <c r="X365" s="11" t="str">
        <f t="shared" si="11"/>
        <v>SHOPEE</v>
      </c>
    </row>
    <row r="366" spans="1:24">
      <c r="A366" s="15" t="s">
        <v>833</v>
      </c>
      <c r="B366" s="15" t="s">
        <v>72</v>
      </c>
      <c r="C366" s="15" t="s">
        <v>834</v>
      </c>
      <c r="D366" s="13">
        <v>46219.711805555555</v>
      </c>
      <c r="E366" s="15" t="s">
        <v>73</v>
      </c>
      <c r="F366" s="15" t="s">
        <v>835</v>
      </c>
      <c r="G366" s="15" t="s">
        <v>74</v>
      </c>
      <c r="H366" s="15" t="s">
        <v>75</v>
      </c>
      <c r="I366" s="14">
        <v>24000</v>
      </c>
      <c r="J366" s="15" t="s">
        <v>176</v>
      </c>
      <c r="K366" s="15" t="s">
        <v>24</v>
      </c>
      <c r="L366" s="15">
        <v>1</v>
      </c>
      <c r="M366" s="15">
        <v>1.6</v>
      </c>
      <c r="N366" s="15" t="s">
        <v>76</v>
      </c>
      <c r="O366" s="15" t="s">
        <v>76</v>
      </c>
      <c r="P366" s="14">
        <v>200000</v>
      </c>
      <c r="Q366" s="13">
        <v>46219.711805555555</v>
      </c>
      <c r="R366" s="15" t="s">
        <v>836</v>
      </c>
      <c r="S366" s="11" t="str">
        <f t="shared" si="10"/>
        <v>2026-07-16</v>
      </c>
      <c r="T366" s="11">
        <f>IF($E366="","",IF(COUNTIF($E$2:$E366,$E366)=1,1,0))</f>
        <v>0</v>
      </c>
      <c r="U366" s="11" t="str">
        <f>IF(T366=1,SUM($T$2:T366),"")</f>
        <v/>
      </c>
      <c r="V366" s="11">
        <f>IF(OR($R366="",$R366="-"),"",IF(COUNTIF($R$2:$R366,$R366)=1,1,0))</f>
        <v>1</v>
      </c>
      <c r="W366" s="11">
        <f>IF(V366=1,SUM($V$2:V366),"")</f>
        <v>137</v>
      </c>
      <c r="X366" s="11" t="str">
        <f t="shared" si="11"/>
        <v>TOKOPEDIA</v>
      </c>
    </row>
    <row r="367" spans="1:24">
      <c r="A367" s="15" t="s">
        <v>79</v>
      </c>
      <c r="B367" s="15" t="s">
        <v>83</v>
      </c>
      <c r="C367" s="15" t="s">
        <v>837</v>
      </c>
      <c r="D367" s="13">
        <v>46219.706250000003</v>
      </c>
      <c r="E367" s="15" t="s">
        <v>265</v>
      </c>
      <c r="F367" s="15" t="s">
        <v>838</v>
      </c>
      <c r="G367" s="15" t="s">
        <v>74</v>
      </c>
      <c r="H367" s="15" t="s">
        <v>75</v>
      </c>
      <c r="I367" s="14">
        <v>12000</v>
      </c>
      <c r="J367" s="15" t="s">
        <v>87</v>
      </c>
      <c r="K367" s="15" t="s">
        <v>24</v>
      </c>
      <c r="L367" s="15">
        <v>1</v>
      </c>
      <c r="M367" s="15">
        <v>0.5</v>
      </c>
      <c r="N367" s="15" t="s">
        <v>76</v>
      </c>
      <c r="O367" s="15" t="s">
        <v>76</v>
      </c>
      <c r="P367" s="14">
        <v>70000</v>
      </c>
      <c r="Q367" s="13">
        <v>46219.706944444442</v>
      </c>
      <c r="R367" s="15" t="s">
        <v>839</v>
      </c>
      <c r="S367" s="11" t="str">
        <f t="shared" si="10"/>
        <v>2026-07-16</v>
      </c>
      <c r="T367" s="11">
        <f>IF($E367="","",IF(COUNTIF($E$2:$E367,$E367)=1,1,0))</f>
        <v>0</v>
      </c>
      <c r="U367" s="11" t="str">
        <f>IF(T367=1,SUM($T$2:T367),"")</f>
        <v/>
      </c>
      <c r="V367" s="11">
        <f>IF(OR($R367="",$R367="-"),"",IF(COUNTIF($R$2:$R367,$R367)=1,1,0))</f>
        <v>1</v>
      </c>
      <c r="W367" s="11">
        <f>IF(V367=1,SUM($V$2:V367),"")</f>
        <v>138</v>
      </c>
      <c r="X367" s="11" t="str">
        <f t="shared" si="11"/>
        <v>SHOPEE</v>
      </c>
    </row>
    <row r="368" spans="1:24">
      <c r="A368" s="15" t="s">
        <v>79</v>
      </c>
      <c r="B368" s="15" t="s">
        <v>80</v>
      </c>
      <c r="C368" s="15" t="s">
        <v>840</v>
      </c>
      <c r="D368" s="13">
        <v>46219.688194444447</v>
      </c>
      <c r="E368" s="15" t="s">
        <v>73</v>
      </c>
      <c r="F368" s="15" t="s">
        <v>841</v>
      </c>
      <c r="G368" s="15" t="s">
        <v>74</v>
      </c>
      <c r="H368" s="15" t="s">
        <v>75</v>
      </c>
      <c r="I368" s="14">
        <v>16000</v>
      </c>
      <c r="J368" s="15" t="s">
        <v>842</v>
      </c>
      <c r="K368" s="15" t="s">
        <v>24</v>
      </c>
      <c r="L368" s="15">
        <v>4</v>
      </c>
      <c r="M368" s="15">
        <v>0.8</v>
      </c>
      <c r="N368" s="15" t="s">
        <v>76</v>
      </c>
      <c r="O368" s="15" t="s">
        <v>76</v>
      </c>
      <c r="P368" s="14">
        <v>134600</v>
      </c>
      <c r="Q368" s="13">
        <v>46219.688194444447</v>
      </c>
      <c r="R368" s="15" t="s">
        <v>843</v>
      </c>
      <c r="S368" s="11" t="str">
        <f t="shared" si="10"/>
        <v>2026-07-16</v>
      </c>
      <c r="T368" s="11">
        <f>IF($E368="","",IF(COUNTIF($E$2:$E368,$E368)=1,1,0))</f>
        <v>0</v>
      </c>
      <c r="U368" s="11" t="str">
        <f>IF(T368=1,SUM($T$2:T368),"")</f>
        <v/>
      </c>
      <c r="V368" s="11">
        <f>IF(OR($R368="",$R368="-"),"",IF(COUNTIF($R$2:$R368,$R368)=1,1,0))</f>
        <v>1</v>
      </c>
      <c r="W368" s="11">
        <f>IF(V368=1,SUM($V$2:V368),"")</f>
        <v>139</v>
      </c>
      <c r="X368" s="11" t="str">
        <f t="shared" si="11"/>
        <v>SHOPEE</v>
      </c>
    </row>
    <row r="369" spans="1:24">
      <c r="A369" s="15" t="s">
        <v>79</v>
      </c>
      <c r="B369" s="15" t="s">
        <v>83</v>
      </c>
      <c r="C369" s="15" t="s">
        <v>844</v>
      </c>
      <c r="D369" s="13">
        <v>46219.685416666667</v>
      </c>
      <c r="E369" s="15" t="s">
        <v>265</v>
      </c>
      <c r="F369" s="15" t="s">
        <v>845</v>
      </c>
      <c r="G369" s="15" t="s">
        <v>74</v>
      </c>
      <c r="H369" s="15" t="s">
        <v>75</v>
      </c>
      <c r="I369" s="14">
        <v>37000</v>
      </c>
      <c r="J369" s="15" t="s">
        <v>846</v>
      </c>
      <c r="K369" s="15" t="s">
        <v>24</v>
      </c>
      <c r="L369" s="15">
        <v>1</v>
      </c>
      <c r="M369" s="15">
        <v>1</v>
      </c>
      <c r="N369" s="15" t="s">
        <v>76</v>
      </c>
      <c r="O369" s="15" t="s">
        <v>76</v>
      </c>
      <c r="P369" s="14">
        <v>1140000</v>
      </c>
      <c r="Q369" s="13">
        <v>46219.685416666667</v>
      </c>
      <c r="R369" s="15" t="s">
        <v>86</v>
      </c>
      <c r="S369" s="11" t="str">
        <f t="shared" si="10"/>
        <v>2026-07-16</v>
      </c>
      <c r="T369" s="11">
        <f>IF($E369="","",IF(COUNTIF($E$2:$E369,$E369)=1,1,0))</f>
        <v>0</v>
      </c>
      <c r="U369" s="11" t="str">
        <f>IF(T369=1,SUM($T$2:T369),"")</f>
        <v/>
      </c>
      <c r="V369" s="11">
        <f>IF(OR($R369="",$R369="-"),"",IF(COUNTIF($R$2:$R369,$R369)=1,1,0))</f>
        <v>0</v>
      </c>
      <c r="W369" s="11" t="str">
        <f>IF(V369=1,SUM($V$2:V369),"")</f>
        <v/>
      </c>
      <c r="X369" s="11" t="str">
        <f t="shared" si="11"/>
        <v>SHOPEE</v>
      </c>
    </row>
    <row r="370" spans="1:24">
      <c r="A370" s="15" t="s">
        <v>79</v>
      </c>
      <c r="B370" s="15" t="s">
        <v>83</v>
      </c>
      <c r="C370" s="15" t="s">
        <v>847</v>
      </c>
      <c r="D370" s="13">
        <v>46219.681250000001</v>
      </c>
      <c r="E370" s="15" t="s">
        <v>265</v>
      </c>
      <c r="F370" s="15" t="s">
        <v>848</v>
      </c>
      <c r="G370" s="15" t="s">
        <v>74</v>
      </c>
      <c r="H370" s="15" t="s">
        <v>75</v>
      </c>
      <c r="I370" s="14">
        <v>34000</v>
      </c>
      <c r="J370" s="15" t="s">
        <v>849</v>
      </c>
      <c r="K370" s="15" t="s">
        <v>24</v>
      </c>
      <c r="L370" s="15">
        <v>4</v>
      </c>
      <c r="M370" s="15">
        <v>0.8</v>
      </c>
      <c r="N370" s="15" t="s">
        <v>76</v>
      </c>
      <c r="O370" s="15" t="s">
        <v>76</v>
      </c>
      <c r="P370" s="14">
        <v>500000</v>
      </c>
      <c r="Q370" s="13">
        <v>46219.681250000001</v>
      </c>
      <c r="R370" s="15" t="s">
        <v>168</v>
      </c>
      <c r="S370" s="11" t="str">
        <f t="shared" si="10"/>
        <v>2026-07-16</v>
      </c>
      <c r="T370" s="11">
        <f>IF($E370="","",IF(COUNTIF($E$2:$E370,$E370)=1,1,0))</f>
        <v>0</v>
      </c>
      <c r="U370" s="11" t="str">
        <f>IF(T370=1,SUM($T$2:T370),"")</f>
        <v/>
      </c>
      <c r="V370" s="11">
        <f>IF(OR($R370="",$R370="-"),"",IF(COUNTIF($R$2:$R370,$R370)=1,1,0))</f>
        <v>0</v>
      </c>
      <c r="W370" s="11" t="str">
        <f>IF(V370=1,SUM($V$2:V370),"")</f>
        <v/>
      </c>
      <c r="X370" s="11" t="str">
        <f t="shared" si="11"/>
        <v>SHOPEE</v>
      </c>
    </row>
    <row r="371" spans="1:24">
      <c r="A371" s="15" t="s">
        <v>79</v>
      </c>
      <c r="B371" s="15" t="s">
        <v>83</v>
      </c>
      <c r="C371" s="15" t="s">
        <v>847</v>
      </c>
      <c r="D371" s="13">
        <v>46219.681250000001</v>
      </c>
      <c r="E371" s="15" t="s">
        <v>265</v>
      </c>
      <c r="F371" s="15" t="s">
        <v>850</v>
      </c>
      <c r="G371" s="15" t="s">
        <v>74</v>
      </c>
      <c r="H371" s="15" t="s">
        <v>75</v>
      </c>
      <c r="I371" s="14">
        <v>29000</v>
      </c>
      <c r="J371" s="15" t="s">
        <v>342</v>
      </c>
      <c r="K371" s="15" t="s">
        <v>24</v>
      </c>
      <c r="L371" s="15">
        <v>1</v>
      </c>
      <c r="M371" s="15">
        <v>0.5</v>
      </c>
      <c r="N371" s="15" t="s">
        <v>76</v>
      </c>
      <c r="O371" s="15" t="s">
        <v>76</v>
      </c>
      <c r="P371" s="14">
        <v>60000</v>
      </c>
      <c r="Q371" s="13">
        <v>46219.681250000001</v>
      </c>
      <c r="R371" s="15" t="s">
        <v>168</v>
      </c>
      <c r="S371" s="11" t="str">
        <f t="shared" si="10"/>
        <v>2026-07-16</v>
      </c>
      <c r="T371" s="11">
        <f>IF($E371="","",IF(COUNTIF($E$2:$E371,$E371)=1,1,0))</f>
        <v>0</v>
      </c>
      <c r="U371" s="11" t="str">
        <f>IF(T371=1,SUM($T$2:T371),"")</f>
        <v/>
      </c>
      <c r="V371" s="11">
        <f>IF(OR($R371="",$R371="-"),"",IF(COUNTIF($R$2:$R371,$R371)=1,1,0))</f>
        <v>0</v>
      </c>
      <c r="W371" s="11" t="str">
        <f>IF(V371=1,SUM($V$2:V371),"")</f>
        <v/>
      </c>
      <c r="X371" s="11" t="str">
        <f t="shared" si="11"/>
        <v>SHOPEE</v>
      </c>
    </row>
    <row r="372" spans="1:24">
      <c r="A372" s="15" t="s">
        <v>79</v>
      </c>
      <c r="B372" s="15" t="s">
        <v>83</v>
      </c>
      <c r="C372" s="15" t="s">
        <v>851</v>
      </c>
      <c r="D372" s="13">
        <v>46219.680555555555</v>
      </c>
      <c r="E372" s="15" t="s">
        <v>265</v>
      </c>
      <c r="F372" s="15" t="s">
        <v>852</v>
      </c>
      <c r="G372" s="15" t="s">
        <v>74</v>
      </c>
      <c r="H372" s="15" t="s">
        <v>75</v>
      </c>
      <c r="I372" s="14">
        <v>12000</v>
      </c>
      <c r="J372" s="15" t="s">
        <v>135</v>
      </c>
      <c r="K372" s="15" t="s">
        <v>24</v>
      </c>
      <c r="L372" s="15">
        <v>1</v>
      </c>
      <c r="M372" s="15">
        <v>0.01</v>
      </c>
      <c r="N372" s="15" t="s">
        <v>76</v>
      </c>
      <c r="O372" s="15" t="s">
        <v>76</v>
      </c>
      <c r="P372" s="14">
        <v>87723</v>
      </c>
      <c r="Q372" s="13">
        <v>46219.680555555555</v>
      </c>
      <c r="R372" s="15" t="s">
        <v>138</v>
      </c>
      <c r="S372" s="11" t="str">
        <f t="shared" si="10"/>
        <v>2026-07-16</v>
      </c>
      <c r="T372" s="11">
        <f>IF($E372="","",IF(COUNTIF($E$2:$E372,$E372)=1,1,0))</f>
        <v>0</v>
      </c>
      <c r="U372" s="11" t="str">
        <f>IF(T372=1,SUM($T$2:T372),"")</f>
        <v/>
      </c>
      <c r="V372" s="11">
        <f>IF(OR($R372="",$R372="-"),"",IF(COUNTIF($R$2:$R372,$R372)=1,1,0))</f>
        <v>0</v>
      </c>
      <c r="W372" s="11" t="str">
        <f>IF(V372=1,SUM($V$2:V372),"")</f>
        <v/>
      </c>
      <c r="X372" s="11" t="str">
        <f t="shared" si="11"/>
        <v>SHOPEE</v>
      </c>
    </row>
    <row r="373" spans="1:24">
      <c r="A373" s="15" t="s">
        <v>79</v>
      </c>
      <c r="B373" s="15" t="s">
        <v>83</v>
      </c>
      <c r="C373" s="15" t="s">
        <v>853</v>
      </c>
      <c r="D373" s="13">
        <v>46219.617361111108</v>
      </c>
      <c r="E373" s="15" t="s">
        <v>111</v>
      </c>
      <c r="F373" s="15" t="s">
        <v>854</v>
      </c>
      <c r="G373" s="15" t="s">
        <v>74</v>
      </c>
      <c r="H373" s="15" t="s">
        <v>75</v>
      </c>
      <c r="I373" s="14">
        <v>24000</v>
      </c>
      <c r="J373" s="15" t="s">
        <v>810</v>
      </c>
      <c r="K373" s="15" t="s">
        <v>24</v>
      </c>
      <c r="L373" s="15">
        <v>1</v>
      </c>
      <c r="M373" s="15">
        <v>0.2</v>
      </c>
      <c r="N373" s="15" t="s">
        <v>76</v>
      </c>
      <c r="O373" s="15" t="s">
        <v>76</v>
      </c>
      <c r="P373" s="14">
        <v>57800</v>
      </c>
      <c r="Q373" s="13">
        <v>46219.617361111108</v>
      </c>
      <c r="R373" s="15" t="s">
        <v>170</v>
      </c>
      <c r="S373" s="11" t="str">
        <f t="shared" si="10"/>
        <v>2026-07-16</v>
      </c>
      <c r="T373" s="11">
        <f>IF($E373="","",IF(COUNTIF($E$2:$E373,$E373)=1,1,0))</f>
        <v>0</v>
      </c>
      <c r="U373" s="11" t="str">
        <f>IF(T373=1,SUM($T$2:T373),"")</f>
        <v/>
      </c>
      <c r="V373" s="11">
        <f>IF(OR($R373="",$R373="-"),"",IF(COUNTIF($R$2:$R373,$R373)=1,1,0))</f>
        <v>0</v>
      </c>
      <c r="W373" s="11" t="str">
        <f>IF(V373=1,SUM($V$2:V373),"")</f>
        <v/>
      </c>
      <c r="X373" s="11" t="str">
        <f t="shared" si="11"/>
        <v>SHOPEE</v>
      </c>
    </row>
    <row r="374" spans="1:24">
      <c r="A374" s="15" t="s">
        <v>79</v>
      </c>
      <c r="B374" s="15" t="s">
        <v>83</v>
      </c>
      <c r="C374" s="15" t="s">
        <v>855</v>
      </c>
      <c r="D374" s="13">
        <v>46219.611805555556</v>
      </c>
      <c r="E374" s="15" t="s">
        <v>265</v>
      </c>
      <c r="F374" s="15" t="s">
        <v>856</v>
      </c>
      <c r="G374" s="15" t="s">
        <v>74</v>
      </c>
      <c r="H374" s="15" t="s">
        <v>75</v>
      </c>
      <c r="I374" s="14">
        <v>12000</v>
      </c>
      <c r="J374" s="15" t="s">
        <v>219</v>
      </c>
      <c r="K374" s="15" t="s">
        <v>24</v>
      </c>
      <c r="L374" s="15">
        <v>1</v>
      </c>
      <c r="M374" s="15">
        <v>1</v>
      </c>
      <c r="N374" s="15" t="s">
        <v>76</v>
      </c>
      <c r="O374" s="15" t="s">
        <v>76</v>
      </c>
      <c r="P374" s="14">
        <v>1449700</v>
      </c>
      <c r="Q374" s="13">
        <v>46219.611805555556</v>
      </c>
      <c r="R374" s="15" t="s">
        <v>857</v>
      </c>
      <c r="S374" s="11" t="str">
        <f t="shared" si="10"/>
        <v>2026-07-16</v>
      </c>
      <c r="T374" s="11">
        <f>IF($E374="","",IF(COUNTIF($E$2:$E374,$E374)=1,1,0))</f>
        <v>0</v>
      </c>
      <c r="U374" s="11" t="str">
        <f>IF(T374=1,SUM($T$2:T374),"")</f>
        <v/>
      </c>
      <c r="V374" s="11">
        <f>IF(OR($R374="",$R374="-"),"",IF(COUNTIF($R$2:$R374,$R374)=1,1,0))</f>
        <v>1</v>
      </c>
      <c r="W374" s="11">
        <f>IF(V374=1,SUM($V$2:V374),"")</f>
        <v>140</v>
      </c>
      <c r="X374" s="11" t="str">
        <f t="shared" si="11"/>
        <v>SHOPEE</v>
      </c>
    </row>
    <row r="375" spans="1:24">
      <c r="A375" s="15" t="s">
        <v>858</v>
      </c>
      <c r="B375" s="15" t="s">
        <v>116</v>
      </c>
      <c r="C375" s="15" t="s">
        <v>859</v>
      </c>
      <c r="D375" s="13">
        <v>46219.595138888886</v>
      </c>
      <c r="E375" s="15" t="s">
        <v>111</v>
      </c>
      <c r="F375" s="15" t="s">
        <v>860</v>
      </c>
      <c r="G375" s="15" t="s">
        <v>74</v>
      </c>
      <c r="H375" s="15" t="s">
        <v>75</v>
      </c>
      <c r="I375" s="14">
        <v>36000</v>
      </c>
      <c r="J375" s="15" t="s">
        <v>117</v>
      </c>
      <c r="K375" s="15" t="s">
        <v>26</v>
      </c>
      <c r="L375" s="15">
        <v>2</v>
      </c>
      <c r="M375" s="15">
        <v>7</v>
      </c>
      <c r="N375" s="15" t="s">
        <v>76</v>
      </c>
      <c r="O375" s="15" t="s">
        <v>76</v>
      </c>
      <c r="P375" s="14">
        <v>2629000</v>
      </c>
      <c r="Q375" s="13">
        <v>46219.598611111112</v>
      </c>
      <c r="R375" s="15" t="s">
        <v>858</v>
      </c>
      <c r="S375" s="11" t="str">
        <f t="shared" si="10"/>
        <v>2026-07-16</v>
      </c>
      <c r="T375" s="11">
        <f>IF($E375="","",IF(COUNTIF($E$2:$E375,$E375)=1,1,0))</f>
        <v>0</v>
      </c>
      <c r="U375" s="11" t="str">
        <f>IF(T375=1,SUM($T$2:T375),"")</f>
        <v/>
      </c>
      <c r="V375" s="11">
        <f>IF(OR($R375="",$R375="-"),"",IF(COUNTIF($R$2:$R375,$R375)=1,1,0))</f>
        <v>1</v>
      </c>
      <c r="W375" s="11">
        <f>IF(V375=1,SUM($V$2:V375),"")</f>
        <v>141</v>
      </c>
      <c r="X375" s="11" t="str">
        <f t="shared" si="11"/>
        <v>SHOPEE</v>
      </c>
    </row>
    <row r="376" spans="1:24">
      <c r="A376" s="15" t="s">
        <v>79</v>
      </c>
      <c r="B376" s="15" t="s">
        <v>83</v>
      </c>
      <c r="C376" s="15" t="s">
        <v>861</v>
      </c>
      <c r="D376" s="13">
        <v>46219.568055555559</v>
      </c>
      <c r="E376" s="15" t="s">
        <v>265</v>
      </c>
      <c r="F376" s="15" t="s">
        <v>862</v>
      </c>
      <c r="G376" s="15" t="s">
        <v>74</v>
      </c>
      <c r="H376" s="15" t="s">
        <v>75</v>
      </c>
      <c r="I376" s="14">
        <v>18000</v>
      </c>
      <c r="J376" s="15" t="s">
        <v>144</v>
      </c>
      <c r="K376" s="15" t="s">
        <v>25</v>
      </c>
      <c r="L376" s="15">
        <v>1</v>
      </c>
      <c r="M376" s="15">
        <v>0.25</v>
      </c>
      <c r="N376" s="15" t="s">
        <v>76</v>
      </c>
      <c r="O376" s="15" t="s">
        <v>76</v>
      </c>
      <c r="P376" s="14">
        <v>35000</v>
      </c>
      <c r="Q376" s="13">
        <v>46219.568055555559</v>
      </c>
      <c r="R376" s="15" t="s">
        <v>863</v>
      </c>
      <c r="S376" s="11" t="str">
        <f t="shared" si="10"/>
        <v>2026-07-16</v>
      </c>
      <c r="T376" s="11">
        <f>IF($E376="","",IF(COUNTIF($E$2:$E376,$E376)=1,1,0))</f>
        <v>0</v>
      </c>
      <c r="U376" s="11" t="str">
        <f>IF(T376=1,SUM($T$2:T376),"")</f>
        <v/>
      </c>
      <c r="V376" s="11">
        <f>IF(OR($R376="",$R376="-"),"",IF(COUNTIF($R$2:$R376,$R376)=1,1,0))</f>
        <v>1</v>
      </c>
      <c r="W376" s="11">
        <f>IF(V376=1,SUM($V$2:V376),"")</f>
        <v>142</v>
      </c>
      <c r="X376" s="11" t="str">
        <f t="shared" si="11"/>
        <v>SHOPEE</v>
      </c>
    </row>
    <row r="377" spans="1:24">
      <c r="A377" s="15" t="s">
        <v>249</v>
      </c>
      <c r="B377" s="15" t="s">
        <v>250</v>
      </c>
      <c r="C377" s="15" t="s">
        <v>864</v>
      </c>
      <c r="D377" s="13">
        <v>46219.558333333334</v>
      </c>
      <c r="E377" s="15" t="s">
        <v>111</v>
      </c>
      <c r="F377" s="15" t="s">
        <v>865</v>
      </c>
      <c r="G377" s="15" t="s">
        <v>74</v>
      </c>
      <c r="H377" s="15" t="s">
        <v>75</v>
      </c>
      <c r="I377" s="14">
        <v>12000</v>
      </c>
      <c r="J377" s="15" t="s">
        <v>180</v>
      </c>
      <c r="K377" s="15" t="s">
        <v>24</v>
      </c>
      <c r="L377" s="15">
        <v>1</v>
      </c>
      <c r="M377" s="15">
        <v>0.38</v>
      </c>
      <c r="N377" s="15" t="s">
        <v>76</v>
      </c>
      <c r="O377" s="15" t="s">
        <v>76</v>
      </c>
      <c r="P377" s="14">
        <v>499000</v>
      </c>
      <c r="Q377" s="13">
        <v>46219.559027777781</v>
      </c>
      <c r="R377" s="15" t="s">
        <v>251</v>
      </c>
      <c r="S377" s="11" t="str">
        <f t="shared" si="10"/>
        <v>2026-07-16</v>
      </c>
      <c r="T377" s="11">
        <f>IF($E377="","",IF(COUNTIF($E$2:$E377,$E377)=1,1,0))</f>
        <v>0</v>
      </c>
      <c r="U377" s="11" t="str">
        <f>IF(T377=1,SUM($T$2:T377),"")</f>
        <v/>
      </c>
      <c r="V377" s="11">
        <f>IF(OR($R377="",$R377="-"),"",IF(COUNTIF($R$2:$R377,$R377)=1,1,0))</f>
        <v>1</v>
      </c>
      <c r="W377" s="11">
        <f>IF(V377=1,SUM($V$2:V377),"")</f>
        <v>143</v>
      </c>
      <c r="X377" s="11" t="str">
        <f t="shared" si="11"/>
        <v>TOKOPEDIA</v>
      </c>
    </row>
    <row r="378" spans="1:24">
      <c r="A378" s="15" t="s">
        <v>79</v>
      </c>
      <c r="B378" s="15" t="s">
        <v>83</v>
      </c>
      <c r="C378" s="15" t="s">
        <v>864</v>
      </c>
      <c r="D378" s="13">
        <v>46219.558333333334</v>
      </c>
      <c r="E378" s="15" t="s">
        <v>111</v>
      </c>
      <c r="F378" s="15" t="s">
        <v>866</v>
      </c>
      <c r="G378" s="15" t="s">
        <v>74</v>
      </c>
      <c r="H378" s="15" t="s">
        <v>75</v>
      </c>
      <c r="I378" s="14">
        <v>12000</v>
      </c>
      <c r="J378" s="15" t="s">
        <v>198</v>
      </c>
      <c r="K378" s="15" t="s">
        <v>24</v>
      </c>
      <c r="L378" s="15">
        <v>1</v>
      </c>
      <c r="M378" s="15">
        <v>0.5</v>
      </c>
      <c r="N378" s="15" t="s">
        <v>76</v>
      </c>
      <c r="O378" s="15" t="s">
        <v>76</v>
      </c>
      <c r="P378" s="14">
        <v>479000</v>
      </c>
      <c r="Q378" s="13">
        <v>46219.559027777781</v>
      </c>
      <c r="R378" s="15" t="s">
        <v>207</v>
      </c>
      <c r="S378" s="11" t="str">
        <f t="shared" si="10"/>
        <v>2026-07-16</v>
      </c>
      <c r="T378" s="11">
        <f>IF($E378="","",IF(COUNTIF($E$2:$E378,$E378)=1,1,0))</f>
        <v>0</v>
      </c>
      <c r="U378" s="11" t="str">
        <f>IF(T378=1,SUM($T$2:T378),"")</f>
        <v/>
      </c>
      <c r="V378" s="11">
        <f>IF(OR($R378="",$R378="-"),"",IF(COUNTIF($R$2:$R378,$R378)=1,1,0))</f>
        <v>0</v>
      </c>
      <c r="W378" s="11" t="str">
        <f>IF(V378=1,SUM($V$2:V378),"")</f>
        <v/>
      </c>
      <c r="X378" s="11" t="str">
        <f t="shared" si="11"/>
        <v>SHOPEE</v>
      </c>
    </row>
    <row r="379" spans="1:24">
      <c r="A379" s="15" t="s">
        <v>79</v>
      </c>
      <c r="B379" s="15" t="s">
        <v>83</v>
      </c>
      <c r="C379" s="15" t="s">
        <v>867</v>
      </c>
      <c r="D379" s="13">
        <v>46219.546527777777</v>
      </c>
      <c r="E379" s="15" t="s">
        <v>265</v>
      </c>
      <c r="F379" s="15" t="s">
        <v>868</v>
      </c>
      <c r="G379" s="15" t="s">
        <v>74</v>
      </c>
      <c r="H379" s="15" t="s">
        <v>75</v>
      </c>
      <c r="I379" s="14">
        <v>24000</v>
      </c>
      <c r="J379" s="15" t="s">
        <v>869</v>
      </c>
      <c r="K379" s="15" t="s">
        <v>24</v>
      </c>
      <c r="L379" s="15">
        <v>1</v>
      </c>
      <c r="M379" s="15">
        <v>1</v>
      </c>
      <c r="N379" s="15" t="s">
        <v>76</v>
      </c>
      <c r="O379" s="15" t="s">
        <v>76</v>
      </c>
      <c r="P379" s="14">
        <v>7800000</v>
      </c>
      <c r="Q379" s="13">
        <v>46219.547222222223</v>
      </c>
      <c r="R379" s="15" t="s">
        <v>870</v>
      </c>
      <c r="S379" s="11" t="str">
        <f t="shared" si="10"/>
        <v>2026-07-16</v>
      </c>
      <c r="T379" s="11">
        <f>IF($E379="","",IF(COUNTIF($E$2:$E379,$E379)=1,1,0))</f>
        <v>0</v>
      </c>
      <c r="U379" s="11" t="str">
        <f>IF(T379=1,SUM($T$2:T379),"")</f>
        <v/>
      </c>
      <c r="V379" s="11">
        <f>IF(OR($R379="",$R379="-"),"",IF(COUNTIF($R$2:$R379,$R379)=1,1,0))</f>
        <v>1</v>
      </c>
      <c r="W379" s="11">
        <f>IF(V379=1,SUM($V$2:V379),"")</f>
        <v>144</v>
      </c>
      <c r="X379" s="11" t="str">
        <f t="shared" si="11"/>
        <v>SHOPEE</v>
      </c>
    </row>
    <row r="380" spans="1:24">
      <c r="A380" s="15" t="s">
        <v>79</v>
      </c>
      <c r="B380" s="15" t="s">
        <v>83</v>
      </c>
      <c r="C380" s="15" t="s">
        <v>871</v>
      </c>
      <c r="D380" s="13">
        <v>46218.870138888888</v>
      </c>
      <c r="E380" s="15" t="s">
        <v>73</v>
      </c>
      <c r="F380" s="15" t="s">
        <v>872</v>
      </c>
      <c r="G380" s="15" t="s">
        <v>74</v>
      </c>
      <c r="H380" s="15" t="s">
        <v>75</v>
      </c>
      <c r="I380" s="14">
        <v>18000</v>
      </c>
      <c r="J380" s="15" t="s">
        <v>873</v>
      </c>
      <c r="K380" s="15" t="s">
        <v>24</v>
      </c>
      <c r="L380" s="15">
        <v>1</v>
      </c>
      <c r="M380" s="15">
        <v>0.1</v>
      </c>
      <c r="N380" s="15" t="s">
        <v>76</v>
      </c>
      <c r="O380" s="15" t="s">
        <v>76</v>
      </c>
      <c r="P380" s="14">
        <v>60000</v>
      </c>
      <c r="Q380" s="13">
        <v>46218.870138888888</v>
      </c>
      <c r="R380" s="15" t="s">
        <v>118</v>
      </c>
      <c r="S380" s="11" t="str">
        <f t="shared" si="10"/>
        <v>2026-07-15</v>
      </c>
      <c r="T380" s="11">
        <f>IF($E380="","",IF(COUNTIF($E$2:$E380,$E380)=1,1,0))</f>
        <v>0</v>
      </c>
      <c r="U380" s="11" t="str">
        <f>IF(T380=1,SUM($T$2:T380),"")</f>
        <v/>
      </c>
      <c r="V380" s="11">
        <f>IF(OR($R380="",$R380="-"),"",IF(COUNTIF($R$2:$R380,$R380)=1,1,0))</f>
        <v>0</v>
      </c>
      <c r="W380" s="11" t="str">
        <f>IF(V380=1,SUM($V$2:V380),"")</f>
        <v/>
      </c>
      <c r="X380" s="11" t="str">
        <f t="shared" si="11"/>
        <v>SHOPEE</v>
      </c>
    </row>
    <row r="381" spans="1:24">
      <c r="A381" s="15" t="s">
        <v>79</v>
      </c>
      <c r="B381" s="15" t="s">
        <v>80</v>
      </c>
      <c r="C381" s="15" t="s">
        <v>874</v>
      </c>
      <c r="D381" s="13">
        <v>46218.831250000003</v>
      </c>
      <c r="E381" s="15" t="s">
        <v>95</v>
      </c>
      <c r="F381" s="15" t="s">
        <v>875</v>
      </c>
      <c r="G381" s="15" t="s">
        <v>74</v>
      </c>
      <c r="H381" s="15" t="s">
        <v>75</v>
      </c>
      <c r="I381" s="14">
        <v>24000</v>
      </c>
      <c r="J381" s="15" t="s">
        <v>876</v>
      </c>
      <c r="K381" s="15" t="s">
        <v>24</v>
      </c>
      <c r="L381" s="15">
        <v>1</v>
      </c>
      <c r="M381" s="15">
        <v>0.26</v>
      </c>
      <c r="N381" s="15" t="s">
        <v>76</v>
      </c>
      <c r="O381" s="15" t="s">
        <v>76</v>
      </c>
      <c r="P381" s="14">
        <v>99900</v>
      </c>
      <c r="Q381" s="13">
        <v>46218.831250000003</v>
      </c>
      <c r="R381" s="15" t="s">
        <v>151</v>
      </c>
      <c r="S381" s="11" t="str">
        <f t="shared" si="10"/>
        <v>2026-07-15</v>
      </c>
      <c r="T381" s="11">
        <f>IF($E381="","",IF(COUNTIF($E$2:$E381,$E381)=1,1,0))</f>
        <v>0</v>
      </c>
      <c r="U381" s="11" t="str">
        <f>IF(T381=1,SUM($T$2:T381),"")</f>
        <v/>
      </c>
      <c r="V381" s="11">
        <f>IF(OR($R381="",$R381="-"),"",IF(COUNTIF($R$2:$R381,$R381)=1,1,0))</f>
        <v>1</v>
      </c>
      <c r="W381" s="11">
        <f>IF(V381=1,SUM($V$2:V381),"")</f>
        <v>145</v>
      </c>
      <c r="X381" s="11" t="str">
        <f t="shared" si="11"/>
        <v>SHOPEE</v>
      </c>
    </row>
    <row r="382" spans="1:24">
      <c r="A382" s="15" t="s">
        <v>79</v>
      </c>
      <c r="B382" s="15" t="s">
        <v>83</v>
      </c>
      <c r="C382" s="15" t="s">
        <v>877</v>
      </c>
      <c r="D382" s="13">
        <v>46218.829861111109</v>
      </c>
      <c r="E382" s="15" t="s">
        <v>111</v>
      </c>
      <c r="F382" s="15" t="s">
        <v>878</v>
      </c>
      <c r="G382" s="15" t="s">
        <v>74</v>
      </c>
      <c r="H382" s="15" t="s">
        <v>75</v>
      </c>
      <c r="I382" s="14">
        <v>12000</v>
      </c>
      <c r="J382" s="15" t="s">
        <v>879</v>
      </c>
      <c r="K382" s="15" t="s">
        <v>24</v>
      </c>
      <c r="L382" s="15">
        <v>2</v>
      </c>
      <c r="M382" s="15">
        <v>0.08</v>
      </c>
      <c r="N382" s="15" t="s">
        <v>76</v>
      </c>
      <c r="O382" s="15" t="s">
        <v>76</v>
      </c>
      <c r="P382" s="14">
        <v>30000</v>
      </c>
      <c r="Q382" s="13">
        <v>46218.829861111109</v>
      </c>
      <c r="R382" s="15" t="s">
        <v>91</v>
      </c>
      <c r="S382" s="11" t="str">
        <f t="shared" si="10"/>
        <v>2026-07-15</v>
      </c>
      <c r="T382" s="11">
        <f>IF($E382="","",IF(COUNTIF($E$2:$E382,$E382)=1,1,0))</f>
        <v>0</v>
      </c>
      <c r="U382" s="11" t="str">
        <f>IF(T382=1,SUM($T$2:T382),"")</f>
        <v/>
      </c>
      <c r="V382" s="11">
        <f>IF(OR($R382="",$R382="-"),"",IF(COUNTIF($R$2:$R382,$R382)=1,1,0))</f>
        <v>0</v>
      </c>
      <c r="W382" s="11" t="str">
        <f>IF(V382=1,SUM($V$2:V382),"")</f>
        <v/>
      </c>
      <c r="X382" s="11" t="str">
        <f t="shared" si="11"/>
        <v>SHOPEE</v>
      </c>
    </row>
    <row r="383" spans="1:24">
      <c r="A383" s="15" t="s">
        <v>79</v>
      </c>
      <c r="B383" s="15" t="s">
        <v>83</v>
      </c>
      <c r="C383" s="15" t="s">
        <v>877</v>
      </c>
      <c r="D383" s="13">
        <v>46218.829861111109</v>
      </c>
      <c r="E383" s="15" t="s">
        <v>111</v>
      </c>
      <c r="F383" s="15" t="s">
        <v>880</v>
      </c>
      <c r="G383" s="15" t="s">
        <v>74</v>
      </c>
      <c r="H383" s="15" t="s">
        <v>75</v>
      </c>
      <c r="I383" s="14">
        <v>12000</v>
      </c>
      <c r="J383" s="15" t="s">
        <v>881</v>
      </c>
      <c r="K383" s="15" t="s">
        <v>24</v>
      </c>
      <c r="L383" s="15">
        <v>5</v>
      </c>
      <c r="M383" s="15">
        <v>0.73</v>
      </c>
      <c r="N383" s="15" t="s">
        <v>76</v>
      </c>
      <c r="O383" s="15" t="s">
        <v>76</v>
      </c>
      <c r="P383" s="14">
        <v>91000</v>
      </c>
      <c r="Q383" s="13">
        <v>46218.829861111109</v>
      </c>
      <c r="R383" s="15" t="s">
        <v>91</v>
      </c>
      <c r="S383" s="11" t="str">
        <f t="shared" si="10"/>
        <v>2026-07-15</v>
      </c>
      <c r="T383" s="11">
        <f>IF($E383="","",IF(COUNTIF($E$2:$E383,$E383)=1,1,0))</f>
        <v>0</v>
      </c>
      <c r="U383" s="11" t="str">
        <f>IF(T383=1,SUM($T$2:T383),"")</f>
        <v/>
      </c>
      <c r="V383" s="11">
        <f>IF(OR($R383="",$R383="-"),"",IF(COUNTIF($R$2:$R383,$R383)=1,1,0))</f>
        <v>0</v>
      </c>
      <c r="W383" s="11" t="str">
        <f>IF(V383=1,SUM($V$2:V383),"")</f>
        <v/>
      </c>
      <c r="X383" s="11" t="str">
        <f t="shared" si="11"/>
        <v>SHOPEE</v>
      </c>
    </row>
    <row r="384" spans="1:24">
      <c r="A384" s="15" t="s">
        <v>79</v>
      </c>
      <c r="B384" s="15" t="s">
        <v>83</v>
      </c>
      <c r="C384" s="15" t="s">
        <v>882</v>
      </c>
      <c r="D384" s="13">
        <v>46218.824999999997</v>
      </c>
      <c r="E384" s="15" t="s">
        <v>95</v>
      </c>
      <c r="F384" s="15" t="s">
        <v>883</v>
      </c>
      <c r="G384" s="15" t="s">
        <v>74</v>
      </c>
      <c r="H384" s="15" t="s">
        <v>75</v>
      </c>
      <c r="I384" s="14">
        <v>212500</v>
      </c>
      <c r="J384" s="15" t="s">
        <v>884</v>
      </c>
      <c r="K384" s="15" t="s">
        <v>26</v>
      </c>
      <c r="L384" s="15">
        <v>1</v>
      </c>
      <c r="M384" s="15">
        <v>24.2</v>
      </c>
      <c r="N384" s="15" t="s">
        <v>76</v>
      </c>
      <c r="O384" s="15" t="s">
        <v>76</v>
      </c>
      <c r="P384" s="14">
        <v>605900</v>
      </c>
      <c r="Q384" s="13">
        <v>46218.825694444444</v>
      </c>
      <c r="R384" s="15" t="s">
        <v>102</v>
      </c>
      <c r="S384" s="11" t="str">
        <f t="shared" si="10"/>
        <v>2026-07-15</v>
      </c>
      <c r="T384" s="11">
        <f>IF($E384="","",IF(COUNTIF($E$2:$E384,$E384)=1,1,0))</f>
        <v>0</v>
      </c>
      <c r="U384" s="11" t="str">
        <f>IF(T384=1,SUM($T$2:T384),"")</f>
        <v/>
      </c>
      <c r="V384" s="11">
        <f>IF(OR($R384="",$R384="-"),"",IF(COUNTIF($R$2:$R384,$R384)=1,1,0))</f>
        <v>0</v>
      </c>
      <c r="W384" s="11" t="str">
        <f>IF(V384=1,SUM($V$2:V384),"")</f>
        <v/>
      </c>
      <c r="X384" s="11" t="str">
        <f t="shared" si="11"/>
        <v>SHOPEE</v>
      </c>
    </row>
    <row r="385" spans="1:24">
      <c r="A385" s="15" t="s">
        <v>79</v>
      </c>
      <c r="B385" s="15" t="s">
        <v>83</v>
      </c>
      <c r="C385" s="15" t="s">
        <v>885</v>
      </c>
      <c r="D385" s="13">
        <v>46218.801388888889</v>
      </c>
      <c r="E385" s="15" t="s">
        <v>111</v>
      </c>
      <c r="F385" s="15" t="s">
        <v>886</v>
      </c>
      <c r="G385" s="15" t="s">
        <v>74</v>
      </c>
      <c r="H385" s="15" t="s">
        <v>75</v>
      </c>
      <c r="I385" s="14">
        <v>19000</v>
      </c>
      <c r="J385" s="15" t="s">
        <v>190</v>
      </c>
      <c r="K385" s="15" t="s">
        <v>24</v>
      </c>
      <c r="L385" s="15">
        <v>2</v>
      </c>
      <c r="M385" s="15">
        <v>1</v>
      </c>
      <c r="N385" s="15" t="s">
        <v>76</v>
      </c>
      <c r="O385" s="15" t="s">
        <v>76</v>
      </c>
      <c r="P385" s="14">
        <v>44500</v>
      </c>
      <c r="Q385" s="13">
        <v>46218.801388888889</v>
      </c>
      <c r="R385" s="15" t="s">
        <v>147</v>
      </c>
      <c r="S385" s="11" t="str">
        <f t="shared" si="10"/>
        <v>2026-07-15</v>
      </c>
      <c r="T385" s="11">
        <f>IF($E385="","",IF(COUNTIF($E$2:$E385,$E385)=1,1,0))</f>
        <v>0</v>
      </c>
      <c r="U385" s="11" t="str">
        <f>IF(T385=1,SUM($T$2:T385),"")</f>
        <v/>
      </c>
      <c r="V385" s="11">
        <f>IF(OR($R385="",$R385="-"),"",IF(COUNTIF($R$2:$R385,$R385)=1,1,0))</f>
        <v>0</v>
      </c>
      <c r="W385" s="11" t="str">
        <f>IF(V385=1,SUM($V$2:V385),"")</f>
        <v/>
      </c>
      <c r="X385" s="11" t="str">
        <f t="shared" si="11"/>
        <v>SHOPEE</v>
      </c>
    </row>
    <row r="386" spans="1:24">
      <c r="A386" s="15" t="s">
        <v>79</v>
      </c>
      <c r="B386" s="15" t="s">
        <v>83</v>
      </c>
      <c r="C386" s="15" t="s">
        <v>887</v>
      </c>
      <c r="D386" s="13">
        <v>46218.8</v>
      </c>
      <c r="E386" s="15" t="s">
        <v>111</v>
      </c>
      <c r="F386" s="15" t="s">
        <v>888</v>
      </c>
      <c r="G386" s="15" t="s">
        <v>74</v>
      </c>
      <c r="H386" s="15" t="s">
        <v>75</v>
      </c>
      <c r="I386" s="14">
        <v>18000</v>
      </c>
      <c r="J386" s="15" t="s">
        <v>294</v>
      </c>
      <c r="K386" s="15" t="s">
        <v>25</v>
      </c>
      <c r="L386" s="15">
        <v>3</v>
      </c>
      <c r="M386" s="15">
        <v>0.09</v>
      </c>
      <c r="N386" s="15" t="s">
        <v>76</v>
      </c>
      <c r="O386" s="15" t="s">
        <v>76</v>
      </c>
      <c r="P386" s="14">
        <v>46500</v>
      </c>
      <c r="Q386" s="13">
        <v>46218.8</v>
      </c>
      <c r="R386" s="15" t="s">
        <v>143</v>
      </c>
      <c r="S386" s="11" t="str">
        <f t="shared" ref="S386:S449" si="12">IF(Q386="","",TEXT(Q386,"yyyy-mm-dd"))</f>
        <v>2026-07-15</v>
      </c>
      <c r="T386" s="11">
        <f>IF($E386="","",IF(COUNTIF($E$2:$E386,$E386)=1,1,0))</f>
        <v>0</v>
      </c>
      <c r="U386" s="11" t="str">
        <f>IF(T386=1,SUM($T$2:T386),"")</f>
        <v/>
      </c>
      <c r="V386" s="11">
        <f>IF(OR($R386="",$R386="-"),"",IF(COUNTIF($R$2:$R386,$R386)=1,1,0))</f>
        <v>0</v>
      </c>
      <c r="W386" s="11" t="str">
        <f>IF(V386=1,SUM($V$2:V386),"")</f>
        <v/>
      </c>
      <c r="X386" s="11" t="str">
        <f t="shared" ref="X386:X449" si="13">IF(ISNUMBER(SEARCH("SHOPEE",B386)),"SHOPEE",IF(ISNUMBER(SEARCH("TOKOPEDIA",B386)),"TOKOPEDIA",IF(ISNUMBER(SEARCH("LASTANA",B386)),"LASTANA EXPRESS",IF(ISNUMBER(SEARCH("FASHION MARKETPLACE",B386)),"FASHION MARKETPLACE",IF(ISNUMBER(SEARCH("GLOBAL DIGITAL NIAGA",B386)),"GLOBAL DIGITAL NIAGA",IF(ISNUMBER(SEARCH("TOKGISTIC",B386)),"TOKGISTIC",IF(ISNUMBER(SEARCH("TOCO RAMAI",B386)),"TOCO RAMAI DIGITAL",B386)))))))</f>
        <v>SHOPEE</v>
      </c>
    </row>
    <row r="387" spans="1:24">
      <c r="A387" s="15" t="s">
        <v>79</v>
      </c>
      <c r="B387" s="15" t="s">
        <v>83</v>
      </c>
      <c r="C387" s="15" t="s">
        <v>887</v>
      </c>
      <c r="D387" s="13">
        <v>46218.8</v>
      </c>
      <c r="E387" s="15" t="s">
        <v>111</v>
      </c>
      <c r="F387" s="15" t="s">
        <v>889</v>
      </c>
      <c r="G387" s="15" t="s">
        <v>74</v>
      </c>
      <c r="H387" s="15" t="s">
        <v>75</v>
      </c>
      <c r="I387" s="14">
        <v>72000</v>
      </c>
      <c r="J387" s="15" t="s">
        <v>338</v>
      </c>
      <c r="K387" s="15" t="s">
        <v>24</v>
      </c>
      <c r="L387" s="15">
        <v>4</v>
      </c>
      <c r="M387" s="15">
        <v>2.88</v>
      </c>
      <c r="N387" s="15" t="s">
        <v>76</v>
      </c>
      <c r="O387" s="15" t="s">
        <v>76</v>
      </c>
      <c r="P387" s="14">
        <v>456000</v>
      </c>
      <c r="Q387" s="13">
        <v>46218.8</v>
      </c>
      <c r="R387" s="15" t="s">
        <v>109</v>
      </c>
      <c r="S387" s="11" t="str">
        <f t="shared" si="12"/>
        <v>2026-07-15</v>
      </c>
      <c r="T387" s="11">
        <f>IF($E387="","",IF(COUNTIF($E$2:$E387,$E387)=1,1,0))</f>
        <v>0</v>
      </c>
      <c r="U387" s="11" t="str">
        <f>IF(T387=1,SUM($T$2:T387),"")</f>
        <v/>
      </c>
      <c r="V387" s="11">
        <f>IF(OR($R387="",$R387="-"),"",IF(COUNTIF($R$2:$R387,$R387)=1,1,0))</f>
        <v>0</v>
      </c>
      <c r="W387" s="11" t="str">
        <f>IF(V387=1,SUM($V$2:V387),"")</f>
        <v/>
      </c>
      <c r="X387" s="11" t="str">
        <f t="shared" si="13"/>
        <v>SHOPEE</v>
      </c>
    </row>
    <row r="388" spans="1:24">
      <c r="A388" s="15" t="s">
        <v>79</v>
      </c>
      <c r="B388" s="15" t="s">
        <v>83</v>
      </c>
      <c r="C388" s="15" t="s">
        <v>890</v>
      </c>
      <c r="D388" s="13">
        <v>46218.755555555559</v>
      </c>
      <c r="E388" s="15" t="s">
        <v>73</v>
      </c>
      <c r="F388" s="15" t="s">
        <v>891</v>
      </c>
      <c r="G388" s="15" t="s">
        <v>74</v>
      </c>
      <c r="H388" s="15" t="s">
        <v>75</v>
      </c>
      <c r="I388" s="14">
        <v>54000</v>
      </c>
      <c r="J388" s="15" t="s">
        <v>155</v>
      </c>
      <c r="K388" s="15" t="s">
        <v>24</v>
      </c>
      <c r="L388" s="15">
        <v>50</v>
      </c>
      <c r="M388" s="15">
        <v>2.86</v>
      </c>
      <c r="N388" s="15" t="s">
        <v>76</v>
      </c>
      <c r="O388" s="15" t="s">
        <v>76</v>
      </c>
      <c r="P388" s="14">
        <v>47500</v>
      </c>
      <c r="Q388" s="13">
        <v>46218.755555555559</v>
      </c>
      <c r="R388" s="15" t="s">
        <v>156</v>
      </c>
      <c r="S388" s="11" t="str">
        <f t="shared" si="12"/>
        <v>2026-07-15</v>
      </c>
      <c r="T388" s="11">
        <f>IF($E388="","",IF(COUNTIF($E$2:$E388,$E388)=1,1,0))</f>
        <v>0</v>
      </c>
      <c r="U388" s="11" t="str">
        <f>IF(T388=1,SUM($T$2:T388),"")</f>
        <v/>
      </c>
      <c r="V388" s="11">
        <f>IF(OR($R388="",$R388="-"),"",IF(COUNTIF($R$2:$R388,$R388)=1,1,0))</f>
        <v>1</v>
      </c>
      <c r="W388" s="11">
        <f>IF(V388=1,SUM($V$2:V388),"")</f>
        <v>146</v>
      </c>
      <c r="X388" s="11" t="str">
        <f t="shared" si="13"/>
        <v>SHOPEE</v>
      </c>
    </row>
    <row r="389" spans="1:24">
      <c r="A389" s="15" t="s">
        <v>892</v>
      </c>
      <c r="B389" s="15" t="s">
        <v>72</v>
      </c>
      <c r="C389" s="15" t="s">
        <v>893</v>
      </c>
      <c r="D389" s="13">
        <v>46218.722916666666</v>
      </c>
      <c r="E389" s="15" t="s">
        <v>73</v>
      </c>
      <c r="F389" s="15" t="s">
        <v>894</v>
      </c>
      <c r="G389" s="15" t="s">
        <v>74</v>
      </c>
      <c r="H389" s="15" t="s">
        <v>75</v>
      </c>
      <c r="I389" s="14">
        <v>20000</v>
      </c>
      <c r="J389" s="15" t="s">
        <v>895</v>
      </c>
      <c r="K389" s="15" t="s">
        <v>24</v>
      </c>
      <c r="L389" s="15">
        <v>1</v>
      </c>
      <c r="M389" s="15">
        <v>0.4</v>
      </c>
      <c r="N389" s="15" t="s">
        <v>76</v>
      </c>
      <c r="O389" s="15" t="s">
        <v>76</v>
      </c>
      <c r="P389" s="14">
        <v>400000</v>
      </c>
      <c r="Q389" s="13">
        <v>46218.723611111112</v>
      </c>
      <c r="R389" s="15" t="s">
        <v>896</v>
      </c>
      <c r="S389" s="11" t="str">
        <f t="shared" si="12"/>
        <v>2026-07-15</v>
      </c>
      <c r="T389" s="11">
        <f>IF($E389="","",IF(COUNTIF($E$2:$E389,$E389)=1,1,0))</f>
        <v>0</v>
      </c>
      <c r="U389" s="11" t="str">
        <f>IF(T389=1,SUM($T$2:T389),"")</f>
        <v/>
      </c>
      <c r="V389" s="11">
        <f>IF(OR($R389="",$R389="-"),"",IF(COUNTIF($R$2:$R389,$R389)=1,1,0))</f>
        <v>1</v>
      </c>
      <c r="W389" s="11">
        <f>IF(V389=1,SUM($V$2:V389),"")</f>
        <v>147</v>
      </c>
      <c r="X389" s="11" t="str">
        <f t="shared" si="13"/>
        <v>TOKOPEDIA</v>
      </c>
    </row>
    <row r="390" spans="1:24">
      <c r="A390" s="15" t="s">
        <v>79</v>
      </c>
      <c r="B390" s="15" t="s">
        <v>83</v>
      </c>
      <c r="C390" s="15" t="s">
        <v>897</v>
      </c>
      <c r="D390" s="13">
        <v>46218.686805555553</v>
      </c>
      <c r="E390" s="15" t="s">
        <v>111</v>
      </c>
      <c r="F390" s="15" t="s">
        <v>898</v>
      </c>
      <c r="G390" s="15" t="s">
        <v>74</v>
      </c>
      <c r="H390" s="15" t="s">
        <v>75</v>
      </c>
      <c r="I390" s="14">
        <v>53500</v>
      </c>
      <c r="J390" s="15" t="s">
        <v>899</v>
      </c>
      <c r="K390" s="15" t="s">
        <v>27</v>
      </c>
      <c r="L390" s="15">
        <v>1</v>
      </c>
      <c r="M390" s="15">
        <v>0.12</v>
      </c>
      <c r="N390" s="15" t="s">
        <v>76</v>
      </c>
      <c r="O390" s="15" t="s">
        <v>76</v>
      </c>
      <c r="P390" s="14">
        <v>208335</v>
      </c>
      <c r="Q390" s="13">
        <v>46218.686805555553</v>
      </c>
      <c r="R390" s="15" t="s">
        <v>138</v>
      </c>
      <c r="S390" s="11" t="str">
        <f t="shared" si="12"/>
        <v>2026-07-15</v>
      </c>
      <c r="T390" s="11">
        <f>IF($E390="","",IF(COUNTIF($E$2:$E390,$E390)=1,1,0))</f>
        <v>0</v>
      </c>
      <c r="U390" s="11" t="str">
        <f>IF(T390=1,SUM($T$2:T390),"")</f>
        <v/>
      </c>
      <c r="V390" s="11">
        <f>IF(OR($R390="",$R390="-"),"",IF(COUNTIF($R$2:$R390,$R390)=1,1,0))</f>
        <v>0</v>
      </c>
      <c r="W390" s="11" t="str">
        <f>IF(V390=1,SUM($V$2:V390),"")</f>
        <v/>
      </c>
      <c r="X390" s="11" t="str">
        <f t="shared" si="13"/>
        <v>SHOPEE</v>
      </c>
    </row>
    <row r="391" spans="1:24">
      <c r="A391" s="15" t="s">
        <v>79</v>
      </c>
      <c r="B391" s="15" t="s">
        <v>83</v>
      </c>
      <c r="C391" s="15" t="s">
        <v>897</v>
      </c>
      <c r="D391" s="13">
        <v>46218.686805555553</v>
      </c>
      <c r="E391" s="15" t="s">
        <v>111</v>
      </c>
      <c r="F391" s="15" t="s">
        <v>900</v>
      </c>
      <c r="G391" s="15" t="s">
        <v>74</v>
      </c>
      <c r="H391" s="15" t="s">
        <v>75</v>
      </c>
      <c r="I391" s="14">
        <v>29000</v>
      </c>
      <c r="J391" s="15" t="s">
        <v>166</v>
      </c>
      <c r="K391" s="15" t="s">
        <v>27</v>
      </c>
      <c r="L391" s="15">
        <v>2</v>
      </c>
      <c r="M391" s="15">
        <v>0.2</v>
      </c>
      <c r="N391" s="15" t="s">
        <v>76</v>
      </c>
      <c r="O391" s="15" t="s">
        <v>76</v>
      </c>
      <c r="P391" s="14">
        <v>176000</v>
      </c>
      <c r="Q391" s="13">
        <v>46218.686805555553</v>
      </c>
      <c r="R391" s="15" t="s">
        <v>138</v>
      </c>
      <c r="S391" s="11" t="str">
        <f t="shared" si="12"/>
        <v>2026-07-15</v>
      </c>
      <c r="T391" s="11">
        <f>IF($E391="","",IF(COUNTIF($E$2:$E391,$E391)=1,1,0))</f>
        <v>0</v>
      </c>
      <c r="U391" s="11" t="str">
        <f>IF(T391=1,SUM($T$2:T391),"")</f>
        <v/>
      </c>
      <c r="V391" s="11">
        <f>IF(OR($R391="",$R391="-"),"",IF(COUNTIF($R$2:$R391,$R391)=1,1,0))</f>
        <v>0</v>
      </c>
      <c r="W391" s="11" t="str">
        <f>IF(V391=1,SUM($V$2:V391),"")</f>
        <v/>
      </c>
      <c r="X391" s="11" t="str">
        <f t="shared" si="13"/>
        <v>SHOPEE</v>
      </c>
    </row>
    <row r="392" spans="1:24">
      <c r="A392" s="15" t="s">
        <v>79</v>
      </c>
      <c r="B392" s="15" t="s">
        <v>83</v>
      </c>
      <c r="C392" s="15" t="s">
        <v>901</v>
      </c>
      <c r="D392" s="13">
        <v>46218.663888888892</v>
      </c>
      <c r="E392" s="15" t="s">
        <v>111</v>
      </c>
      <c r="F392" s="15" t="s">
        <v>902</v>
      </c>
      <c r="G392" s="15" t="s">
        <v>74</v>
      </c>
      <c r="H392" s="15" t="s">
        <v>75</v>
      </c>
      <c r="I392" s="14">
        <v>12000</v>
      </c>
      <c r="J392" s="15" t="s">
        <v>107</v>
      </c>
      <c r="K392" s="15" t="s">
        <v>24</v>
      </c>
      <c r="L392" s="15">
        <v>1</v>
      </c>
      <c r="M392" s="15">
        <v>0.5</v>
      </c>
      <c r="N392" s="15" t="s">
        <v>76</v>
      </c>
      <c r="O392" s="15" t="s">
        <v>76</v>
      </c>
      <c r="P392" s="14">
        <v>60000</v>
      </c>
      <c r="Q392" s="13">
        <v>46218.663888888892</v>
      </c>
      <c r="R392" s="15" t="s">
        <v>168</v>
      </c>
      <c r="S392" s="11" t="str">
        <f t="shared" si="12"/>
        <v>2026-07-15</v>
      </c>
      <c r="T392" s="11">
        <f>IF($E392="","",IF(COUNTIF($E$2:$E392,$E392)=1,1,0))</f>
        <v>0</v>
      </c>
      <c r="U392" s="11" t="str">
        <f>IF(T392=1,SUM($T$2:T392),"")</f>
        <v/>
      </c>
      <c r="V392" s="11">
        <f>IF(OR($R392="",$R392="-"),"",IF(COUNTIF($R$2:$R392,$R392)=1,1,0))</f>
        <v>0</v>
      </c>
      <c r="W392" s="11" t="str">
        <f>IF(V392=1,SUM($V$2:V392),"")</f>
        <v/>
      </c>
      <c r="X392" s="11" t="str">
        <f t="shared" si="13"/>
        <v>SHOPEE</v>
      </c>
    </row>
    <row r="393" spans="1:24">
      <c r="A393" s="15" t="s">
        <v>79</v>
      </c>
      <c r="B393" s="15" t="s">
        <v>83</v>
      </c>
      <c r="C393" s="15" t="s">
        <v>901</v>
      </c>
      <c r="D393" s="13">
        <v>46218.663888888892</v>
      </c>
      <c r="E393" s="15" t="s">
        <v>111</v>
      </c>
      <c r="F393" s="15" t="s">
        <v>903</v>
      </c>
      <c r="G393" s="15" t="s">
        <v>74</v>
      </c>
      <c r="H393" s="15" t="s">
        <v>75</v>
      </c>
      <c r="I393" s="14">
        <v>60000</v>
      </c>
      <c r="J393" s="15" t="s">
        <v>121</v>
      </c>
      <c r="K393" s="15" t="s">
        <v>24</v>
      </c>
      <c r="L393" s="15">
        <v>10</v>
      </c>
      <c r="M393" s="15">
        <v>5</v>
      </c>
      <c r="N393" s="15" t="s">
        <v>76</v>
      </c>
      <c r="O393" s="15" t="s">
        <v>76</v>
      </c>
      <c r="P393" s="14">
        <v>600000</v>
      </c>
      <c r="Q393" s="13">
        <v>46218.663888888892</v>
      </c>
      <c r="R393" s="15" t="s">
        <v>168</v>
      </c>
      <c r="S393" s="11" t="str">
        <f t="shared" si="12"/>
        <v>2026-07-15</v>
      </c>
      <c r="T393" s="11">
        <f>IF($E393="","",IF(COUNTIF($E$2:$E393,$E393)=1,1,0))</f>
        <v>0</v>
      </c>
      <c r="U393" s="11" t="str">
        <f>IF(T393=1,SUM($T$2:T393),"")</f>
        <v/>
      </c>
      <c r="V393" s="11">
        <f>IF(OR($R393="",$R393="-"),"",IF(COUNTIF($R$2:$R393,$R393)=1,1,0))</f>
        <v>0</v>
      </c>
      <c r="W393" s="11" t="str">
        <f>IF(V393=1,SUM($V$2:V393),"")</f>
        <v/>
      </c>
      <c r="X393" s="11" t="str">
        <f t="shared" si="13"/>
        <v>SHOPEE</v>
      </c>
    </row>
    <row r="394" spans="1:24">
      <c r="A394" s="15" t="s">
        <v>79</v>
      </c>
      <c r="B394" s="15" t="s">
        <v>80</v>
      </c>
      <c r="C394" s="15" t="s">
        <v>904</v>
      </c>
      <c r="D394" s="13">
        <v>46218.648611111108</v>
      </c>
      <c r="E394" s="15" t="s">
        <v>111</v>
      </c>
      <c r="F394" s="15" t="s">
        <v>905</v>
      </c>
      <c r="G394" s="15" t="s">
        <v>74</v>
      </c>
      <c r="H394" s="15" t="s">
        <v>75</v>
      </c>
      <c r="I394" s="14">
        <v>12000</v>
      </c>
      <c r="J394" s="15" t="s">
        <v>510</v>
      </c>
      <c r="K394" s="15" t="s">
        <v>24</v>
      </c>
      <c r="L394" s="15">
        <v>13</v>
      </c>
      <c r="M394" s="15">
        <v>1.27</v>
      </c>
      <c r="N394" s="15" t="s">
        <v>76</v>
      </c>
      <c r="O394" s="15" t="s">
        <v>76</v>
      </c>
      <c r="P394" s="14">
        <v>269320</v>
      </c>
      <c r="Q394" s="13">
        <v>46218.649305555555</v>
      </c>
      <c r="R394" s="15" t="s">
        <v>906</v>
      </c>
      <c r="S394" s="11" t="str">
        <f t="shared" si="12"/>
        <v>2026-07-15</v>
      </c>
      <c r="T394" s="11">
        <f>IF($E394="","",IF(COUNTIF($E$2:$E394,$E394)=1,1,0))</f>
        <v>0</v>
      </c>
      <c r="U394" s="11" t="str">
        <f>IF(T394=1,SUM($T$2:T394),"")</f>
        <v/>
      </c>
      <c r="V394" s="11">
        <f>IF(OR($R394="",$R394="-"),"",IF(COUNTIF($R$2:$R394,$R394)=1,1,0))</f>
        <v>1</v>
      </c>
      <c r="W394" s="11">
        <f>IF(V394=1,SUM($V$2:V394),"")</f>
        <v>148</v>
      </c>
      <c r="X394" s="11" t="str">
        <f t="shared" si="13"/>
        <v>SHOPEE</v>
      </c>
    </row>
    <row r="395" spans="1:24">
      <c r="A395" s="15" t="s">
        <v>79</v>
      </c>
      <c r="B395" s="15" t="s">
        <v>83</v>
      </c>
      <c r="C395" s="15" t="s">
        <v>907</v>
      </c>
      <c r="D395" s="13">
        <v>46218.62777777778</v>
      </c>
      <c r="E395" s="15" t="s">
        <v>111</v>
      </c>
      <c r="F395" s="15" t="s">
        <v>908</v>
      </c>
      <c r="G395" s="15" t="s">
        <v>74</v>
      </c>
      <c r="H395" s="15" t="s">
        <v>75</v>
      </c>
      <c r="I395" s="14">
        <v>8500</v>
      </c>
      <c r="J395" s="15" t="s">
        <v>909</v>
      </c>
      <c r="K395" s="15" t="s">
        <v>27</v>
      </c>
      <c r="L395" s="15">
        <v>5</v>
      </c>
      <c r="M395" s="15">
        <v>0.05</v>
      </c>
      <c r="N395" s="15" t="s">
        <v>76</v>
      </c>
      <c r="O395" s="15" t="s">
        <v>76</v>
      </c>
      <c r="P395" s="14">
        <v>755620</v>
      </c>
      <c r="Q395" s="13">
        <v>46218.62777777778</v>
      </c>
      <c r="R395" s="15" t="s">
        <v>168</v>
      </c>
      <c r="S395" s="11" t="str">
        <f t="shared" si="12"/>
        <v>2026-07-15</v>
      </c>
      <c r="T395" s="11">
        <f>IF($E395="","",IF(COUNTIF($E$2:$E395,$E395)=1,1,0))</f>
        <v>0</v>
      </c>
      <c r="U395" s="11" t="str">
        <f>IF(T395=1,SUM($T$2:T395),"")</f>
        <v/>
      </c>
      <c r="V395" s="11">
        <f>IF(OR($R395="",$R395="-"),"",IF(COUNTIF($R$2:$R395,$R395)=1,1,0))</f>
        <v>0</v>
      </c>
      <c r="W395" s="11" t="str">
        <f>IF(V395=1,SUM($V$2:V395),"")</f>
        <v/>
      </c>
      <c r="X395" s="11" t="str">
        <f t="shared" si="13"/>
        <v>SHOPEE</v>
      </c>
    </row>
    <row r="396" spans="1:24">
      <c r="A396" s="15" t="s">
        <v>79</v>
      </c>
      <c r="B396" s="15" t="s">
        <v>83</v>
      </c>
      <c r="C396" s="15" t="s">
        <v>910</v>
      </c>
      <c r="D396" s="13">
        <v>46218.561111111114</v>
      </c>
      <c r="E396" s="15" t="s">
        <v>111</v>
      </c>
      <c r="F396" s="15" t="s">
        <v>911</v>
      </c>
      <c r="G396" s="15" t="s">
        <v>74</v>
      </c>
      <c r="H396" s="15" t="s">
        <v>75</v>
      </c>
      <c r="I396" s="14">
        <v>21000</v>
      </c>
      <c r="J396" s="15" t="s">
        <v>271</v>
      </c>
      <c r="K396" s="15" t="s">
        <v>24</v>
      </c>
      <c r="L396" s="15">
        <v>1</v>
      </c>
      <c r="M396" s="15">
        <v>1</v>
      </c>
      <c r="N396" s="15" t="s">
        <v>76</v>
      </c>
      <c r="O396" s="15" t="s">
        <v>76</v>
      </c>
      <c r="P396" s="14">
        <v>54000</v>
      </c>
      <c r="Q396" s="13">
        <v>46218.563194444447</v>
      </c>
      <c r="R396" s="15" t="s">
        <v>153</v>
      </c>
      <c r="S396" s="11" t="str">
        <f t="shared" si="12"/>
        <v>2026-07-15</v>
      </c>
      <c r="T396" s="11">
        <f>IF($E396="","",IF(COUNTIF($E$2:$E396,$E396)=1,1,0))</f>
        <v>0</v>
      </c>
      <c r="U396" s="11" t="str">
        <f>IF(T396=1,SUM($T$2:T396),"")</f>
        <v/>
      </c>
      <c r="V396" s="11">
        <f>IF(OR($R396="",$R396="-"),"",IF(COUNTIF($R$2:$R396,$R396)=1,1,0))</f>
        <v>0</v>
      </c>
      <c r="W396" s="11" t="str">
        <f>IF(V396=1,SUM($V$2:V396),"")</f>
        <v/>
      </c>
      <c r="X396" s="11" t="str">
        <f t="shared" si="13"/>
        <v>SHOPEE</v>
      </c>
    </row>
    <row r="397" spans="1:24">
      <c r="A397" s="15" t="s">
        <v>79</v>
      </c>
      <c r="B397" s="15" t="s">
        <v>83</v>
      </c>
      <c r="C397" s="15" t="s">
        <v>910</v>
      </c>
      <c r="D397" s="13">
        <v>46218.561111111114</v>
      </c>
      <c r="E397" s="15" t="s">
        <v>111</v>
      </c>
      <c r="F397" s="15" t="s">
        <v>912</v>
      </c>
      <c r="G397" s="15" t="s">
        <v>74</v>
      </c>
      <c r="H397" s="15" t="s">
        <v>75</v>
      </c>
      <c r="I397" s="14">
        <v>17000</v>
      </c>
      <c r="J397" s="15" t="s">
        <v>913</v>
      </c>
      <c r="K397" s="15" t="s">
        <v>24</v>
      </c>
      <c r="L397" s="15">
        <v>1</v>
      </c>
      <c r="M397" s="15">
        <v>1</v>
      </c>
      <c r="N397" s="15" t="s">
        <v>76</v>
      </c>
      <c r="O397" s="15" t="s">
        <v>76</v>
      </c>
      <c r="P397" s="14">
        <v>132000</v>
      </c>
      <c r="Q397" s="13">
        <v>46218.563194444447</v>
      </c>
      <c r="R397" s="15" t="s">
        <v>153</v>
      </c>
      <c r="S397" s="11" t="str">
        <f t="shared" si="12"/>
        <v>2026-07-15</v>
      </c>
      <c r="T397" s="11">
        <f>IF($E397="","",IF(COUNTIF($E$2:$E397,$E397)=1,1,0))</f>
        <v>0</v>
      </c>
      <c r="U397" s="11" t="str">
        <f>IF(T397=1,SUM($T$2:T397),"")</f>
        <v/>
      </c>
      <c r="V397" s="11">
        <f>IF(OR($R397="",$R397="-"),"",IF(COUNTIF($R$2:$R397,$R397)=1,1,0))</f>
        <v>0</v>
      </c>
      <c r="W397" s="11" t="str">
        <f>IF(V397=1,SUM($V$2:V397),"")</f>
        <v/>
      </c>
      <c r="X397" s="11" t="str">
        <f t="shared" si="13"/>
        <v>SHOPEE</v>
      </c>
    </row>
    <row r="398" spans="1:24">
      <c r="A398" s="15" t="s">
        <v>79</v>
      </c>
      <c r="B398" s="15" t="s">
        <v>83</v>
      </c>
      <c r="C398" s="15" t="s">
        <v>910</v>
      </c>
      <c r="D398" s="13">
        <v>46218.561111111114</v>
      </c>
      <c r="E398" s="15" t="s">
        <v>111</v>
      </c>
      <c r="F398" s="15" t="s">
        <v>914</v>
      </c>
      <c r="G398" s="15" t="s">
        <v>74</v>
      </c>
      <c r="H398" s="15" t="s">
        <v>75</v>
      </c>
      <c r="I398" s="14">
        <v>34000</v>
      </c>
      <c r="J398" s="15" t="s">
        <v>915</v>
      </c>
      <c r="K398" s="15" t="s">
        <v>24</v>
      </c>
      <c r="L398" s="15">
        <v>1</v>
      </c>
      <c r="M398" s="15">
        <v>1</v>
      </c>
      <c r="N398" s="15" t="s">
        <v>76</v>
      </c>
      <c r="O398" s="15" t="s">
        <v>76</v>
      </c>
      <c r="P398" s="14">
        <v>33000</v>
      </c>
      <c r="Q398" s="13">
        <v>46218.563194444447</v>
      </c>
      <c r="R398" s="15" t="s">
        <v>153</v>
      </c>
      <c r="S398" s="11" t="str">
        <f t="shared" si="12"/>
        <v>2026-07-15</v>
      </c>
      <c r="T398" s="11">
        <f>IF($E398="","",IF(COUNTIF($E$2:$E398,$E398)=1,1,0))</f>
        <v>0</v>
      </c>
      <c r="U398" s="11" t="str">
        <f>IF(T398=1,SUM($T$2:T398),"")</f>
        <v/>
      </c>
      <c r="V398" s="11">
        <f>IF(OR($R398="",$R398="-"),"",IF(COUNTIF($R$2:$R398,$R398)=1,1,0))</f>
        <v>0</v>
      </c>
      <c r="W398" s="11" t="str">
        <f>IF(V398=1,SUM($V$2:V398),"")</f>
        <v/>
      </c>
      <c r="X398" s="11" t="str">
        <f t="shared" si="13"/>
        <v>SHOPEE</v>
      </c>
    </row>
    <row r="399" spans="1:24">
      <c r="A399" s="15" t="s">
        <v>249</v>
      </c>
      <c r="B399" s="15" t="s">
        <v>250</v>
      </c>
      <c r="C399" s="15" t="s">
        <v>916</v>
      </c>
      <c r="D399" s="13">
        <v>46218.470138888886</v>
      </c>
      <c r="E399" s="15" t="s">
        <v>265</v>
      </c>
      <c r="F399" s="15" t="s">
        <v>917</v>
      </c>
      <c r="G399" s="15" t="s">
        <v>74</v>
      </c>
      <c r="H399" s="15" t="s">
        <v>75</v>
      </c>
      <c r="I399" s="14">
        <v>12000</v>
      </c>
      <c r="J399" s="15" t="s">
        <v>277</v>
      </c>
      <c r="K399" s="15" t="s">
        <v>24</v>
      </c>
      <c r="L399" s="15">
        <v>1</v>
      </c>
      <c r="M399" s="15">
        <v>0.38</v>
      </c>
      <c r="N399" s="15" t="s">
        <v>76</v>
      </c>
      <c r="O399" s="15" t="s">
        <v>76</v>
      </c>
      <c r="P399" s="14">
        <v>499000</v>
      </c>
      <c r="Q399" s="13">
        <v>46218.470833333333</v>
      </c>
      <c r="R399" s="15" t="s">
        <v>251</v>
      </c>
      <c r="S399" s="11" t="str">
        <f t="shared" si="12"/>
        <v>2026-07-15</v>
      </c>
      <c r="T399" s="11">
        <f>IF($E399="","",IF(COUNTIF($E$2:$E399,$E399)=1,1,0))</f>
        <v>0</v>
      </c>
      <c r="U399" s="11" t="str">
        <f>IF(T399=1,SUM($T$2:T399),"")</f>
        <v/>
      </c>
      <c r="V399" s="11">
        <f>IF(OR($R399="",$R399="-"),"",IF(COUNTIF($R$2:$R399,$R399)=1,1,0))</f>
        <v>0</v>
      </c>
      <c r="W399" s="11" t="str">
        <f>IF(V399=1,SUM($V$2:V399),"")</f>
        <v/>
      </c>
      <c r="X399" s="11" t="str">
        <f t="shared" si="13"/>
        <v>TOKOPEDIA</v>
      </c>
    </row>
    <row r="400" spans="1:24">
      <c r="A400" s="15" t="s">
        <v>79</v>
      </c>
      <c r="B400" s="15" t="s">
        <v>83</v>
      </c>
      <c r="C400" s="15" t="s">
        <v>918</v>
      </c>
      <c r="D400" s="13">
        <v>46218.464583333334</v>
      </c>
      <c r="E400" s="15" t="s">
        <v>265</v>
      </c>
      <c r="F400" s="15" t="s">
        <v>919</v>
      </c>
      <c r="G400" s="15" t="s">
        <v>74</v>
      </c>
      <c r="H400" s="15" t="s">
        <v>75</v>
      </c>
      <c r="I400" s="14">
        <v>20000</v>
      </c>
      <c r="J400" s="15" t="s">
        <v>920</v>
      </c>
      <c r="K400" s="15" t="s">
        <v>24</v>
      </c>
      <c r="L400" s="15">
        <v>2</v>
      </c>
      <c r="M400" s="15">
        <v>2</v>
      </c>
      <c r="N400" s="15" t="s">
        <v>76</v>
      </c>
      <c r="O400" s="15" t="s">
        <v>76</v>
      </c>
      <c r="P400" s="14">
        <v>83000</v>
      </c>
      <c r="Q400" s="13">
        <v>46218.464583333334</v>
      </c>
      <c r="R400" s="15" t="s">
        <v>147</v>
      </c>
      <c r="S400" s="11" t="str">
        <f t="shared" si="12"/>
        <v>2026-07-15</v>
      </c>
      <c r="T400" s="11">
        <f>IF($E400="","",IF(COUNTIF($E$2:$E400,$E400)=1,1,0))</f>
        <v>0</v>
      </c>
      <c r="U400" s="11" t="str">
        <f>IF(T400=1,SUM($T$2:T400),"")</f>
        <v/>
      </c>
      <c r="V400" s="11">
        <f>IF(OR($R400="",$R400="-"),"",IF(COUNTIF($R$2:$R400,$R400)=1,1,0))</f>
        <v>0</v>
      </c>
      <c r="W400" s="11" t="str">
        <f>IF(V400=1,SUM($V$2:V400),"")</f>
        <v/>
      </c>
      <c r="X400" s="11" t="str">
        <f t="shared" si="13"/>
        <v>SHOPEE</v>
      </c>
    </row>
    <row r="401" spans="1:24">
      <c r="A401" s="15" t="s">
        <v>79</v>
      </c>
      <c r="B401" s="15" t="s">
        <v>83</v>
      </c>
      <c r="C401" s="15" t="s">
        <v>918</v>
      </c>
      <c r="D401" s="13">
        <v>46218.464583333334</v>
      </c>
      <c r="E401" s="15" t="s">
        <v>265</v>
      </c>
      <c r="F401" s="15" t="s">
        <v>921</v>
      </c>
      <c r="G401" s="15" t="s">
        <v>74</v>
      </c>
      <c r="H401" s="15" t="s">
        <v>75</v>
      </c>
      <c r="I401" s="14">
        <v>10000</v>
      </c>
      <c r="J401" s="15" t="s">
        <v>215</v>
      </c>
      <c r="K401" s="15" t="s">
        <v>30</v>
      </c>
      <c r="L401" s="15">
        <v>1</v>
      </c>
      <c r="M401" s="15">
        <v>1</v>
      </c>
      <c r="N401" s="15" t="s">
        <v>76</v>
      </c>
      <c r="O401" s="15" t="s">
        <v>76</v>
      </c>
      <c r="P401" s="14">
        <v>40000</v>
      </c>
      <c r="Q401" s="13">
        <v>46218.464583333334</v>
      </c>
      <c r="R401" s="15" t="s">
        <v>147</v>
      </c>
      <c r="S401" s="11" t="str">
        <f t="shared" si="12"/>
        <v>2026-07-15</v>
      </c>
      <c r="T401" s="11">
        <f>IF($E401="","",IF(COUNTIF($E$2:$E401,$E401)=1,1,0))</f>
        <v>0</v>
      </c>
      <c r="U401" s="11" t="str">
        <f>IF(T401=1,SUM($T$2:T401),"")</f>
        <v/>
      </c>
      <c r="V401" s="11">
        <f>IF(OR($R401="",$R401="-"),"",IF(COUNTIF($R$2:$R401,$R401)=1,1,0))</f>
        <v>0</v>
      </c>
      <c r="W401" s="11" t="str">
        <f>IF(V401=1,SUM($V$2:V401),"")</f>
        <v/>
      </c>
      <c r="X401" s="11" t="str">
        <f t="shared" si="13"/>
        <v>SHOPEE</v>
      </c>
    </row>
    <row r="402" spans="1:24">
      <c r="A402" s="15" t="s">
        <v>79</v>
      </c>
      <c r="B402" s="15" t="s">
        <v>80</v>
      </c>
      <c r="C402" s="15" t="s">
        <v>922</v>
      </c>
      <c r="D402" s="13">
        <v>46218.34652777778</v>
      </c>
      <c r="E402" s="15" t="s">
        <v>265</v>
      </c>
      <c r="F402" s="15" t="s">
        <v>923</v>
      </c>
      <c r="G402" s="15" t="s">
        <v>74</v>
      </c>
      <c r="H402" s="15" t="s">
        <v>75</v>
      </c>
      <c r="I402" s="14">
        <v>464000</v>
      </c>
      <c r="J402" s="15" t="s">
        <v>290</v>
      </c>
      <c r="K402" s="15" t="s">
        <v>24</v>
      </c>
      <c r="L402" s="15">
        <v>1</v>
      </c>
      <c r="M402" s="15">
        <v>8.1300000000000008</v>
      </c>
      <c r="N402" s="15" t="s">
        <v>76</v>
      </c>
      <c r="O402" s="15" t="s">
        <v>76</v>
      </c>
      <c r="P402" s="14">
        <v>325000</v>
      </c>
      <c r="Q402" s="13">
        <v>46218.34652777778</v>
      </c>
      <c r="R402" s="15" t="s">
        <v>205</v>
      </c>
      <c r="S402" s="11" t="str">
        <f t="shared" si="12"/>
        <v>2026-07-15</v>
      </c>
      <c r="T402" s="11">
        <f>IF($E402="","",IF(COUNTIF($E$2:$E402,$E402)=1,1,0))</f>
        <v>0</v>
      </c>
      <c r="U402" s="11" t="str">
        <f>IF(T402=1,SUM($T$2:T402),"")</f>
        <v/>
      </c>
      <c r="V402" s="11">
        <f>IF(OR($R402="",$R402="-"),"",IF(COUNTIF($R$2:$R402,$R402)=1,1,0))</f>
        <v>1</v>
      </c>
      <c r="W402" s="11">
        <f>IF(V402=1,SUM($V$2:V402),"")</f>
        <v>149</v>
      </c>
      <c r="X402" s="11" t="str">
        <f t="shared" si="13"/>
        <v>SHOPEE</v>
      </c>
    </row>
    <row r="403" spans="1:24">
      <c r="A403" s="15" t="s">
        <v>79</v>
      </c>
      <c r="B403" s="15" t="s">
        <v>83</v>
      </c>
      <c r="C403" s="15" t="s">
        <v>924</v>
      </c>
      <c r="D403" s="13">
        <v>46218.313888888886</v>
      </c>
      <c r="E403" s="15" t="s">
        <v>265</v>
      </c>
      <c r="F403" s="15" t="s">
        <v>925</v>
      </c>
      <c r="G403" s="15" t="s">
        <v>74</v>
      </c>
      <c r="H403" s="15" t="s">
        <v>75</v>
      </c>
      <c r="I403" s="14">
        <v>12000</v>
      </c>
      <c r="J403" s="15" t="s">
        <v>926</v>
      </c>
      <c r="K403" s="15" t="s">
        <v>24</v>
      </c>
      <c r="L403" s="15">
        <v>1</v>
      </c>
      <c r="M403" s="15">
        <v>1</v>
      </c>
      <c r="N403" s="15" t="s">
        <v>76</v>
      </c>
      <c r="O403" s="15" t="s">
        <v>76</v>
      </c>
      <c r="P403" s="15">
        <v>99</v>
      </c>
      <c r="Q403" s="13">
        <v>46218.314583333333</v>
      </c>
      <c r="R403" s="15" t="s">
        <v>189</v>
      </c>
      <c r="S403" s="11" t="str">
        <f t="shared" si="12"/>
        <v>2026-07-15</v>
      </c>
      <c r="T403" s="11">
        <f>IF($E403="","",IF(COUNTIF($E$2:$E403,$E403)=1,1,0))</f>
        <v>0</v>
      </c>
      <c r="U403" s="11" t="str">
        <f>IF(T403=1,SUM($T$2:T403),"")</f>
        <v/>
      </c>
      <c r="V403" s="11">
        <f>IF(OR($R403="",$R403="-"),"",IF(COUNTIF($R$2:$R403,$R403)=1,1,0))</f>
        <v>0</v>
      </c>
      <c r="W403" s="11" t="str">
        <f>IF(V403=1,SUM($V$2:V403),"")</f>
        <v/>
      </c>
      <c r="X403" s="11" t="str">
        <f t="shared" si="13"/>
        <v>SHOPEE</v>
      </c>
    </row>
    <row r="404" spans="1:24">
      <c r="A404" s="15" t="s">
        <v>79</v>
      </c>
      <c r="B404" s="15" t="s">
        <v>83</v>
      </c>
      <c r="C404" s="15" t="s">
        <v>924</v>
      </c>
      <c r="D404" s="13">
        <v>46218.313888888886</v>
      </c>
      <c r="E404" s="15" t="s">
        <v>265</v>
      </c>
      <c r="F404" s="15" t="s">
        <v>927</v>
      </c>
      <c r="G404" s="15" t="s">
        <v>74</v>
      </c>
      <c r="H404" s="15" t="s">
        <v>75</v>
      </c>
      <c r="I404" s="14">
        <v>36000</v>
      </c>
      <c r="J404" s="15" t="s">
        <v>928</v>
      </c>
      <c r="K404" s="15" t="s">
        <v>26</v>
      </c>
      <c r="L404" s="15">
        <v>1</v>
      </c>
      <c r="M404" s="15">
        <v>3</v>
      </c>
      <c r="N404" s="15" t="s">
        <v>76</v>
      </c>
      <c r="O404" s="15" t="s">
        <v>76</v>
      </c>
      <c r="P404" s="15">
        <v>99</v>
      </c>
      <c r="Q404" s="13">
        <v>46218.314583333333</v>
      </c>
      <c r="R404" s="15" t="s">
        <v>929</v>
      </c>
      <c r="S404" s="11" t="str">
        <f t="shared" si="12"/>
        <v>2026-07-15</v>
      </c>
      <c r="T404" s="11">
        <f>IF($E404="","",IF(COUNTIF($E$2:$E404,$E404)=1,1,0))</f>
        <v>0</v>
      </c>
      <c r="U404" s="11" t="str">
        <f>IF(T404=1,SUM($T$2:T404),"")</f>
        <v/>
      </c>
      <c r="V404" s="11">
        <f>IF(OR($R404="",$R404="-"),"",IF(COUNTIF($R$2:$R404,$R404)=1,1,0))</f>
        <v>1</v>
      </c>
      <c r="W404" s="11">
        <f>IF(V404=1,SUM($V$2:V404),"")</f>
        <v>150</v>
      </c>
      <c r="X404" s="11" t="str">
        <f t="shared" si="13"/>
        <v>SHOPEE</v>
      </c>
    </row>
    <row r="405" spans="1:24">
      <c r="A405" s="15" t="s">
        <v>79</v>
      </c>
      <c r="B405" s="15" t="s">
        <v>83</v>
      </c>
      <c r="C405" s="15" t="s">
        <v>924</v>
      </c>
      <c r="D405" s="13">
        <v>46218.313888888886</v>
      </c>
      <c r="E405" s="15" t="s">
        <v>265</v>
      </c>
      <c r="F405" s="15" t="s">
        <v>930</v>
      </c>
      <c r="G405" s="15" t="s">
        <v>74</v>
      </c>
      <c r="H405" s="15" t="s">
        <v>75</v>
      </c>
      <c r="I405" s="14">
        <v>36000</v>
      </c>
      <c r="J405" s="15" t="s">
        <v>928</v>
      </c>
      <c r="K405" s="15" t="s">
        <v>26</v>
      </c>
      <c r="L405" s="15">
        <v>1</v>
      </c>
      <c r="M405" s="15">
        <v>3</v>
      </c>
      <c r="N405" s="15" t="s">
        <v>76</v>
      </c>
      <c r="O405" s="15" t="s">
        <v>76</v>
      </c>
      <c r="P405" s="15">
        <v>99</v>
      </c>
      <c r="Q405" s="13">
        <v>46218.314583333333</v>
      </c>
      <c r="R405" s="15" t="s">
        <v>929</v>
      </c>
      <c r="S405" s="11" t="str">
        <f t="shared" si="12"/>
        <v>2026-07-15</v>
      </c>
      <c r="T405" s="11">
        <f>IF($E405="","",IF(COUNTIF($E$2:$E405,$E405)=1,1,0))</f>
        <v>0</v>
      </c>
      <c r="U405" s="11" t="str">
        <f>IF(T405=1,SUM($T$2:T405),"")</f>
        <v/>
      </c>
      <c r="V405" s="11">
        <f>IF(OR($R405="",$R405="-"),"",IF(COUNTIF($R$2:$R405,$R405)=1,1,0))</f>
        <v>0</v>
      </c>
      <c r="W405" s="11" t="str">
        <f>IF(V405=1,SUM($V$2:V405),"")</f>
        <v/>
      </c>
      <c r="X405" s="11" t="str">
        <f t="shared" si="13"/>
        <v>SHOPEE</v>
      </c>
    </row>
    <row r="406" spans="1:24">
      <c r="A406" s="15" t="s">
        <v>79</v>
      </c>
      <c r="B406" s="15" t="s">
        <v>83</v>
      </c>
      <c r="C406" s="15" t="s">
        <v>931</v>
      </c>
      <c r="D406" s="13">
        <v>46217.857638888891</v>
      </c>
      <c r="E406" s="15" t="s">
        <v>73</v>
      </c>
      <c r="F406" s="15" t="s">
        <v>932</v>
      </c>
      <c r="G406" s="15" t="s">
        <v>74</v>
      </c>
      <c r="H406" s="15" t="s">
        <v>75</v>
      </c>
      <c r="I406" s="14">
        <v>70000</v>
      </c>
      <c r="J406" s="15" t="s">
        <v>933</v>
      </c>
      <c r="K406" s="15" t="s">
        <v>24</v>
      </c>
      <c r="L406" s="15">
        <v>1</v>
      </c>
      <c r="M406" s="15">
        <v>1</v>
      </c>
      <c r="N406" s="15" t="s">
        <v>76</v>
      </c>
      <c r="O406" s="15" t="s">
        <v>76</v>
      </c>
      <c r="P406" s="14">
        <v>9100000</v>
      </c>
      <c r="Q406" s="13">
        <v>46217.857638888891</v>
      </c>
      <c r="R406" s="15" t="s">
        <v>247</v>
      </c>
      <c r="S406" s="11" t="str">
        <f t="shared" si="12"/>
        <v>2026-07-14</v>
      </c>
      <c r="T406" s="11">
        <f>IF($E406="","",IF(COUNTIF($E$2:$E406,$E406)=1,1,0))</f>
        <v>0</v>
      </c>
      <c r="U406" s="11" t="str">
        <f>IF(T406=1,SUM($T$2:T406),"")</f>
        <v/>
      </c>
      <c r="V406" s="11">
        <f>IF(OR($R406="",$R406="-"),"",IF(COUNTIF($R$2:$R406,$R406)=1,1,0))</f>
        <v>1</v>
      </c>
      <c r="W406" s="11">
        <f>IF(V406=1,SUM($V$2:V406),"")</f>
        <v>151</v>
      </c>
      <c r="X406" s="11" t="str">
        <f t="shared" si="13"/>
        <v>SHOPEE</v>
      </c>
    </row>
    <row r="407" spans="1:24">
      <c r="A407" s="15" t="s">
        <v>79</v>
      </c>
      <c r="B407" s="15" t="s">
        <v>80</v>
      </c>
      <c r="C407" s="15" t="s">
        <v>934</v>
      </c>
      <c r="D407" s="13">
        <v>46217.853472222225</v>
      </c>
      <c r="E407" s="15" t="s">
        <v>73</v>
      </c>
      <c r="F407" s="15" t="s">
        <v>935</v>
      </c>
      <c r="G407" s="15" t="s">
        <v>74</v>
      </c>
      <c r="H407" s="15" t="s">
        <v>75</v>
      </c>
      <c r="I407" s="14">
        <v>12000</v>
      </c>
      <c r="J407" s="15" t="s">
        <v>174</v>
      </c>
      <c r="K407" s="15" t="s">
        <v>24</v>
      </c>
      <c r="L407" s="15">
        <v>1</v>
      </c>
      <c r="M407" s="15">
        <v>1</v>
      </c>
      <c r="N407" s="15" t="s">
        <v>76</v>
      </c>
      <c r="O407" s="15" t="s">
        <v>76</v>
      </c>
      <c r="P407" s="14">
        <v>156900</v>
      </c>
      <c r="Q407" s="13">
        <v>46217.853472222225</v>
      </c>
      <c r="R407" s="15" t="s">
        <v>763</v>
      </c>
      <c r="S407" s="11" t="str">
        <f t="shared" si="12"/>
        <v>2026-07-14</v>
      </c>
      <c r="T407" s="11">
        <f>IF($E407="","",IF(COUNTIF($E$2:$E407,$E407)=1,1,0))</f>
        <v>0</v>
      </c>
      <c r="U407" s="11" t="str">
        <f>IF(T407=1,SUM($T$2:T407),"")</f>
        <v/>
      </c>
      <c r="V407" s="11">
        <f>IF(OR($R407="",$R407="-"),"",IF(COUNTIF($R$2:$R407,$R407)=1,1,0))</f>
        <v>0</v>
      </c>
      <c r="W407" s="11" t="str">
        <f>IF(V407=1,SUM($V$2:V407),"")</f>
        <v/>
      </c>
      <c r="X407" s="11" t="str">
        <f t="shared" si="13"/>
        <v>SHOPEE</v>
      </c>
    </row>
    <row r="408" spans="1:24">
      <c r="A408" s="15" t="s">
        <v>79</v>
      </c>
      <c r="B408" s="15" t="s">
        <v>80</v>
      </c>
      <c r="C408" s="15" t="s">
        <v>936</v>
      </c>
      <c r="D408" s="13">
        <v>46217.831944444442</v>
      </c>
      <c r="E408" s="15" t="s">
        <v>73</v>
      </c>
      <c r="F408" s="15" t="s">
        <v>937</v>
      </c>
      <c r="G408" s="15" t="s">
        <v>74</v>
      </c>
      <c r="H408" s="15" t="s">
        <v>75</v>
      </c>
      <c r="I408" s="14">
        <v>12000</v>
      </c>
      <c r="J408" s="15" t="s">
        <v>105</v>
      </c>
      <c r="K408" s="15" t="s">
        <v>24</v>
      </c>
      <c r="L408" s="15">
        <v>1</v>
      </c>
      <c r="M408" s="15">
        <v>0.01</v>
      </c>
      <c r="N408" s="15" t="s">
        <v>76</v>
      </c>
      <c r="O408" s="15" t="s">
        <v>76</v>
      </c>
      <c r="P408" s="14">
        <v>99000</v>
      </c>
      <c r="Q408" s="13">
        <v>46217.831944444442</v>
      </c>
      <c r="R408" s="15" t="s">
        <v>938</v>
      </c>
      <c r="S408" s="11" t="str">
        <f t="shared" si="12"/>
        <v>2026-07-14</v>
      </c>
      <c r="T408" s="11">
        <f>IF($E408="","",IF(COUNTIF($E$2:$E408,$E408)=1,1,0))</f>
        <v>0</v>
      </c>
      <c r="U408" s="11" t="str">
        <f>IF(T408=1,SUM($T$2:T408),"")</f>
        <v/>
      </c>
      <c r="V408" s="11">
        <f>IF(OR($R408="",$R408="-"),"",IF(COUNTIF($R$2:$R408,$R408)=1,1,0))</f>
        <v>1</v>
      </c>
      <c r="W408" s="11">
        <f>IF(V408=1,SUM($V$2:V408),"")</f>
        <v>152</v>
      </c>
      <c r="X408" s="11" t="str">
        <f t="shared" si="13"/>
        <v>SHOPEE</v>
      </c>
    </row>
    <row r="409" spans="1:24">
      <c r="A409" s="15" t="s">
        <v>310</v>
      </c>
      <c r="B409" s="15" t="s">
        <v>72</v>
      </c>
      <c r="C409" s="15" t="s">
        <v>939</v>
      </c>
      <c r="D409" s="13">
        <v>46217.831250000003</v>
      </c>
      <c r="E409" s="15" t="s">
        <v>73</v>
      </c>
      <c r="F409" s="15" t="s">
        <v>940</v>
      </c>
      <c r="G409" s="15" t="s">
        <v>74</v>
      </c>
      <c r="H409" s="15" t="s">
        <v>75</v>
      </c>
      <c r="I409" s="14">
        <v>12000</v>
      </c>
      <c r="J409" s="15" t="s">
        <v>139</v>
      </c>
      <c r="K409" s="15" t="s">
        <v>24</v>
      </c>
      <c r="L409" s="15">
        <v>1</v>
      </c>
      <c r="M409" s="15">
        <v>0.2</v>
      </c>
      <c r="N409" s="15" t="s">
        <v>76</v>
      </c>
      <c r="O409" s="15" t="s">
        <v>76</v>
      </c>
      <c r="P409" s="14">
        <v>20000</v>
      </c>
      <c r="Q409" s="13">
        <v>46217.831250000003</v>
      </c>
      <c r="R409" s="15" t="s">
        <v>311</v>
      </c>
      <c r="S409" s="11" t="str">
        <f t="shared" si="12"/>
        <v>2026-07-14</v>
      </c>
      <c r="T409" s="11">
        <f>IF($E409="","",IF(COUNTIF($E$2:$E409,$E409)=1,1,0))</f>
        <v>0</v>
      </c>
      <c r="U409" s="11" t="str">
        <f>IF(T409=1,SUM($T$2:T409),"")</f>
        <v/>
      </c>
      <c r="V409" s="11">
        <f>IF(OR($R409="",$R409="-"),"",IF(COUNTIF($R$2:$R409,$R409)=1,1,0))</f>
        <v>1</v>
      </c>
      <c r="W409" s="11">
        <f>IF(V409=1,SUM($V$2:V409),"")</f>
        <v>153</v>
      </c>
      <c r="X409" s="11" t="str">
        <f t="shared" si="13"/>
        <v>TOKOPEDIA</v>
      </c>
    </row>
    <row r="410" spans="1:24">
      <c r="A410" s="15" t="s">
        <v>71</v>
      </c>
      <c r="B410" s="15" t="s">
        <v>72</v>
      </c>
      <c r="C410" s="15" t="s">
        <v>941</v>
      </c>
      <c r="D410" s="13">
        <v>46217.829861111109</v>
      </c>
      <c r="E410" s="15" t="s">
        <v>265</v>
      </c>
      <c r="F410" s="15" t="s">
        <v>942</v>
      </c>
      <c r="G410" s="15" t="s">
        <v>74</v>
      </c>
      <c r="H410" s="15" t="s">
        <v>75</v>
      </c>
      <c r="I410" s="14">
        <v>12000</v>
      </c>
      <c r="J410" s="15" t="s">
        <v>221</v>
      </c>
      <c r="K410" s="15" t="s">
        <v>30</v>
      </c>
      <c r="L410" s="15">
        <v>1</v>
      </c>
      <c r="M410" s="15">
        <v>0.5</v>
      </c>
      <c r="N410" s="15" t="s">
        <v>74</v>
      </c>
      <c r="O410" s="15" t="s">
        <v>76</v>
      </c>
      <c r="P410" s="14">
        <v>135000</v>
      </c>
      <c r="Q410" s="13">
        <v>46217.829861111109</v>
      </c>
      <c r="R410" s="15" t="s">
        <v>77</v>
      </c>
      <c r="S410" s="11" t="str">
        <f t="shared" si="12"/>
        <v>2026-07-14</v>
      </c>
      <c r="T410" s="11">
        <f>IF($E410="","",IF(COUNTIF($E$2:$E410,$E410)=1,1,0))</f>
        <v>0</v>
      </c>
      <c r="U410" s="11" t="str">
        <f>IF(T410=1,SUM($T$2:T410),"")</f>
        <v/>
      </c>
      <c r="V410" s="11">
        <f>IF(OR($R410="",$R410="-"),"",IF(COUNTIF($R$2:$R410,$R410)=1,1,0))</f>
        <v>1</v>
      </c>
      <c r="W410" s="11">
        <f>IF(V410=1,SUM($V$2:V410),"")</f>
        <v>154</v>
      </c>
      <c r="X410" s="11" t="str">
        <f t="shared" si="13"/>
        <v>TOKOPEDIA</v>
      </c>
    </row>
    <row r="411" spans="1:24">
      <c r="A411" s="15" t="s">
        <v>71</v>
      </c>
      <c r="B411" s="15" t="s">
        <v>72</v>
      </c>
      <c r="C411" s="15" t="s">
        <v>941</v>
      </c>
      <c r="D411" s="13">
        <v>46217.829861111109</v>
      </c>
      <c r="E411" s="15" t="s">
        <v>265</v>
      </c>
      <c r="F411" s="15" t="s">
        <v>943</v>
      </c>
      <c r="G411" s="15" t="s">
        <v>74</v>
      </c>
      <c r="H411" s="15" t="s">
        <v>75</v>
      </c>
      <c r="I411" s="14">
        <v>29000</v>
      </c>
      <c r="J411" s="15" t="s">
        <v>944</v>
      </c>
      <c r="K411" s="15" t="s">
        <v>24</v>
      </c>
      <c r="L411" s="15">
        <v>1</v>
      </c>
      <c r="M411" s="15">
        <v>0.6</v>
      </c>
      <c r="N411" s="15" t="s">
        <v>76</v>
      </c>
      <c r="O411" s="15" t="s">
        <v>76</v>
      </c>
      <c r="P411" s="14">
        <v>53000</v>
      </c>
      <c r="Q411" s="13">
        <v>46217.829861111109</v>
      </c>
      <c r="R411" s="15" t="s">
        <v>77</v>
      </c>
      <c r="S411" s="11" t="str">
        <f t="shared" si="12"/>
        <v>2026-07-14</v>
      </c>
      <c r="T411" s="11">
        <f>IF($E411="","",IF(COUNTIF($E$2:$E411,$E411)=1,1,0))</f>
        <v>0</v>
      </c>
      <c r="U411" s="11" t="str">
        <f>IF(T411=1,SUM($T$2:T411),"")</f>
        <v/>
      </c>
      <c r="V411" s="11">
        <f>IF(OR($R411="",$R411="-"),"",IF(COUNTIF($R$2:$R411,$R411)=1,1,0))</f>
        <v>0</v>
      </c>
      <c r="W411" s="11" t="str">
        <f>IF(V411=1,SUM($V$2:V411),"")</f>
        <v/>
      </c>
      <c r="X411" s="11" t="str">
        <f t="shared" si="13"/>
        <v>TOKOPEDIA</v>
      </c>
    </row>
    <row r="412" spans="1:24">
      <c r="A412" s="15" t="s">
        <v>79</v>
      </c>
      <c r="B412" s="15" t="s">
        <v>83</v>
      </c>
      <c r="C412" s="15" t="s">
        <v>945</v>
      </c>
      <c r="D412" s="13">
        <v>46217.826388888891</v>
      </c>
      <c r="E412" s="15" t="s">
        <v>265</v>
      </c>
      <c r="F412" s="15" t="s">
        <v>946</v>
      </c>
      <c r="G412" s="15" t="s">
        <v>74</v>
      </c>
      <c r="H412" s="15" t="s">
        <v>75</v>
      </c>
      <c r="I412" s="14">
        <v>31000</v>
      </c>
      <c r="J412" s="15" t="s">
        <v>947</v>
      </c>
      <c r="K412" s="15" t="s">
        <v>24</v>
      </c>
      <c r="L412" s="15">
        <v>1</v>
      </c>
      <c r="M412" s="15">
        <v>1</v>
      </c>
      <c r="N412" s="15" t="s">
        <v>76</v>
      </c>
      <c r="O412" s="15" t="s">
        <v>76</v>
      </c>
      <c r="P412" s="14">
        <v>200000</v>
      </c>
      <c r="Q412" s="13">
        <v>46217.82708333333</v>
      </c>
      <c r="R412" s="15" t="s">
        <v>184</v>
      </c>
      <c r="S412" s="11" t="str">
        <f t="shared" si="12"/>
        <v>2026-07-14</v>
      </c>
      <c r="T412" s="11">
        <f>IF($E412="","",IF(COUNTIF($E$2:$E412,$E412)=1,1,0))</f>
        <v>0</v>
      </c>
      <c r="U412" s="11" t="str">
        <f>IF(T412=1,SUM($T$2:T412),"")</f>
        <v/>
      </c>
      <c r="V412" s="11">
        <f>IF(OR($R412="",$R412="-"),"",IF(COUNTIF($R$2:$R412,$R412)=1,1,0))</f>
        <v>0</v>
      </c>
      <c r="W412" s="11" t="str">
        <f>IF(V412=1,SUM($V$2:V412),"")</f>
        <v/>
      </c>
      <c r="X412" s="11" t="str">
        <f t="shared" si="13"/>
        <v>SHOPEE</v>
      </c>
    </row>
    <row r="413" spans="1:24">
      <c r="A413" s="15" t="s">
        <v>79</v>
      </c>
      <c r="B413" s="15" t="s">
        <v>83</v>
      </c>
      <c r="C413" s="15" t="s">
        <v>948</v>
      </c>
      <c r="D413" s="13">
        <v>46217.811111111114</v>
      </c>
      <c r="E413" s="15" t="s">
        <v>265</v>
      </c>
      <c r="F413" s="15" t="s">
        <v>949</v>
      </c>
      <c r="G413" s="15" t="s">
        <v>74</v>
      </c>
      <c r="H413" s="15" t="s">
        <v>75</v>
      </c>
      <c r="I413" s="14">
        <v>58000</v>
      </c>
      <c r="J413" s="15" t="s">
        <v>950</v>
      </c>
      <c r="K413" s="15" t="s">
        <v>24</v>
      </c>
      <c r="L413" s="15">
        <v>1</v>
      </c>
      <c r="M413" s="15">
        <v>1</v>
      </c>
      <c r="N413" s="15" t="s">
        <v>76</v>
      </c>
      <c r="O413" s="15" t="s">
        <v>76</v>
      </c>
      <c r="P413" s="14">
        <v>2820000</v>
      </c>
      <c r="Q413" s="13">
        <v>46217.811111111114</v>
      </c>
      <c r="R413" s="15" t="s">
        <v>86</v>
      </c>
      <c r="S413" s="11" t="str">
        <f t="shared" si="12"/>
        <v>2026-07-14</v>
      </c>
      <c r="T413" s="11">
        <f>IF($E413="","",IF(COUNTIF($E$2:$E413,$E413)=1,1,0))</f>
        <v>0</v>
      </c>
      <c r="U413" s="11" t="str">
        <f>IF(T413=1,SUM($T$2:T413),"")</f>
        <v/>
      </c>
      <c r="V413" s="11">
        <f>IF(OR($R413="",$R413="-"),"",IF(COUNTIF($R$2:$R413,$R413)=1,1,0))</f>
        <v>0</v>
      </c>
      <c r="W413" s="11" t="str">
        <f>IF(V413=1,SUM($V$2:V413),"")</f>
        <v/>
      </c>
      <c r="X413" s="11" t="str">
        <f t="shared" si="13"/>
        <v>SHOPEE</v>
      </c>
    </row>
    <row r="414" spans="1:24">
      <c r="A414" s="15" t="s">
        <v>79</v>
      </c>
      <c r="B414" s="15" t="s">
        <v>83</v>
      </c>
      <c r="C414" s="15" t="s">
        <v>948</v>
      </c>
      <c r="D414" s="13">
        <v>46217.811111111114</v>
      </c>
      <c r="E414" s="15" t="s">
        <v>265</v>
      </c>
      <c r="F414" s="15" t="s">
        <v>951</v>
      </c>
      <c r="G414" s="15" t="s">
        <v>74</v>
      </c>
      <c r="H414" s="15" t="s">
        <v>75</v>
      </c>
      <c r="I414" s="14">
        <v>12000</v>
      </c>
      <c r="J414" s="15" t="s">
        <v>145</v>
      </c>
      <c r="K414" s="15" t="s">
        <v>24</v>
      </c>
      <c r="L414" s="15">
        <v>1</v>
      </c>
      <c r="M414" s="15">
        <v>1</v>
      </c>
      <c r="N414" s="15" t="s">
        <v>76</v>
      </c>
      <c r="O414" s="15" t="s">
        <v>76</v>
      </c>
      <c r="P414" s="14">
        <v>2050000</v>
      </c>
      <c r="Q414" s="13">
        <v>46217.811111111114</v>
      </c>
      <c r="R414" s="15" t="s">
        <v>952</v>
      </c>
      <c r="S414" s="11" t="str">
        <f t="shared" si="12"/>
        <v>2026-07-14</v>
      </c>
      <c r="T414" s="11">
        <f>IF($E414="","",IF(COUNTIF($E$2:$E414,$E414)=1,1,0))</f>
        <v>0</v>
      </c>
      <c r="U414" s="11" t="str">
        <f>IF(T414=1,SUM($T$2:T414),"")</f>
        <v/>
      </c>
      <c r="V414" s="11">
        <f>IF(OR($R414="",$R414="-"),"",IF(COUNTIF($R$2:$R414,$R414)=1,1,0))</f>
        <v>1</v>
      </c>
      <c r="W414" s="11">
        <f>IF(V414=1,SUM($V$2:V414),"")</f>
        <v>155</v>
      </c>
      <c r="X414" s="11" t="str">
        <f t="shared" si="13"/>
        <v>SHOPEE</v>
      </c>
    </row>
    <row r="415" spans="1:24">
      <c r="A415" s="15" t="s">
        <v>79</v>
      </c>
      <c r="B415" s="15" t="s">
        <v>83</v>
      </c>
      <c r="C415" s="15" t="s">
        <v>953</v>
      </c>
      <c r="D415" s="13">
        <v>46217.772916666669</v>
      </c>
      <c r="E415" s="15" t="s">
        <v>265</v>
      </c>
      <c r="F415" s="15" t="s">
        <v>954</v>
      </c>
      <c r="G415" s="15" t="s">
        <v>74</v>
      </c>
      <c r="H415" s="15" t="s">
        <v>75</v>
      </c>
      <c r="I415" s="14">
        <v>2640000</v>
      </c>
      <c r="J415" s="15" t="s">
        <v>955</v>
      </c>
      <c r="K415" s="15" t="s">
        <v>26</v>
      </c>
      <c r="L415" s="15">
        <v>1</v>
      </c>
      <c r="M415" s="15">
        <v>438.63</v>
      </c>
      <c r="N415" s="15" t="s">
        <v>76</v>
      </c>
      <c r="O415" s="15" t="s">
        <v>76</v>
      </c>
      <c r="P415" s="14">
        <v>2013200</v>
      </c>
      <c r="Q415" s="13">
        <v>46217.802083333336</v>
      </c>
      <c r="R415" s="15" t="s">
        <v>102</v>
      </c>
      <c r="S415" s="11" t="str">
        <f t="shared" si="12"/>
        <v>2026-07-14</v>
      </c>
      <c r="T415" s="11">
        <f>IF($E415="","",IF(COUNTIF($E$2:$E415,$E415)=1,1,0))</f>
        <v>0</v>
      </c>
      <c r="U415" s="11" t="str">
        <f>IF(T415=1,SUM($T$2:T415),"")</f>
        <v/>
      </c>
      <c r="V415" s="11">
        <f>IF(OR($R415="",$R415="-"),"",IF(COUNTIF($R$2:$R415,$R415)=1,1,0))</f>
        <v>0</v>
      </c>
      <c r="W415" s="11" t="str">
        <f>IF(V415=1,SUM($V$2:V415),"")</f>
        <v/>
      </c>
      <c r="X415" s="11" t="str">
        <f t="shared" si="13"/>
        <v>SHOPEE</v>
      </c>
    </row>
    <row r="416" spans="1:24">
      <c r="A416" s="15" t="s">
        <v>79</v>
      </c>
      <c r="B416" s="15" t="s">
        <v>83</v>
      </c>
      <c r="C416" s="15" t="s">
        <v>956</v>
      </c>
      <c r="D416" s="13">
        <v>46217.730555555558</v>
      </c>
      <c r="E416" s="15" t="s">
        <v>95</v>
      </c>
      <c r="F416" s="15" t="s">
        <v>957</v>
      </c>
      <c r="G416" s="15" t="s">
        <v>74</v>
      </c>
      <c r="H416" s="15" t="s">
        <v>75</v>
      </c>
      <c r="I416" s="14">
        <v>18000</v>
      </c>
      <c r="J416" s="15" t="s">
        <v>958</v>
      </c>
      <c r="K416" s="15" t="s">
        <v>25</v>
      </c>
      <c r="L416" s="15">
        <v>1</v>
      </c>
      <c r="M416" s="15">
        <v>0.2</v>
      </c>
      <c r="N416" s="15" t="s">
        <v>76</v>
      </c>
      <c r="O416" s="15" t="s">
        <v>76</v>
      </c>
      <c r="P416" s="14">
        <v>81000</v>
      </c>
      <c r="Q416" s="13">
        <v>46217.730555555558</v>
      </c>
      <c r="R416" s="15" t="s">
        <v>90</v>
      </c>
      <c r="S416" s="11" t="str">
        <f t="shared" si="12"/>
        <v>2026-07-14</v>
      </c>
      <c r="T416" s="11">
        <f>IF($E416="","",IF(COUNTIF($E$2:$E416,$E416)=1,1,0))</f>
        <v>0</v>
      </c>
      <c r="U416" s="11" t="str">
        <f>IF(T416=1,SUM($T$2:T416),"")</f>
        <v/>
      </c>
      <c r="V416" s="11">
        <f>IF(OR($R416="",$R416="-"),"",IF(COUNTIF($R$2:$R416,$R416)=1,1,0))</f>
        <v>0</v>
      </c>
      <c r="W416" s="11" t="str">
        <f>IF(V416=1,SUM($V$2:V416),"")</f>
        <v/>
      </c>
      <c r="X416" s="11" t="str">
        <f t="shared" si="13"/>
        <v>SHOPEE</v>
      </c>
    </row>
    <row r="417" spans="1:24">
      <c r="A417" s="15" t="s">
        <v>79</v>
      </c>
      <c r="B417" s="15" t="s">
        <v>83</v>
      </c>
      <c r="C417" s="15" t="s">
        <v>959</v>
      </c>
      <c r="D417" s="13">
        <v>46217.703472222223</v>
      </c>
      <c r="E417" s="15" t="s">
        <v>265</v>
      </c>
      <c r="F417" s="15" t="s">
        <v>960</v>
      </c>
      <c r="G417" s="15" t="s">
        <v>74</v>
      </c>
      <c r="H417" s="15" t="s">
        <v>75</v>
      </c>
      <c r="I417" s="14">
        <v>49000</v>
      </c>
      <c r="J417" s="15" t="s">
        <v>961</v>
      </c>
      <c r="K417" s="15" t="s">
        <v>27</v>
      </c>
      <c r="L417" s="15">
        <v>1</v>
      </c>
      <c r="M417" s="15">
        <v>0.12</v>
      </c>
      <c r="N417" s="15" t="s">
        <v>76</v>
      </c>
      <c r="O417" s="15" t="s">
        <v>76</v>
      </c>
      <c r="P417" s="14">
        <v>350000</v>
      </c>
      <c r="Q417" s="13">
        <v>46217.703472222223</v>
      </c>
      <c r="R417" s="15" t="s">
        <v>109</v>
      </c>
      <c r="S417" s="11" t="str">
        <f t="shared" si="12"/>
        <v>2026-07-14</v>
      </c>
      <c r="T417" s="11">
        <f>IF($E417="","",IF(COUNTIF($E$2:$E417,$E417)=1,1,0))</f>
        <v>0</v>
      </c>
      <c r="U417" s="11" t="str">
        <f>IF(T417=1,SUM($T$2:T417),"")</f>
        <v/>
      </c>
      <c r="V417" s="11">
        <f>IF(OR($R417="",$R417="-"),"",IF(COUNTIF($R$2:$R417,$R417)=1,1,0))</f>
        <v>0</v>
      </c>
      <c r="W417" s="11" t="str">
        <f>IF(V417=1,SUM($V$2:V417),"")</f>
        <v/>
      </c>
      <c r="X417" s="11" t="str">
        <f t="shared" si="13"/>
        <v>SHOPEE</v>
      </c>
    </row>
    <row r="418" spans="1:24">
      <c r="A418" s="15" t="s">
        <v>79</v>
      </c>
      <c r="B418" s="15" t="s">
        <v>83</v>
      </c>
      <c r="C418" s="15" t="s">
        <v>962</v>
      </c>
      <c r="D418" s="13">
        <v>46217.697916666664</v>
      </c>
      <c r="E418" s="15" t="s">
        <v>73</v>
      </c>
      <c r="F418" s="15" t="s">
        <v>963</v>
      </c>
      <c r="G418" s="15" t="s">
        <v>74</v>
      </c>
      <c r="H418" s="15" t="s">
        <v>75</v>
      </c>
      <c r="I418" s="14">
        <v>12000</v>
      </c>
      <c r="J418" s="15" t="s">
        <v>142</v>
      </c>
      <c r="K418" s="15" t="s">
        <v>24</v>
      </c>
      <c r="L418" s="15">
        <v>1</v>
      </c>
      <c r="M418" s="15">
        <v>1</v>
      </c>
      <c r="N418" s="15" t="s">
        <v>76</v>
      </c>
      <c r="O418" s="15" t="s">
        <v>76</v>
      </c>
      <c r="P418" s="14">
        <v>700000</v>
      </c>
      <c r="Q418" s="13">
        <v>46217.697916666664</v>
      </c>
      <c r="R418" s="15" t="s">
        <v>964</v>
      </c>
      <c r="S418" s="11" t="str">
        <f t="shared" si="12"/>
        <v>2026-07-14</v>
      </c>
      <c r="T418" s="11">
        <f>IF($E418="","",IF(COUNTIF($E$2:$E418,$E418)=1,1,0))</f>
        <v>0</v>
      </c>
      <c r="U418" s="11" t="str">
        <f>IF(T418=1,SUM($T$2:T418),"")</f>
        <v/>
      </c>
      <c r="V418" s="11">
        <f>IF(OR($R418="",$R418="-"),"",IF(COUNTIF($R$2:$R418,$R418)=1,1,0))</f>
        <v>1</v>
      </c>
      <c r="W418" s="11">
        <f>IF(V418=1,SUM($V$2:V418),"")</f>
        <v>156</v>
      </c>
      <c r="X418" s="11" t="str">
        <f t="shared" si="13"/>
        <v>SHOPEE</v>
      </c>
    </row>
    <row r="419" spans="1:24">
      <c r="A419" s="15" t="s">
        <v>79</v>
      </c>
      <c r="B419" s="15" t="s">
        <v>80</v>
      </c>
      <c r="C419" s="15" t="s">
        <v>965</v>
      </c>
      <c r="D419" s="13">
        <v>46217.695138888892</v>
      </c>
      <c r="E419" s="15" t="s">
        <v>73</v>
      </c>
      <c r="F419" s="15" t="s">
        <v>966</v>
      </c>
      <c r="G419" s="15" t="s">
        <v>74</v>
      </c>
      <c r="H419" s="15" t="s">
        <v>75</v>
      </c>
      <c r="I419" s="14">
        <v>12000</v>
      </c>
      <c r="J419" s="15" t="s">
        <v>967</v>
      </c>
      <c r="K419" s="15" t="s">
        <v>24</v>
      </c>
      <c r="L419" s="15">
        <v>1</v>
      </c>
      <c r="M419" s="15">
        <v>0.15</v>
      </c>
      <c r="N419" s="15" t="s">
        <v>76</v>
      </c>
      <c r="O419" s="15" t="s">
        <v>76</v>
      </c>
      <c r="P419" s="14">
        <v>57531</v>
      </c>
      <c r="Q419" s="13">
        <v>46217.695138888892</v>
      </c>
      <c r="R419" s="15" t="s">
        <v>968</v>
      </c>
      <c r="S419" s="11" t="str">
        <f t="shared" si="12"/>
        <v>2026-07-14</v>
      </c>
      <c r="T419" s="11">
        <f>IF($E419="","",IF(COUNTIF($E$2:$E419,$E419)=1,1,0))</f>
        <v>0</v>
      </c>
      <c r="U419" s="11" t="str">
        <f>IF(T419=1,SUM($T$2:T419),"")</f>
        <v/>
      </c>
      <c r="V419" s="11">
        <f>IF(OR($R419="",$R419="-"),"",IF(COUNTIF($R$2:$R419,$R419)=1,1,0))</f>
        <v>1</v>
      </c>
      <c r="W419" s="11">
        <f>IF(V419=1,SUM($V$2:V419),"")</f>
        <v>157</v>
      </c>
      <c r="X419" s="11" t="str">
        <f t="shared" si="13"/>
        <v>SHOPEE</v>
      </c>
    </row>
    <row r="420" spans="1:24">
      <c r="A420" s="15" t="s">
        <v>79</v>
      </c>
      <c r="B420" s="15" t="s">
        <v>83</v>
      </c>
      <c r="C420" s="15" t="s">
        <v>969</v>
      </c>
      <c r="D420" s="13">
        <v>46217.675694444442</v>
      </c>
      <c r="E420" s="15" t="s">
        <v>265</v>
      </c>
      <c r="F420" s="15" t="s">
        <v>970</v>
      </c>
      <c r="G420" s="15" t="s">
        <v>74</v>
      </c>
      <c r="H420" s="15" t="s">
        <v>75</v>
      </c>
      <c r="I420" s="14">
        <v>20000</v>
      </c>
      <c r="J420" s="15" t="s">
        <v>222</v>
      </c>
      <c r="K420" s="15" t="s">
        <v>30</v>
      </c>
      <c r="L420" s="15">
        <v>1</v>
      </c>
      <c r="M420" s="15">
        <v>1.5</v>
      </c>
      <c r="N420" s="15" t="s">
        <v>76</v>
      </c>
      <c r="O420" s="15" t="s">
        <v>76</v>
      </c>
      <c r="P420" s="14">
        <v>63888</v>
      </c>
      <c r="Q420" s="13">
        <v>46217.675694444442</v>
      </c>
      <c r="R420" s="15" t="s">
        <v>434</v>
      </c>
      <c r="S420" s="11" t="str">
        <f t="shared" si="12"/>
        <v>2026-07-14</v>
      </c>
      <c r="T420" s="11">
        <f>IF($E420="","",IF(COUNTIF($E$2:$E420,$E420)=1,1,0))</f>
        <v>0</v>
      </c>
      <c r="U420" s="11" t="str">
        <f>IF(T420=1,SUM($T$2:T420),"")</f>
        <v/>
      </c>
      <c r="V420" s="11">
        <f>IF(OR($R420="",$R420="-"),"",IF(COUNTIF($R$2:$R420,$R420)=1,1,0))</f>
        <v>0</v>
      </c>
      <c r="W420" s="11" t="str">
        <f>IF(V420=1,SUM($V$2:V420),"")</f>
        <v/>
      </c>
      <c r="X420" s="11" t="str">
        <f t="shared" si="13"/>
        <v>SHOPEE</v>
      </c>
    </row>
    <row r="421" spans="1:24">
      <c r="A421" s="15" t="s">
        <v>79</v>
      </c>
      <c r="B421" s="15" t="s">
        <v>83</v>
      </c>
      <c r="C421" s="15" t="s">
        <v>971</v>
      </c>
      <c r="D421" s="13">
        <v>46217.593055555553</v>
      </c>
      <c r="E421" s="15" t="s">
        <v>265</v>
      </c>
      <c r="F421" s="15" t="s">
        <v>972</v>
      </c>
      <c r="G421" s="15" t="s">
        <v>74</v>
      </c>
      <c r="H421" s="15" t="s">
        <v>75</v>
      </c>
      <c r="I421" s="14">
        <v>14000</v>
      </c>
      <c r="J421" s="15" t="s">
        <v>550</v>
      </c>
      <c r="K421" s="15" t="s">
        <v>24</v>
      </c>
      <c r="L421" s="15">
        <v>1</v>
      </c>
      <c r="M421" s="15">
        <v>0.01</v>
      </c>
      <c r="N421" s="15" t="s">
        <v>76</v>
      </c>
      <c r="O421" s="15" t="s">
        <v>76</v>
      </c>
      <c r="P421" s="14">
        <v>189000</v>
      </c>
      <c r="Q421" s="13">
        <v>46217.59375</v>
      </c>
      <c r="R421" s="15" t="s">
        <v>168</v>
      </c>
      <c r="S421" s="11" t="str">
        <f t="shared" si="12"/>
        <v>2026-07-14</v>
      </c>
      <c r="T421" s="11">
        <f>IF($E421="","",IF(COUNTIF($E$2:$E421,$E421)=1,1,0))</f>
        <v>0</v>
      </c>
      <c r="U421" s="11" t="str">
        <f>IF(T421=1,SUM($T$2:T421),"")</f>
        <v/>
      </c>
      <c r="V421" s="11">
        <f>IF(OR($R421="",$R421="-"),"",IF(COUNTIF($R$2:$R421,$R421)=1,1,0))</f>
        <v>0</v>
      </c>
      <c r="W421" s="11" t="str">
        <f>IF(V421=1,SUM($V$2:V421),"")</f>
        <v/>
      </c>
      <c r="X421" s="11" t="str">
        <f t="shared" si="13"/>
        <v>SHOPEE</v>
      </c>
    </row>
    <row r="422" spans="1:24">
      <c r="A422" s="15" t="s">
        <v>79</v>
      </c>
      <c r="B422" s="15" t="s">
        <v>80</v>
      </c>
      <c r="C422" s="15" t="s">
        <v>973</v>
      </c>
      <c r="D422" s="13">
        <v>46217.48541666667</v>
      </c>
      <c r="E422" s="15" t="s">
        <v>111</v>
      </c>
      <c r="F422" s="15" t="s">
        <v>974</v>
      </c>
      <c r="G422" s="15" t="s">
        <v>74</v>
      </c>
      <c r="H422" s="15" t="s">
        <v>75</v>
      </c>
      <c r="I422" s="14">
        <v>21000</v>
      </c>
      <c r="J422" s="15" t="s">
        <v>459</v>
      </c>
      <c r="K422" s="15" t="s">
        <v>24</v>
      </c>
      <c r="L422" s="15">
        <v>1</v>
      </c>
      <c r="M422" s="15">
        <v>0.4</v>
      </c>
      <c r="N422" s="15" t="s">
        <v>76</v>
      </c>
      <c r="O422" s="15" t="s">
        <v>76</v>
      </c>
      <c r="P422" s="14">
        <v>310000</v>
      </c>
      <c r="Q422" s="13">
        <v>46217.48541666667</v>
      </c>
      <c r="R422" s="15" t="s">
        <v>975</v>
      </c>
      <c r="S422" s="11" t="str">
        <f t="shared" si="12"/>
        <v>2026-07-14</v>
      </c>
      <c r="T422" s="11">
        <f>IF($E422="","",IF(COUNTIF($E$2:$E422,$E422)=1,1,0))</f>
        <v>0</v>
      </c>
      <c r="U422" s="11" t="str">
        <f>IF(T422=1,SUM($T$2:T422),"")</f>
        <v/>
      </c>
      <c r="V422" s="11">
        <f>IF(OR($R422="",$R422="-"),"",IF(COUNTIF($R$2:$R422,$R422)=1,1,0))</f>
        <v>1</v>
      </c>
      <c r="W422" s="11">
        <f>IF(V422=1,SUM($V$2:V422),"")</f>
        <v>158</v>
      </c>
      <c r="X422" s="11" t="str">
        <f t="shared" si="13"/>
        <v>SHOPEE</v>
      </c>
    </row>
    <row r="423" spans="1:24">
      <c r="A423" s="15" t="s">
        <v>79</v>
      </c>
      <c r="B423" s="15" t="s">
        <v>83</v>
      </c>
      <c r="C423" s="15" t="s">
        <v>976</v>
      </c>
      <c r="D423" s="13">
        <v>46216.879166666666</v>
      </c>
      <c r="E423" s="15" t="s">
        <v>73</v>
      </c>
      <c r="F423" s="15" t="s">
        <v>977</v>
      </c>
      <c r="G423" s="15" t="s">
        <v>74</v>
      </c>
      <c r="H423" s="15" t="s">
        <v>75</v>
      </c>
      <c r="I423" s="14">
        <v>12000</v>
      </c>
      <c r="J423" s="15" t="s">
        <v>119</v>
      </c>
      <c r="K423" s="15" t="s">
        <v>24</v>
      </c>
      <c r="L423" s="15">
        <v>1</v>
      </c>
      <c r="M423" s="15">
        <v>1</v>
      </c>
      <c r="N423" s="15" t="s">
        <v>76</v>
      </c>
      <c r="O423" s="15" t="s">
        <v>76</v>
      </c>
      <c r="P423" s="14">
        <v>45000</v>
      </c>
      <c r="Q423" s="13">
        <v>46216.879861111112</v>
      </c>
      <c r="R423" s="15" t="s">
        <v>978</v>
      </c>
      <c r="S423" s="11" t="str">
        <f t="shared" si="12"/>
        <v>2026-07-13</v>
      </c>
      <c r="T423" s="11">
        <f>IF($E423="","",IF(COUNTIF($E$2:$E423,$E423)=1,1,0))</f>
        <v>0</v>
      </c>
      <c r="U423" s="11" t="str">
        <f>IF(T423=1,SUM($T$2:T423),"")</f>
        <v/>
      </c>
      <c r="V423" s="11">
        <f>IF(OR($R423="",$R423="-"),"",IF(COUNTIF($R$2:$R423,$R423)=1,1,0))</f>
        <v>0</v>
      </c>
      <c r="W423" s="11" t="str">
        <f>IF(V423=1,SUM($V$2:V423),"")</f>
        <v/>
      </c>
      <c r="X423" s="11" t="str">
        <f t="shared" si="13"/>
        <v>SHOPEE</v>
      </c>
    </row>
    <row r="424" spans="1:24">
      <c r="A424" s="15" t="s">
        <v>79</v>
      </c>
      <c r="B424" s="15" t="s">
        <v>83</v>
      </c>
      <c r="C424" s="15" t="s">
        <v>979</v>
      </c>
      <c r="D424" s="13">
        <v>46216.824305555558</v>
      </c>
      <c r="E424" s="15" t="s">
        <v>265</v>
      </c>
      <c r="F424" s="15" t="s">
        <v>980</v>
      </c>
      <c r="G424" s="15" t="s">
        <v>74</v>
      </c>
      <c r="H424" s="15" t="s">
        <v>75</v>
      </c>
      <c r="I424" s="14">
        <v>36500</v>
      </c>
      <c r="J424" s="15" t="s">
        <v>981</v>
      </c>
      <c r="K424" s="15" t="s">
        <v>27</v>
      </c>
      <c r="L424" s="15">
        <v>1</v>
      </c>
      <c r="M424" s="15">
        <v>0.13</v>
      </c>
      <c r="N424" s="15" t="s">
        <v>76</v>
      </c>
      <c r="O424" s="15" t="s">
        <v>76</v>
      </c>
      <c r="P424" s="14">
        <v>190000</v>
      </c>
      <c r="Q424" s="13">
        <v>46216.824999999997</v>
      </c>
      <c r="R424" s="15" t="s">
        <v>982</v>
      </c>
      <c r="S424" s="11" t="str">
        <f t="shared" si="12"/>
        <v>2026-07-13</v>
      </c>
      <c r="T424" s="11">
        <f>IF($E424="","",IF(COUNTIF($E$2:$E424,$E424)=1,1,0))</f>
        <v>0</v>
      </c>
      <c r="U424" s="11" t="str">
        <f>IF(T424=1,SUM($T$2:T424),"")</f>
        <v/>
      </c>
      <c r="V424" s="11">
        <f>IF(OR($R424="",$R424="-"),"",IF(COUNTIF($R$2:$R424,$R424)=1,1,0))</f>
        <v>0</v>
      </c>
      <c r="W424" s="11" t="str">
        <f>IF(V424=1,SUM($V$2:V424),"")</f>
        <v/>
      </c>
      <c r="X424" s="11" t="str">
        <f t="shared" si="13"/>
        <v>SHOPEE</v>
      </c>
    </row>
    <row r="425" spans="1:24">
      <c r="A425" s="15" t="s">
        <v>79</v>
      </c>
      <c r="B425" s="15" t="s">
        <v>83</v>
      </c>
      <c r="C425" s="15" t="s">
        <v>983</v>
      </c>
      <c r="D425" s="13">
        <v>46216.790972222225</v>
      </c>
      <c r="E425" s="15" t="s">
        <v>111</v>
      </c>
      <c r="F425" s="15" t="s">
        <v>984</v>
      </c>
      <c r="G425" s="15" t="s">
        <v>74</v>
      </c>
      <c r="H425" s="15" t="s">
        <v>75</v>
      </c>
      <c r="I425" s="14">
        <v>94000</v>
      </c>
      <c r="J425" s="15" t="s">
        <v>985</v>
      </c>
      <c r="K425" s="15" t="s">
        <v>24</v>
      </c>
      <c r="L425" s="15">
        <v>7</v>
      </c>
      <c r="M425" s="15">
        <v>1.05</v>
      </c>
      <c r="N425" s="15" t="s">
        <v>76</v>
      </c>
      <c r="O425" s="15" t="s">
        <v>76</v>
      </c>
      <c r="P425" s="14">
        <v>178000</v>
      </c>
      <c r="Q425" s="13">
        <v>46216.790972222225</v>
      </c>
      <c r="R425" s="15" t="s">
        <v>118</v>
      </c>
      <c r="S425" s="11" t="str">
        <f t="shared" si="12"/>
        <v>2026-07-13</v>
      </c>
      <c r="T425" s="11">
        <f>IF($E425="","",IF(COUNTIF($E$2:$E425,$E425)=1,1,0))</f>
        <v>0</v>
      </c>
      <c r="U425" s="11" t="str">
        <f>IF(T425=1,SUM($T$2:T425),"")</f>
        <v/>
      </c>
      <c r="V425" s="11">
        <f>IF(OR($R425="",$R425="-"),"",IF(COUNTIF($R$2:$R425,$R425)=1,1,0))</f>
        <v>0</v>
      </c>
      <c r="W425" s="11" t="str">
        <f>IF(V425=1,SUM($V$2:V425),"")</f>
        <v/>
      </c>
      <c r="X425" s="11" t="str">
        <f t="shared" si="13"/>
        <v>SHOPEE</v>
      </c>
    </row>
    <row r="426" spans="1:24">
      <c r="A426" s="15" t="s">
        <v>71</v>
      </c>
      <c r="B426" s="15" t="s">
        <v>72</v>
      </c>
      <c r="C426" s="15" t="s">
        <v>983</v>
      </c>
      <c r="D426" s="13">
        <v>46216.790972222225</v>
      </c>
      <c r="E426" s="15" t="s">
        <v>111</v>
      </c>
      <c r="F426" s="15" t="s">
        <v>987</v>
      </c>
      <c r="G426" s="15" t="s">
        <v>74</v>
      </c>
      <c r="H426" s="15" t="s">
        <v>75</v>
      </c>
      <c r="I426" s="14">
        <v>12000</v>
      </c>
      <c r="J426" s="15" t="s">
        <v>201</v>
      </c>
      <c r="K426" s="15" t="s">
        <v>24</v>
      </c>
      <c r="L426" s="15">
        <v>1</v>
      </c>
      <c r="M426" s="15">
        <v>0.3</v>
      </c>
      <c r="N426" s="15" t="s">
        <v>76</v>
      </c>
      <c r="O426" s="15" t="s">
        <v>76</v>
      </c>
      <c r="P426" s="14">
        <v>51000</v>
      </c>
      <c r="Q426" s="13">
        <v>46216.790972222225</v>
      </c>
      <c r="R426" s="15" t="s">
        <v>78</v>
      </c>
      <c r="S426" s="11" t="str">
        <f t="shared" si="12"/>
        <v>2026-07-13</v>
      </c>
      <c r="T426" s="11">
        <f>IF($E426="","",IF(COUNTIF($E$2:$E426,$E426)=1,1,0))</f>
        <v>0</v>
      </c>
      <c r="U426" s="11" t="str">
        <f>IF(T426=1,SUM($T$2:T426),"")</f>
        <v/>
      </c>
      <c r="V426" s="11">
        <f>IF(OR($R426="",$R426="-"),"",IF(COUNTIF($R$2:$R426,$R426)=1,1,0))</f>
        <v>0</v>
      </c>
      <c r="W426" s="11" t="str">
        <f>IF(V426=1,SUM($V$2:V426),"")</f>
        <v/>
      </c>
      <c r="X426" s="11" t="str">
        <f t="shared" si="13"/>
        <v>TOKOPEDIA</v>
      </c>
    </row>
    <row r="427" spans="1:24">
      <c r="A427" s="15" t="s">
        <v>71</v>
      </c>
      <c r="B427" s="15" t="s">
        <v>250</v>
      </c>
      <c r="C427" s="15" t="s">
        <v>983</v>
      </c>
      <c r="D427" s="13">
        <v>46216.790972222225</v>
      </c>
      <c r="E427" s="15" t="s">
        <v>111</v>
      </c>
      <c r="F427" s="15" t="s">
        <v>986</v>
      </c>
      <c r="G427" s="15" t="s">
        <v>74</v>
      </c>
      <c r="H427" s="15" t="s">
        <v>75</v>
      </c>
      <c r="I427" s="14">
        <v>12000</v>
      </c>
      <c r="J427" s="15" t="s">
        <v>140</v>
      </c>
      <c r="K427" s="15" t="s">
        <v>24</v>
      </c>
      <c r="L427" s="15">
        <v>1</v>
      </c>
      <c r="M427" s="15">
        <v>0.6</v>
      </c>
      <c r="N427" s="15" t="s">
        <v>76</v>
      </c>
      <c r="O427" s="15" t="s">
        <v>76</v>
      </c>
      <c r="P427" s="14">
        <v>72000</v>
      </c>
      <c r="Q427" s="13">
        <v>46216.790972222225</v>
      </c>
      <c r="R427" s="15" t="s">
        <v>77</v>
      </c>
      <c r="S427" s="11" t="str">
        <f t="shared" si="12"/>
        <v>2026-07-13</v>
      </c>
      <c r="T427" s="11">
        <f>IF($E427="","",IF(COUNTIF($E$2:$E427,$E427)=1,1,0))</f>
        <v>0</v>
      </c>
      <c r="U427" s="11" t="str">
        <f>IF(T427=1,SUM($T$2:T427),"")</f>
        <v/>
      </c>
      <c r="V427" s="11">
        <f>IF(OR($R427="",$R427="-"),"",IF(COUNTIF($R$2:$R427,$R427)=1,1,0))</f>
        <v>0</v>
      </c>
      <c r="W427" s="11" t="str">
        <f>IF(V427=1,SUM($V$2:V427),"")</f>
        <v/>
      </c>
      <c r="X427" s="11" t="str">
        <f t="shared" si="13"/>
        <v>TOKOPEDIA</v>
      </c>
    </row>
    <row r="428" spans="1:24">
      <c r="A428" s="15" t="s">
        <v>71</v>
      </c>
      <c r="B428" s="15" t="s">
        <v>72</v>
      </c>
      <c r="C428" s="15" t="s">
        <v>983</v>
      </c>
      <c r="D428" s="13">
        <v>46216.790972222225</v>
      </c>
      <c r="E428" s="15" t="s">
        <v>111</v>
      </c>
      <c r="F428" s="15" t="s">
        <v>988</v>
      </c>
      <c r="G428" s="15" t="s">
        <v>74</v>
      </c>
      <c r="H428" s="15" t="s">
        <v>75</v>
      </c>
      <c r="I428" s="14">
        <v>26000</v>
      </c>
      <c r="J428" s="15" t="s">
        <v>989</v>
      </c>
      <c r="K428" s="15" t="s">
        <v>24</v>
      </c>
      <c r="L428" s="15">
        <v>1</v>
      </c>
      <c r="M428" s="15">
        <v>0.3</v>
      </c>
      <c r="N428" s="15" t="s">
        <v>76</v>
      </c>
      <c r="O428" s="15" t="s">
        <v>76</v>
      </c>
      <c r="P428" s="14">
        <v>36000</v>
      </c>
      <c r="Q428" s="13">
        <v>46216.790972222225</v>
      </c>
      <c r="R428" s="15" t="s">
        <v>77</v>
      </c>
      <c r="S428" s="11" t="str">
        <f t="shared" si="12"/>
        <v>2026-07-13</v>
      </c>
      <c r="T428" s="11">
        <f>IF($E428="","",IF(COUNTIF($E$2:$E428,$E428)=1,1,0))</f>
        <v>0</v>
      </c>
      <c r="U428" s="11" t="str">
        <f>IF(T428=1,SUM($T$2:T428),"")</f>
        <v/>
      </c>
      <c r="V428" s="11">
        <f>IF(OR($R428="",$R428="-"),"",IF(COUNTIF($R$2:$R428,$R428)=1,1,0))</f>
        <v>0</v>
      </c>
      <c r="W428" s="11" t="str">
        <f>IF(V428=1,SUM($V$2:V428),"")</f>
        <v/>
      </c>
      <c r="X428" s="11" t="str">
        <f t="shared" si="13"/>
        <v>TOKOPEDIA</v>
      </c>
    </row>
    <row r="429" spans="1:24">
      <c r="A429" s="15" t="s">
        <v>79</v>
      </c>
      <c r="B429" s="15" t="s">
        <v>83</v>
      </c>
      <c r="C429" s="15" t="s">
        <v>983</v>
      </c>
      <c r="D429" s="13">
        <v>46216.790972222225</v>
      </c>
      <c r="E429" s="15" t="s">
        <v>111</v>
      </c>
      <c r="F429" s="15" t="s">
        <v>990</v>
      </c>
      <c r="G429" s="15" t="s">
        <v>74</v>
      </c>
      <c r="H429" s="15" t="s">
        <v>75</v>
      </c>
      <c r="I429" s="14">
        <v>11000</v>
      </c>
      <c r="J429" s="15" t="s">
        <v>991</v>
      </c>
      <c r="K429" s="15" t="s">
        <v>27</v>
      </c>
      <c r="L429" s="15">
        <v>1</v>
      </c>
      <c r="M429" s="15">
        <v>0.1</v>
      </c>
      <c r="N429" s="15" t="s">
        <v>76</v>
      </c>
      <c r="O429" s="15" t="s">
        <v>76</v>
      </c>
      <c r="P429" s="14">
        <v>15000</v>
      </c>
      <c r="Q429" s="13">
        <v>46216.790972222225</v>
      </c>
      <c r="R429" s="15" t="s">
        <v>118</v>
      </c>
      <c r="S429" s="11" t="str">
        <f t="shared" si="12"/>
        <v>2026-07-13</v>
      </c>
      <c r="T429" s="11">
        <f>IF($E429="","",IF(COUNTIF($E$2:$E429,$E429)=1,1,0))</f>
        <v>0</v>
      </c>
      <c r="U429" s="11" t="str">
        <f>IF(T429=1,SUM($T$2:T429),"")</f>
        <v/>
      </c>
      <c r="V429" s="11">
        <f>IF(OR($R429="",$R429="-"),"",IF(COUNTIF($R$2:$R429,$R429)=1,1,0))</f>
        <v>0</v>
      </c>
      <c r="W429" s="11" t="str">
        <f>IF(V429=1,SUM($V$2:V429),"")</f>
        <v/>
      </c>
      <c r="X429" s="11" t="str">
        <f t="shared" si="13"/>
        <v>SHOPEE</v>
      </c>
    </row>
    <row r="430" spans="1:24">
      <c r="A430" s="15" t="s">
        <v>79</v>
      </c>
      <c r="B430" s="15" t="s">
        <v>83</v>
      </c>
      <c r="C430" s="15" t="s">
        <v>992</v>
      </c>
      <c r="D430" s="13">
        <v>46216.756944444445</v>
      </c>
      <c r="E430" s="15" t="s">
        <v>111</v>
      </c>
      <c r="F430" s="15" t="s">
        <v>993</v>
      </c>
      <c r="G430" s="15" t="s">
        <v>74</v>
      </c>
      <c r="H430" s="15" t="s">
        <v>75</v>
      </c>
      <c r="I430" s="14">
        <v>12000</v>
      </c>
      <c r="J430" s="15" t="s">
        <v>120</v>
      </c>
      <c r="K430" s="15" t="s">
        <v>24</v>
      </c>
      <c r="L430" s="15">
        <v>2</v>
      </c>
      <c r="M430" s="15">
        <v>1.27</v>
      </c>
      <c r="N430" s="15" t="s">
        <v>76</v>
      </c>
      <c r="O430" s="15" t="s">
        <v>76</v>
      </c>
      <c r="P430" s="14">
        <v>418900</v>
      </c>
      <c r="Q430" s="13">
        <v>46216.756944444445</v>
      </c>
      <c r="R430" s="15" t="s">
        <v>133</v>
      </c>
      <c r="S430" s="11" t="str">
        <f t="shared" si="12"/>
        <v>2026-07-13</v>
      </c>
      <c r="T430" s="11">
        <f>IF($E430="","",IF(COUNTIF($E$2:$E430,$E430)=1,1,0))</f>
        <v>0</v>
      </c>
      <c r="U430" s="11" t="str">
        <f>IF(T430=1,SUM($T$2:T430),"")</f>
        <v/>
      </c>
      <c r="V430" s="11">
        <f>IF(OR($R430="",$R430="-"),"",IF(COUNTIF($R$2:$R430,$R430)=1,1,0))</f>
        <v>0</v>
      </c>
      <c r="W430" s="11" t="str">
        <f>IF(V430=1,SUM($V$2:V430),"")</f>
        <v/>
      </c>
      <c r="X430" s="11" t="str">
        <f t="shared" si="13"/>
        <v>SHOPEE</v>
      </c>
    </row>
    <row r="431" spans="1:24">
      <c r="A431" s="15" t="s">
        <v>994</v>
      </c>
      <c r="B431" s="15" t="s">
        <v>72</v>
      </c>
      <c r="C431" s="15" t="s">
        <v>995</v>
      </c>
      <c r="D431" s="13">
        <v>46216.705555555556</v>
      </c>
      <c r="E431" s="15" t="s">
        <v>111</v>
      </c>
      <c r="F431" s="15" t="s">
        <v>996</v>
      </c>
      <c r="G431" s="15" t="s">
        <v>74</v>
      </c>
      <c r="H431" s="15" t="s">
        <v>75</v>
      </c>
      <c r="I431" s="14">
        <v>12000</v>
      </c>
      <c r="J431" s="15" t="s">
        <v>81</v>
      </c>
      <c r="K431" s="15" t="s">
        <v>24</v>
      </c>
      <c r="L431" s="15">
        <v>1</v>
      </c>
      <c r="M431" s="15">
        <v>0.7</v>
      </c>
      <c r="N431" s="15" t="s">
        <v>76</v>
      </c>
      <c r="O431" s="15" t="s">
        <v>76</v>
      </c>
      <c r="P431" s="14">
        <v>140000</v>
      </c>
      <c r="Q431" s="13">
        <v>46216.706250000003</v>
      </c>
      <c r="R431" s="15" t="s">
        <v>997</v>
      </c>
      <c r="S431" s="11" t="str">
        <f t="shared" si="12"/>
        <v>2026-07-13</v>
      </c>
      <c r="T431" s="11">
        <f>IF($E431="","",IF(COUNTIF($E$2:$E431,$E431)=1,1,0))</f>
        <v>0</v>
      </c>
      <c r="U431" s="11" t="str">
        <f>IF(T431=1,SUM($T$2:T431),"")</f>
        <v/>
      </c>
      <c r="V431" s="11">
        <f>IF(OR($R431="",$R431="-"),"",IF(COUNTIF($R$2:$R431,$R431)=1,1,0))</f>
        <v>1</v>
      </c>
      <c r="W431" s="11">
        <f>IF(V431=1,SUM($V$2:V431),"")</f>
        <v>159</v>
      </c>
      <c r="X431" s="11" t="str">
        <f t="shared" si="13"/>
        <v>TOKOPEDIA</v>
      </c>
    </row>
    <row r="432" spans="1:24">
      <c r="A432" s="15" t="s">
        <v>79</v>
      </c>
      <c r="B432" s="15" t="s">
        <v>80</v>
      </c>
      <c r="C432" s="15" t="s">
        <v>998</v>
      </c>
      <c r="D432" s="13">
        <v>46216.698611111111</v>
      </c>
      <c r="E432" s="15" t="s">
        <v>265</v>
      </c>
      <c r="F432" s="15" t="s">
        <v>999</v>
      </c>
      <c r="G432" s="15" t="s">
        <v>74</v>
      </c>
      <c r="H432" s="15" t="s">
        <v>75</v>
      </c>
      <c r="I432" s="14">
        <v>12000</v>
      </c>
      <c r="J432" s="15" t="s">
        <v>117</v>
      </c>
      <c r="K432" s="15" t="s">
        <v>24</v>
      </c>
      <c r="L432" s="15">
        <v>1</v>
      </c>
      <c r="M432" s="15">
        <v>0.36</v>
      </c>
      <c r="N432" s="15" t="s">
        <v>76</v>
      </c>
      <c r="O432" s="15" t="s">
        <v>76</v>
      </c>
      <c r="P432" s="14">
        <v>373620</v>
      </c>
      <c r="Q432" s="13">
        <v>46216.699305555558</v>
      </c>
      <c r="R432" s="15" t="s">
        <v>1000</v>
      </c>
      <c r="S432" s="11" t="str">
        <f t="shared" si="12"/>
        <v>2026-07-13</v>
      </c>
      <c r="T432" s="11">
        <f>IF($E432="","",IF(COUNTIF($E$2:$E432,$E432)=1,1,0))</f>
        <v>0</v>
      </c>
      <c r="U432" s="11" t="str">
        <f>IF(T432=1,SUM($T$2:T432),"")</f>
        <v/>
      </c>
      <c r="V432" s="11">
        <f>IF(OR($R432="",$R432="-"),"",IF(COUNTIF($R$2:$R432,$R432)=1,1,0))</f>
        <v>1</v>
      </c>
      <c r="W432" s="11">
        <f>IF(V432=1,SUM($V$2:V432),"")</f>
        <v>160</v>
      </c>
      <c r="X432" s="11" t="str">
        <f t="shared" si="13"/>
        <v>SHOPEE</v>
      </c>
    </row>
    <row r="433" spans="1:24">
      <c r="A433" s="15" t="s">
        <v>79</v>
      </c>
      <c r="B433" s="15" t="s">
        <v>83</v>
      </c>
      <c r="C433" s="15" t="s">
        <v>1001</v>
      </c>
      <c r="D433" s="13">
        <v>46216.695833333331</v>
      </c>
      <c r="E433" s="15" t="s">
        <v>265</v>
      </c>
      <c r="F433" s="15" t="s">
        <v>1002</v>
      </c>
      <c r="G433" s="15" t="s">
        <v>74</v>
      </c>
      <c r="H433" s="15" t="s">
        <v>75</v>
      </c>
      <c r="I433" s="14">
        <v>15000</v>
      </c>
      <c r="J433" s="15" t="s">
        <v>198</v>
      </c>
      <c r="K433" s="15" t="s">
        <v>25</v>
      </c>
      <c r="L433" s="15">
        <v>3</v>
      </c>
      <c r="M433" s="15">
        <v>0.26</v>
      </c>
      <c r="N433" s="15" t="s">
        <v>76</v>
      </c>
      <c r="O433" s="15" t="s">
        <v>76</v>
      </c>
      <c r="P433" s="14">
        <v>60000</v>
      </c>
      <c r="Q433" s="13">
        <v>46216.695833333331</v>
      </c>
      <c r="R433" s="15" t="s">
        <v>143</v>
      </c>
      <c r="S433" s="11" t="str">
        <f t="shared" si="12"/>
        <v>2026-07-13</v>
      </c>
      <c r="T433" s="11">
        <f>IF($E433="","",IF(COUNTIF($E$2:$E433,$E433)=1,1,0))</f>
        <v>0</v>
      </c>
      <c r="U433" s="11" t="str">
        <f>IF(T433=1,SUM($T$2:T433),"")</f>
        <v/>
      </c>
      <c r="V433" s="11">
        <f>IF(OR($R433="",$R433="-"),"",IF(COUNTIF($R$2:$R433,$R433)=1,1,0))</f>
        <v>0</v>
      </c>
      <c r="W433" s="11" t="str">
        <f>IF(V433=1,SUM($V$2:V433),"")</f>
        <v/>
      </c>
      <c r="X433" s="11" t="str">
        <f t="shared" si="13"/>
        <v>SHOPEE</v>
      </c>
    </row>
    <row r="434" spans="1:24">
      <c r="A434" s="15" t="s">
        <v>79</v>
      </c>
      <c r="B434" s="15" t="s">
        <v>83</v>
      </c>
      <c r="C434" s="15" t="s">
        <v>1005</v>
      </c>
      <c r="D434" s="13">
        <v>46216.686111111114</v>
      </c>
      <c r="E434" s="15" t="s">
        <v>111</v>
      </c>
      <c r="F434" s="15" t="s">
        <v>1008</v>
      </c>
      <c r="G434" s="15" t="s">
        <v>74</v>
      </c>
      <c r="H434" s="15" t="s">
        <v>75</v>
      </c>
      <c r="I434" s="14">
        <v>21000</v>
      </c>
      <c r="J434" s="15" t="s">
        <v>293</v>
      </c>
      <c r="K434" s="15" t="s">
        <v>24</v>
      </c>
      <c r="L434" s="15">
        <v>1</v>
      </c>
      <c r="M434" s="15">
        <v>0.2</v>
      </c>
      <c r="N434" s="15" t="s">
        <v>76</v>
      </c>
      <c r="O434" s="15" t="s">
        <v>76</v>
      </c>
      <c r="P434" s="14">
        <v>350000</v>
      </c>
      <c r="Q434" s="13">
        <v>46216.686805555553</v>
      </c>
      <c r="R434" s="15" t="s">
        <v>266</v>
      </c>
      <c r="S434" s="11" t="str">
        <f t="shared" si="12"/>
        <v>2026-07-13</v>
      </c>
      <c r="T434" s="11">
        <f>IF($E434="","",IF(COUNTIF($E$2:$E434,$E434)=1,1,0))</f>
        <v>0</v>
      </c>
      <c r="U434" s="11" t="str">
        <f>IF(T434=1,SUM($T$2:T434),"")</f>
        <v/>
      </c>
      <c r="V434" s="11">
        <f>IF(OR($R434="",$R434="-"),"",IF(COUNTIF($R$2:$R434,$R434)=1,1,0))</f>
        <v>0</v>
      </c>
      <c r="W434" s="11" t="str">
        <f>IF(V434=1,SUM($V$2:V434),"")</f>
        <v/>
      </c>
      <c r="X434" s="11" t="str">
        <f t="shared" si="13"/>
        <v>SHOPEE</v>
      </c>
    </row>
    <row r="435" spans="1:24">
      <c r="A435" s="15" t="s">
        <v>79</v>
      </c>
      <c r="B435" s="15" t="s">
        <v>83</v>
      </c>
      <c r="C435" s="15" t="s">
        <v>1005</v>
      </c>
      <c r="D435" s="13">
        <v>46216.686111111114</v>
      </c>
      <c r="E435" s="15" t="s">
        <v>111</v>
      </c>
      <c r="F435" s="15" t="s">
        <v>1006</v>
      </c>
      <c r="G435" s="15" t="s">
        <v>74</v>
      </c>
      <c r="H435" s="15" t="s">
        <v>75</v>
      </c>
      <c r="I435" s="14">
        <v>23000</v>
      </c>
      <c r="J435" s="15" t="s">
        <v>1007</v>
      </c>
      <c r="K435" s="15" t="s">
        <v>24</v>
      </c>
      <c r="L435" s="15">
        <v>1</v>
      </c>
      <c r="M435" s="15">
        <v>0.2</v>
      </c>
      <c r="N435" s="15" t="s">
        <v>76</v>
      </c>
      <c r="O435" s="15" t="s">
        <v>76</v>
      </c>
      <c r="P435" s="14">
        <v>315000</v>
      </c>
      <c r="Q435" s="13">
        <v>46216.686805555553</v>
      </c>
      <c r="R435" s="15" t="s">
        <v>266</v>
      </c>
      <c r="S435" s="11" t="str">
        <f t="shared" si="12"/>
        <v>2026-07-13</v>
      </c>
      <c r="T435" s="11">
        <f>IF($E435="","",IF(COUNTIF($E$2:$E435,$E435)=1,1,0))</f>
        <v>0</v>
      </c>
      <c r="U435" s="11" t="str">
        <f>IF(T435=1,SUM($T$2:T435),"")</f>
        <v/>
      </c>
      <c r="V435" s="11">
        <f>IF(OR($R435="",$R435="-"),"",IF(COUNTIF($R$2:$R435,$R435)=1,1,0))</f>
        <v>0</v>
      </c>
      <c r="W435" s="11" t="str">
        <f>IF(V435=1,SUM($V$2:V435),"")</f>
        <v/>
      </c>
      <c r="X435" s="11" t="str">
        <f t="shared" si="13"/>
        <v>SHOPEE</v>
      </c>
    </row>
    <row r="436" spans="1:24">
      <c r="A436" s="15" t="s">
        <v>79</v>
      </c>
      <c r="B436" s="15" t="s">
        <v>83</v>
      </c>
      <c r="C436" s="15" t="s">
        <v>1003</v>
      </c>
      <c r="D436" s="13">
        <v>46216.686111111114</v>
      </c>
      <c r="E436" s="15" t="s">
        <v>111</v>
      </c>
      <c r="F436" s="15" t="s">
        <v>1004</v>
      </c>
      <c r="G436" s="15" t="s">
        <v>74</v>
      </c>
      <c r="H436" s="15" t="s">
        <v>75</v>
      </c>
      <c r="I436" s="14">
        <v>11000</v>
      </c>
      <c r="J436" s="15" t="s">
        <v>459</v>
      </c>
      <c r="K436" s="15" t="s">
        <v>27</v>
      </c>
      <c r="L436" s="15">
        <v>2</v>
      </c>
      <c r="M436" s="15">
        <v>0.02</v>
      </c>
      <c r="N436" s="15" t="s">
        <v>76</v>
      </c>
      <c r="O436" s="15" t="s">
        <v>76</v>
      </c>
      <c r="P436" s="14">
        <v>302248</v>
      </c>
      <c r="Q436" s="13">
        <v>46216.686111111114</v>
      </c>
      <c r="R436" s="15" t="s">
        <v>168</v>
      </c>
      <c r="S436" s="11" t="str">
        <f t="shared" si="12"/>
        <v>2026-07-13</v>
      </c>
      <c r="T436" s="11">
        <f>IF($E436="","",IF(COUNTIF($E$2:$E436,$E436)=1,1,0))</f>
        <v>0</v>
      </c>
      <c r="U436" s="11" t="str">
        <f>IF(T436=1,SUM($T$2:T436),"")</f>
        <v/>
      </c>
      <c r="V436" s="11">
        <f>IF(OR($R436="",$R436="-"),"",IF(COUNTIF($R$2:$R436,$R436)=1,1,0))</f>
        <v>0</v>
      </c>
      <c r="W436" s="11" t="str">
        <f>IF(V436=1,SUM($V$2:V436),"")</f>
        <v/>
      </c>
      <c r="X436" s="11" t="str">
        <f t="shared" si="13"/>
        <v>SHOPEE</v>
      </c>
    </row>
    <row r="437" spans="1:24">
      <c r="A437" s="15" t="s">
        <v>79</v>
      </c>
      <c r="B437" s="15" t="s">
        <v>83</v>
      </c>
      <c r="C437" s="15" t="s">
        <v>1003</v>
      </c>
      <c r="D437" s="13">
        <v>46216.686111111114</v>
      </c>
      <c r="E437" s="15" t="s">
        <v>111</v>
      </c>
      <c r="F437" s="15" t="s">
        <v>1009</v>
      </c>
      <c r="G437" s="15" t="s">
        <v>74</v>
      </c>
      <c r="H437" s="15" t="s">
        <v>75</v>
      </c>
      <c r="I437" s="14">
        <v>48000</v>
      </c>
      <c r="J437" s="15" t="s">
        <v>1010</v>
      </c>
      <c r="K437" s="15" t="s">
        <v>24</v>
      </c>
      <c r="L437" s="15">
        <v>1</v>
      </c>
      <c r="M437" s="15">
        <v>1</v>
      </c>
      <c r="N437" s="15" t="s">
        <v>76</v>
      </c>
      <c r="O437" s="15" t="s">
        <v>76</v>
      </c>
      <c r="P437" s="14">
        <v>500000</v>
      </c>
      <c r="Q437" s="13">
        <v>46216.686111111114</v>
      </c>
      <c r="R437" s="15" t="s">
        <v>168</v>
      </c>
      <c r="S437" s="11" t="str">
        <f t="shared" si="12"/>
        <v>2026-07-13</v>
      </c>
      <c r="T437" s="11">
        <f>IF($E437="","",IF(COUNTIF($E$2:$E437,$E437)=1,1,0))</f>
        <v>0</v>
      </c>
      <c r="U437" s="11" t="str">
        <f>IF(T437=1,SUM($T$2:T437),"")</f>
        <v/>
      </c>
      <c r="V437" s="11">
        <f>IF(OR($R437="",$R437="-"),"",IF(COUNTIF($R$2:$R437,$R437)=1,1,0))</f>
        <v>0</v>
      </c>
      <c r="W437" s="11" t="str">
        <f>IF(V437=1,SUM($V$2:V437),"")</f>
        <v/>
      </c>
      <c r="X437" s="11" t="str">
        <f t="shared" si="13"/>
        <v>SHOPEE</v>
      </c>
    </row>
    <row r="438" spans="1:24">
      <c r="A438" s="15" t="s">
        <v>79</v>
      </c>
      <c r="B438" s="15" t="s">
        <v>83</v>
      </c>
      <c r="C438" s="15" t="s">
        <v>1003</v>
      </c>
      <c r="D438" s="13">
        <v>46216.686111111114</v>
      </c>
      <c r="E438" s="15" t="s">
        <v>111</v>
      </c>
      <c r="F438" s="15" t="s">
        <v>1011</v>
      </c>
      <c r="G438" s="15" t="s">
        <v>74</v>
      </c>
      <c r="H438" s="15" t="s">
        <v>75</v>
      </c>
      <c r="I438" s="14">
        <v>8500</v>
      </c>
      <c r="J438" s="15" t="s">
        <v>1012</v>
      </c>
      <c r="K438" s="15" t="s">
        <v>27</v>
      </c>
      <c r="L438" s="15">
        <v>1</v>
      </c>
      <c r="M438" s="15">
        <v>0.5</v>
      </c>
      <c r="N438" s="15" t="s">
        <v>76</v>
      </c>
      <c r="O438" s="15" t="s">
        <v>76</v>
      </c>
      <c r="P438" s="14">
        <v>60000</v>
      </c>
      <c r="Q438" s="13">
        <v>46216.686111111114</v>
      </c>
      <c r="R438" s="15" t="s">
        <v>168</v>
      </c>
      <c r="S438" s="11" t="str">
        <f t="shared" si="12"/>
        <v>2026-07-13</v>
      </c>
      <c r="T438" s="11">
        <f>IF($E438="","",IF(COUNTIF($E$2:$E438,$E438)=1,1,0))</f>
        <v>0</v>
      </c>
      <c r="U438" s="11" t="str">
        <f>IF(T438=1,SUM($T$2:T438),"")</f>
        <v/>
      </c>
      <c r="V438" s="11">
        <f>IF(OR($R438="",$R438="-"),"",IF(COUNTIF($R$2:$R438,$R438)=1,1,0))</f>
        <v>0</v>
      </c>
      <c r="W438" s="11" t="str">
        <f>IF(V438=1,SUM($V$2:V438),"")</f>
        <v/>
      </c>
      <c r="X438" s="11" t="str">
        <f t="shared" si="13"/>
        <v>SHOPEE</v>
      </c>
    </row>
    <row r="439" spans="1:24">
      <c r="A439" s="15" t="s">
        <v>79</v>
      </c>
      <c r="B439" s="15" t="s">
        <v>83</v>
      </c>
      <c r="C439" s="15" t="s">
        <v>1013</v>
      </c>
      <c r="D439" s="13">
        <v>46216.68472222222</v>
      </c>
      <c r="E439" s="15" t="s">
        <v>111</v>
      </c>
      <c r="F439" s="15" t="s">
        <v>1014</v>
      </c>
      <c r="G439" s="15" t="s">
        <v>74</v>
      </c>
      <c r="H439" s="15" t="s">
        <v>75</v>
      </c>
      <c r="I439" s="14">
        <v>15000</v>
      </c>
      <c r="J439" s="15" t="s">
        <v>92</v>
      </c>
      <c r="K439" s="15" t="s">
        <v>25</v>
      </c>
      <c r="L439" s="15">
        <v>2</v>
      </c>
      <c r="M439" s="15">
        <v>0.35</v>
      </c>
      <c r="N439" s="15" t="s">
        <v>76</v>
      </c>
      <c r="O439" s="15" t="s">
        <v>76</v>
      </c>
      <c r="P439" s="14">
        <v>318000</v>
      </c>
      <c r="Q439" s="13">
        <v>46216.685416666667</v>
      </c>
      <c r="R439" s="15" t="s">
        <v>1015</v>
      </c>
      <c r="S439" s="11" t="str">
        <f t="shared" si="12"/>
        <v>2026-07-13</v>
      </c>
      <c r="T439" s="11">
        <f>IF($E439="","",IF(COUNTIF($E$2:$E439,$E439)=1,1,0))</f>
        <v>0</v>
      </c>
      <c r="U439" s="11" t="str">
        <f>IF(T439=1,SUM($T$2:T439),"")</f>
        <v/>
      </c>
      <c r="V439" s="11">
        <f>IF(OR($R439="",$R439="-"),"",IF(COUNTIF($R$2:$R439,$R439)=1,1,0))</f>
        <v>0</v>
      </c>
      <c r="W439" s="11" t="str">
        <f>IF(V439=1,SUM($V$2:V439),"")</f>
        <v/>
      </c>
      <c r="X439" s="11" t="str">
        <f t="shared" si="13"/>
        <v>SHOPEE</v>
      </c>
    </row>
    <row r="440" spans="1:24">
      <c r="A440" s="15" t="s">
        <v>79</v>
      </c>
      <c r="B440" s="15" t="s">
        <v>83</v>
      </c>
      <c r="C440" s="15" t="s">
        <v>1016</v>
      </c>
      <c r="D440" s="13">
        <v>46216.636805555558</v>
      </c>
      <c r="E440" s="15" t="s">
        <v>111</v>
      </c>
      <c r="F440" s="15" t="s">
        <v>1017</v>
      </c>
      <c r="G440" s="15" t="s">
        <v>74</v>
      </c>
      <c r="H440" s="15" t="s">
        <v>75</v>
      </c>
      <c r="I440" s="14">
        <v>32000</v>
      </c>
      <c r="J440" s="15" t="s">
        <v>1018</v>
      </c>
      <c r="K440" s="15" t="s">
        <v>27</v>
      </c>
      <c r="L440" s="15">
        <v>1</v>
      </c>
      <c r="M440" s="15">
        <v>0.25</v>
      </c>
      <c r="N440" s="15" t="s">
        <v>76</v>
      </c>
      <c r="O440" s="15" t="s">
        <v>76</v>
      </c>
      <c r="P440" s="14">
        <v>585000</v>
      </c>
      <c r="Q440" s="13">
        <v>46216.636805555558</v>
      </c>
      <c r="R440" s="15" t="s">
        <v>298</v>
      </c>
      <c r="S440" s="11" t="str">
        <f t="shared" si="12"/>
        <v>2026-07-13</v>
      </c>
      <c r="T440" s="11">
        <f>IF($E440="","",IF(COUNTIF($E$2:$E440,$E440)=1,1,0))</f>
        <v>0</v>
      </c>
      <c r="U440" s="11" t="str">
        <f>IF(T440=1,SUM($T$2:T440),"")</f>
        <v/>
      </c>
      <c r="V440" s="11">
        <f>IF(OR($R440="",$R440="-"),"",IF(COUNTIF($R$2:$R440,$R440)=1,1,0))</f>
        <v>0</v>
      </c>
      <c r="W440" s="11" t="str">
        <f>IF(V440=1,SUM($V$2:V440),"")</f>
        <v/>
      </c>
      <c r="X440" s="11" t="str">
        <f t="shared" si="13"/>
        <v>SHOPEE</v>
      </c>
    </row>
    <row r="441" spans="1:24">
      <c r="A441" s="15" t="s">
        <v>79</v>
      </c>
      <c r="B441" s="15" t="s">
        <v>83</v>
      </c>
      <c r="C441" s="15" t="s">
        <v>1019</v>
      </c>
      <c r="D441" s="13">
        <v>46216.589583333334</v>
      </c>
      <c r="E441" s="15" t="s">
        <v>111</v>
      </c>
      <c r="F441" s="15" t="s">
        <v>1024</v>
      </c>
      <c r="G441" s="15" t="s">
        <v>74</v>
      </c>
      <c r="H441" s="15" t="s">
        <v>75</v>
      </c>
      <c r="I441" s="14">
        <v>5500</v>
      </c>
      <c r="J441" s="15" t="s">
        <v>222</v>
      </c>
      <c r="K441" s="15" t="s">
        <v>28</v>
      </c>
      <c r="L441" s="15">
        <v>1</v>
      </c>
      <c r="M441" s="15">
        <v>0.1</v>
      </c>
      <c r="N441" s="15" t="s">
        <v>76</v>
      </c>
      <c r="O441" s="15" t="s">
        <v>76</v>
      </c>
      <c r="P441" s="14">
        <v>275000</v>
      </c>
      <c r="Q441" s="13">
        <v>46216.62222222222</v>
      </c>
      <c r="R441" s="15" t="s">
        <v>168</v>
      </c>
      <c r="S441" s="11" t="str">
        <f t="shared" si="12"/>
        <v>2026-07-13</v>
      </c>
      <c r="T441" s="11">
        <f>IF($E441="","",IF(COUNTIF($E$2:$E441,$E441)=1,1,0))</f>
        <v>0</v>
      </c>
      <c r="U441" s="11" t="str">
        <f>IF(T441=1,SUM($T$2:T441),"")</f>
        <v/>
      </c>
      <c r="V441" s="11">
        <f>IF(OR($R441="",$R441="-"),"",IF(COUNTIF($R$2:$R441,$R441)=1,1,0))</f>
        <v>0</v>
      </c>
      <c r="W441" s="11" t="str">
        <f>IF(V441=1,SUM($V$2:V441),"")</f>
        <v/>
      </c>
      <c r="X441" s="11" t="str">
        <f t="shared" si="13"/>
        <v>SHOPEE</v>
      </c>
    </row>
    <row r="442" spans="1:24">
      <c r="A442" s="15" t="s">
        <v>79</v>
      </c>
      <c r="B442" s="15" t="s">
        <v>83</v>
      </c>
      <c r="C442" s="15" t="s">
        <v>1019</v>
      </c>
      <c r="D442" s="13">
        <v>46216.589583333334</v>
      </c>
      <c r="E442" s="15" t="s">
        <v>111</v>
      </c>
      <c r="F442" s="15" t="s">
        <v>1022</v>
      </c>
      <c r="G442" s="15" t="s">
        <v>74</v>
      </c>
      <c r="H442" s="15" t="s">
        <v>75</v>
      </c>
      <c r="I442" s="14">
        <v>18000</v>
      </c>
      <c r="J442" s="15" t="s">
        <v>1023</v>
      </c>
      <c r="K442" s="15" t="s">
        <v>24</v>
      </c>
      <c r="L442" s="15">
        <v>1</v>
      </c>
      <c r="M442" s="15">
        <v>0.5</v>
      </c>
      <c r="N442" s="15" t="s">
        <v>76</v>
      </c>
      <c r="O442" s="15" t="s">
        <v>76</v>
      </c>
      <c r="P442" s="14">
        <v>60000</v>
      </c>
      <c r="Q442" s="13">
        <v>46216.62222222222</v>
      </c>
      <c r="R442" s="15" t="s">
        <v>168</v>
      </c>
      <c r="S442" s="11" t="str">
        <f t="shared" si="12"/>
        <v>2026-07-13</v>
      </c>
      <c r="T442" s="11">
        <f>IF($E442="","",IF(COUNTIF($E$2:$E442,$E442)=1,1,0))</f>
        <v>0</v>
      </c>
      <c r="U442" s="11" t="str">
        <f>IF(T442=1,SUM($T$2:T442),"")</f>
        <v/>
      </c>
      <c r="V442" s="11">
        <f>IF(OR($R442="",$R442="-"),"",IF(COUNTIF($R$2:$R442,$R442)=1,1,0))</f>
        <v>0</v>
      </c>
      <c r="W442" s="11" t="str">
        <f>IF(V442=1,SUM($V$2:V442),"")</f>
        <v/>
      </c>
      <c r="X442" s="11" t="str">
        <f t="shared" si="13"/>
        <v>SHOPEE</v>
      </c>
    </row>
    <row r="443" spans="1:24">
      <c r="A443" s="15" t="s">
        <v>79</v>
      </c>
      <c r="B443" s="15" t="s">
        <v>83</v>
      </c>
      <c r="C443" s="15" t="s">
        <v>1019</v>
      </c>
      <c r="D443" s="13">
        <v>46216.589583333334</v>
      </c>
      <c r="E443" s="15" t="s">
        <v>111</v>
      </c>
      <c r="F443" s="15" t="s">
        <v>1020</v>
      </c>
      <c r="G443" s="15" t="s">
        <v>74</v>
      </c>
      <c r="H443" s="15" t="s">
        <v>75</v>
      </c>
      <c r="I443" s="14">
        <v>69000</v>
      </c>
      <c r="J443" s="15" t="s">
        <v>1021</v>
      </c>
      <c r="K443" s="15" t="s">
        <v>24</v>
      </c>
      <c r="L443" s="15">
        <v>4</v>
      </c>
      <c r="M443" s="15">
        <v>0.8</v>
      </c>
      <c r="N443" s="15" t="s">
        <v>76</v>
      </c>
      <c r="O443" s="15" t="s">
        <v>76</v>
      </c>
      <c r="P443" s="14">
        <v>500000</v>
      </c>
      <c r="Q443" s="13">
        <v>46216.62222222222</v>
      </c>
      <c r="R443" s="15" t="s">
        <v>168</v>
      </c>
      <c r="S443" s="11" t="str">
        <f t="shared" si="12"/>
        <v>2026-07-13</v>
      </c>
      <c r="T443" s="11">
        <f>IF($E443="","",IF(COUNTIF($E$2:$E443,$E443)=1,1,0))</f>
        <v>0</v>
      </c>
      <c r="U443" s="11" t="str">
        <f>IF(T443=1,SUM($T$2:T443),"")</f>
        <v/>
      </c>
      <c r="V443" s="11">
        <f>IF(OR($R443="",$R443="-"),"",IF(COUNTIF($R$2:$R443,$R443)=1,1,0))</f>
        <v>0</v>
      </c>
      <c r="W443" s="11" t="str">
        <f>IF(V443=1,SUM($V$2:V443),"")</f>
        <v/>
      </c>
      <c r="X443" s="11" t="str">
        <f t="shared" si="13"/>
        <v>SHOPEE</v>
      </c>
    </row>
    <row r="444" spans="1:24">
      <c r="A444" s="15" t="s">
        <v>79</v>
      </c>
      <c r="B444" s="15" t="s">
        <v>83</v>
      </c>
      <c r="C444" s="15" t="s">
        <v>1019</v>
      </c>
      <c r="D444" s="13">
        <v>46216.589583333334</v>
      </c>
      <c r="E444" s="15" t="s">
        <v>111</v>
      </c>
      <c r="F444" s="15" t="s">
        <v>1025</v>
      </c>
      <c r="G444" s="15" t="s">
        <v>74</v>
      </c>
      <c r="H444" s="15" t="s">
        <v>75</v>
      </c>
      <c r="I444" s="14">
        <v>25000</v>
      </c>
      <c r="J444" s="15" t="s">
        <v>1026</v>
      </c>
      <c r="K444" s="15" t="s">
        <v>27</v>
      </c>
      <c r="L444" s="15">
        <v>1</v>
      </c>
      <c r="M444" s="15">
        <v>0.3</v>
      </c>
      <c r="N444" s="15" t="s">
        <v>76</v>
      </c>
      <c r="O444" s="15" t="s">
        <v>76</v>
      </c>
      <c r="P444" s="14">
        <v>250000</v>
      </c>
      <c r="Q444" s="13">
        <v>46216.62222222222</v>
      </c>
      <c r="R444" s="15" t="s">
        <v>168</v>
      </c>
      <c r="S444" s="11" t="str">
        <f t="shared" si="12"/>
        <v>2026-07-13</v>
      </c>
      <c r="T444" s="11">
        <f>IF($E444="","",IF(COUNTIF($E$2:$E444,$E444)=1,1,0))</f>
        <v>0</v>
      </c>
      <c r="U444" s="11" t="str">
        <f>IF(T444=1,SUM($T$2:T444),"")</f>
        <v/>
      </c>
      <c r="V444" s="11">
        <f>IF(OR($R444="",$R444="-"),"",IF(COUNTIF($R$2:$R444,$R444)=1,1,0))</f>
        <v>0</v>
      </c>
      <c r="W444" s="11" t="str">
        <f>IF(V444=1,SUM($V$2:V444),"")</f>
        <v/>
      </c>
      <c r="X444" s="11" t="str">
        <f t="shared" si="13"/>
        <v>SHOPEE</v>
      </c>
    </row>
    <row r="445" spans="1:24">
      <c r="A445" s="15" t="s">
        <v>79</v>
      </c>
      <c r="B445" s="15" t="s">
        <v>80</v>
      </c>
      <c r="C445" s="15" t="s">
        <v>1027</v>
      </c>
      <c r="D445" s="13">
        <v>46216.588888888888</v>
      </c>
      <c r="E445" s="15" t="s">
        <v>111</v>
      </c>
      <c r="F445" s="15" t="s">
        <v>1028</v>
      </c>
      <c r="G445" s="15" t="s">
        <v>74</v>
      </c>
      <c r="H445" s="15" t="s">
        <v>75</v>
      </c>
      <c r="I445" s="14">
        <v>21000</v>
      </c>
      <c r="J445" s="15" t="s">
        <v>1029</v>
      </c>
      <c r="K445" s="15" t="s">
        <v>24</v>
      </c>
      <c r="L445" s="15">
        <v>1</v>
      </c>
      <c r="M445" s="15">
        <v>0.48</v>
      </c>
      <c r="N445" s="15" t="s">
        <v>76</v>
      </c>
      <c r="O445" s="15" t="s">
        <v>76</v>
      </c>
      <c r="P445" s="14">
        <v>229900</v>
      </c>
      <c r="Q445" s="13">
        <v>46216.588888888888</v>
      </c>
      <c r="R445" s="15" t="s">
        <v>428</v>
      </c>
      <c r="S445" s="11" t="str">
        <f t="shared" si="12"/>
        <v>2026-07-13</v>
      </c>
      <c r="T445" s="11">
        <f>IF($E445="","",IF(COUNTIF($E$2:$E445,$E445)=1,1,0))</f>
        <v>0</v>
      </c>
      <c r="U445" s="11" t="str">
        <f>IF(T445=1,SUM($T$2:T445),"")</f>
        <v/>
      </c>
      <c r="V445" s="11">
        <f>IF(OR($R445="",$R445="-"),"",IF(COUNTIF($R$2:$R445,$R445)=1,1,0))</f>
        <v>0</v>
      </c>
      <c r="W445" s="11" t="str">
        <f>IF(V445=1,SUM($V$2:V445),"")</f>
        <v/>
      </c>
      <c r="X445" s="11" t="str">
        <f t="shared" si="13"/>
        <v>SHOPEE</v>
      </c>
    </row>
    <row r="446" spans="1:24">
      <c r="A446" s="15" t="s">
        <v>79</v>
      </c>
      <c r="B446" s="15" t="s">
        <v>83</v>
      </c>
      <c r="C446" s="15" t="s">
        <v>1030</v>
      </c>
      <c r="D446" s="13">
        <v>46216.57708333333</v>
      </c>
      <c r="E446" s="15" t="s">
        <v>95</v>
      </c>
      <c r="F446" s="15" t="s">
        <v>1031</v>
      </c>
      <c r="G446" s="15" t="s">
        <v>74</v>
      </c>
      <c r="H446" s="15" t="s">
        <v>75</v>
      </c>
      <c r="I446" s="14">
        <v>27000</v>
      </c>
      <c r="J446" s="15" t="s">
        <v>1032</v>
      </c>
      <c r="K446" s="15" t="s">
        <v>24</v>
      </c>
      <c r="L446" s="15">
        <v>1</v>
      </c>
      <c r="M446" s="15">
        <v>1</v>
      </c>
      <c r="N446" s="15" t="s">
        <v>76</v>
      </c>
      <c r="O446" s="15" t="s">
        <v>76</v>
      </c>
      <c r="P446" s="14">
        <v>65000</v>
      </c>
      <c r="Q446" s="13">
        <v>46216.57708333333</v>
      </c>
      <c r="R446" s="15" t="s">
        <v>324</v>
      </c>
      <c r="S446" s="11" t="str">
        <f t="shared" si="12"/>
        <v>2026-07-13</v>
      </c>
      <c r="T446" s="11">
        <f>IF($E446="","",IF(COUNTIF($E$2:$E446,$E446)=1,1,0))</f>
        <v>0</v>
      </c>
      <c r="U446" s="11" t="str">
        <f>IF(T446=1,SUM($T$2:T446),"")</f>
        <v/>
      </c>
      <c r="V446" s="11">
        <f>IF(OR($R446="",$R446="-"),"",IF(COUNTIF($R$2:$R446,$R446)=1,1,0))</f>
        <v>0</v>
      </c>
      <c r="W446" s="11" t="str">
        <f>IF(V446=1,SUM($V$2:V446),"")</f>
        <v/>
      </c>
      <c r="X446" s="11" t="str">
        <f t="shared" si="13"/>
        <v>SHOPEE</v>
      </c>
    </row>
    <row r="447" spans="1:24">
      <c r="A447" s="15" t="s">
        <v>79</v>
      </c>
      <c r="B447" s="15" t="s">
        <v>80</v>
      </c>
      <c r="C447" s="15" t="s">
        <v>1033</v>
      </c>
      <c r="D447" s="13">
        <v>46216.543749999997</v>
      </c>
      <c r="E447" s="15" t="s">
        <v>111</v>
      </c>
      <c r="F447" s="15" t="s">
        <v>1034</v>
      </c>
      <c r="G447" s="15" t="s">
        <v>74</v>
      </c>
      <c r="H447" s="15" t="s">
        <v>75</v>
      </c>
      <c r="I447" s="14">
        <v>12000</v>
      </c>
      <c r="J447" s="15" t="s">
        <v>107</v>
      </c>
      <c r="K447" s="15" t="s">
        <v>24</v>
      </c>
      <c r="L447" s="15">
        <v>1</v>
      </c>
      <c r="M447" s="15">
        <v>1</v>
      </c>
      <c r="N447" s="15" t="s">
        <v>76</v>
      </c>
      <c r="O447" s="15" t="s">
        <v>76</v>
      </c>
      <c r="P447" s="14">
        <v>39999</v>
      </c>
      <c r="Q447" s="13">
        <v>46216.544444444444</v>
      </c>
      <c r="R447" s="15" t="s">
        <v>1035</v>
      </c>
      <c r="S447" s="11" t="str">
        <f t="shared" si="12"/>
        <v>2026-07-13</v>
      </c>
      <c r="T447" s="11">
        <f>IF($E447="","",IF(COUNTIF($E$2:$E447,$E447)=1,1,0))</f>
        <v>0</v>
      </c>
      <c r="U447" s="11" t="str">
        <f>IF(T447=1,SUM($T$2:T447),"")</f>
        <v/>
      </c>
      <c r="V447" s="11">
        <f>IF(OR($R447="",$R447="-"),"",IF(COUNTIF($R$2:$R447,$R447)=1,1,0))</f>
        <v>1</v>
      </c>
      <c r="W447" s="11">
        <f>IF(V447=1,SUM($V$2:V447),"")</f>
        <v>161</v>
      </c>
      <c r="X447" s="11" t="str">
        <f t="shared" si="13"/>
        <v>SHOPEE</v>
      </c>
    </row>
    <row r="448" spans="1:24">
      <c r="A448" s="15" t="s">
        <v>79</v>
      </c>
      <c r="B448" s="15" t="s">
        <v>83</v>
      </c>
      <c r="C448" s="15" t="s">
        <v>1036</v>
      </c>
      <c r="D448" s="13">
        <v>46216.493750000001</v>
      </c>
      <c r="E448" s="15" t="s">
        <v>95</v>
      </c>
      <c r="F448" s="15" t="s">
        <v>1037</v>
      </c>
      <c r="G448" s="15" t="s">
        <v>74</v>
      </c>
      <c r="H448" s="15" t="s">
        <v>75</v>
      </c>
      <c r="I448" s="14">
        <v>5500</v>
      </c>
      <c r="J448" s="15" t="s">
        <v>808</v>
      </c>
      <c r="K448" s="15" t="s">
        <v>27</v>
      </c>
      <c r="L448" s="15">
        <v>1</v>
      </c>
      <c r="M448" s="15">
        <v>0.25</v>
      </c>
      <c r="N448" s="15" t="s">
        <v>76</v>
      </c>
      <c r="O448" s="15" t="s">
        <v>76</v>
      </c>
      <c r="P448" s="14">
        <v>56420</v>
      </c>
      <c r="Q448" s="13">
        <v>46216.493750000001</v>
      </c>
      <c r="R448" s="15" t="s">
        <v>170</v>
      </c>
      <c r="S448" s="11" t="str">
        <f t="shared" si="12"/>
        <v>2026-07-13</v>
      </c>
      <c r="T448" s="11">
        <f>IF($E448="","",IF(COUNTIF($E$2:$E448,$E448)=1,1,0))</f>
        <v>0</v>
      </c>
      <c r="U448" s="11" t="str">
        <f>IF(T448=1,SUM($T$2:T448),"")</f>
        <v/>
      </c>
      <c r="V448" s="11">
        <f>IF(OR($R448="",$R448="-"),"",IF(COUNTIF($R$2:$R448,$R448)=1,1,0))</f>
        <v>0</v>
      </c>
      <c r="W448" s="11" t="str">
        <f>IF(V448=1,SUM($V$2:V448),"")</f>
        <v/>
      </c>
      <c r="X448" s="11" t="str">
        <f t="shared" si="13"/>
        <v>SHOPEE</v>
      </c>
    </row>
    <row r="449" spans="1:24">
      <c r="A449" s="15" t="s">
        <v>79</v>
      </c>
      <c r="B449" s="15" t="s">
        <v>80</v>
      </c>
      <c r="C449" s="15" t="s">
        <v>1038</v>
      </c>
      <c r="D449" s="13">
        <v>46216.468055555553</v>
      </c>
      <c r="E449" s="15" t="s">
        <v>95</v>
      </c>
      <c r="F449" s="15" t="s">
        <v>1039</v>
      </c>
      <c r="G449" s="15" t="s">
        <v>74</v>
      </c>
      <c r="H449" s="15" t="s">
        <v>75</v>
      </c>
      <c r="I449" s="14">
        <v>12000</v>
      </c>
      <c r="J449" s="15" t="s">
        <v>967</v>
      </c>
      <c r="K449" s="15" t="s">
        <v>24</v>
      </c>
      <c r="L449" s="15">
        <v>1</v>
      </c>
      <c r="M449" s="15">
        <v>0.6</v>
      </c>
      <c r="N449" s="15" t="s">
        <v>76</v>
      </c>
      <c r="O449" s="15" t="s">
        <v>76</v>
      </c>
      <c r="P449" s="14">
        <v>109999</v>
      </c>
      <c r="Q449" s="13">
        <v>46216.468055555553</v>
      </c>
      <c r="R449" s="15" t="s">
        <v>1040</v>
      </c>
      <c r="S449" s="11" t="str">
        <f t="shared" si="12"/>
        <v>2026-07-13</v>
      </c>
      <c r="T449" s="11">
        <f>IF($E449="","",IF(COUNTIF($E$2:$E449,$E449)=1,1,0))</f>
        <v>0</v>
      </c>
      <c r="U449" s="11" t="str">
        <f>IF(T449=1,SUM($T$2:T449),"")</f>
        <v/>
      </c>
      <c r="V449" s="11">
        <f>IF(OR($R449="",$R449="-"),"",IF(COUNTIF($R$2:$R449,$R449)=1,1,0))</f>
        <v>1</v>
      </c>
      <c r="W449" s="11">
        <f>IF(V449=1,SUM($V$2:V449),"")</f>
        <v>162</v>
      </c>
      <c r="X449" s="11" t="str">
        <f t="shared" si="13"/>
        <v>SHOPEE</v>
      </c>
    </row>
    <row r="450" spans="1:24">
      <c r="A450" s="15" t="s">
        <v>79</v>
      </c>
      <c r="B450" s="15" t="s">
        <v>83</v>
      </c>
      <c r="C450" s="15" t="s">
        <v>1041</v>
      </c>
      <c r="D450" s="13">
        <v>46216.452777777777</v>
      </c>
      <c r="E450" s="15" t="s">
        <v>95</v>
      </c>
      <c r="F450" s="15" t="s">
        <v>1042</v>
      </c>
      <c r="G450" s="15" t="s">
        <v>74</v>
      </c>
      <c r="H450" s="15" t="s">
        <v>75</v>
      </c>
      <c r="I450" s="14">
        <v>30000</v>
      </c>
      <c r="J450" s="15" t="s">
        <v>212</v>
      </c>
      <c r="K450" s="15" t="s">
        <v>24</v>
      </c>
      <c r="L450" s="15">
        <v>1</v>
      </c>
      <c r="M450" s="15">
        <v>1.5</v>
      </c>
      <c r="N450" s="15" t="s">
        <v>76</v>
      </c>
      <c r="O450" s="15" t="s">
        <v>76</v>
      </c>
      <c r="P450" s="14">
        <v>6100000</v>
      </c>
      <c r="Q450" s="13">
        <v>46216.452777777777</v>
      </c>
      <c r="R450" s="15" t="s">
        <v>1043</v>
      </c>
      <c r="S450" s="11" t="str">
        <f t="shared" ref="S450:S513" si="14">IF(Q450="","",TEXT(Q450,"yyyy-mm-dd"))</f>
        <v>2026-07-13</v>
      </c>
      <c r="T450" s="11">
        <f>IF($E450="","",IF(COUNTIF($E$2:$E450,$E450)=1,1,0))</f>
        <v>0</v>
      </c>
      <c r="U450" s="11" t="str">
        <f>IF(T450=1,SUM($T$2:T450),"")</f>
        <v/>
      </c>
      <c r="V450" s="11">
        <f>IF(OR($R450="",$R450="-"),"",IF(COUNTIF($R$2:$R450,$R450)=1,1,0))</f>
        <v>1</v>
      </c>
      <c r="W450" s="11">
        <f>IF(V450=1,SUM($V$2:V450),"")</f>
        <v>163</v>
      </c>
      <c r="X450" s="11" t="str">
        <f t="shared" ref="X450:X513" si="15">IF(ISNUMBER(SEARCH("SHOPEE",B450)),"SHOPEE",IF(ISNUMBER(SEARCH("TOKOPEDIA",B450)),"TOKOPEDIA",IF(ISNUMBER(SEARCH("LASTANA",B450)),"LASTANA EXPRESS",IF(ISNUMBER(SEARCH("FASHION MARKETPLACE",B450)),"FASHION MARKETPLACE",IF(ISNUMBER(SEARCH("GLOBAL DIGITAL NIAGA",B450)),"GLOBAL DIGITAL NIAGA",IF(ISNUMBER(SEARCH("TOKGISTIC",B450)),"TOKGISTIC",IF(ISNUMBER(SEARCH("TOCO RAMAI",B450)),"TOCO RAMAI DIGITAL",B450)))))))</f>
        <v>SHOPEE</v>
      </c>
    </row>
    <row r="451" spans="1:24">
      <c r="A451" s="15" t="s">
        <v>79</v>
      </c>
      <c r="B451" s="15" t="s">
        <v>83</v>
      </c>
      <c r="C451" s="15" t="s">
        <v>1044</v>
      </c>
      <c r="D451" s="13">
        <v>46215.813194444447</v>
      </c>
      <c r="E451" s="15" t="s">
        <v>265</v>
      </c>
      <c r="F451" s="15" t="s">
        <v>1045</v>
      </c>
      <c r="G451" s="15" t="s">
        <v>74</v>
      </c>
      <c r="H451" s="15" t="s">
        <v>75</v>
      </c>
      <c r="I451" s="14">
        <v>12000</v>
      </c>
      <c r="J451" s="15" t="s">
        <v>196</v>
      </c>
      <c r="K451" s="15" t="s">
        <v>24</v>
      </c>
      <c r="L451" s="15">
        <v>1</v>
      </c>
      <c r="M451" s="15">
        <v>0.5</v>
      </c>
      <c r="N451" s="15" t="s">
        <v>76</v>
      </c>
      <c r="O451" s="15" t="s">
        <v>76</v>
      </c>
      <c r="P451" s="14">
        <v>23000</v>
      </c>
      <c r="Q451" s="13">
        <v>46215.813888888886</v>
      </c>
      <c r="R451" s="15" t="s">
        <v>147</v>
      </c>
      <c r="S451" s="11" t="str">
        <f t="shared" si="14"/>
        <v>2026-07-12</v>
      </c>
      <c r="T451" s="11">
        <f>IF($E451="","",IF(COUNTIF($E$2:$E451,$E451)=1,1,0))</f>
        <v>0</v>
      </c>
      <c r="U451" s="11" t="str">
        <f>IF(T451=1,SUM($T$2:T451),"")</f>
        <v/>
      </c>
      <c r="V451" s="11">
        <f>IF(OR($R451="",$R451="-"),"",IF(COUNTIF($R$2:$R451,$R451)=1,1,0))</f>
        <v>0</v>
      </c>
      <c r="W451" s="11" t="str">
        <f>IF(V451=1,SUM($V$2:V451),"")</f>
        <v/>
      </c>
      <c r="X451" s="11" t="str">
        <f t="shared" si="15"/>
        <v>SHOPEE</v>
      </c>
    </row>
    <row r="452" spans="1:24">
      <c r="A452" s="15" t="s">
        <v>79</v>
      </c>
      <c r="B452" s="15" t="s">
        <v>83</v>
      </c>
      <c r="C452" s="15" t="s">
        <v>1044</v>
      </c>
      <c r="D452" s="13">
        <v>46215.813194444447</v>
      </c>
      <c r="E452" s="15" t="s">
        <v>265</v>
      </c>
      <c r="F452" s="15" t="s">
        <v>1046</v>
      </c>
      <c r="G452" s="15" t="s">
        <v>74</v>
      </c>
      <c r="H452" s="15" t="s">
        <v>75</v>
      </c>
      <c r="I452" s="14">
        <v>12000</v>
      </c>
      <c r="J452" s="15" t="s">
        <v>334</v>
      </c>
      <c r="K452" s="15" t="s">
        <v>24</v>
      </c>
      <c r="L452" s="15">
        <v>1</v>
      </c>
      <c r="M452" s="15">
        <v>1</v>
      </c>
      <c r="N452" s="15" t="s">
        <v>76</v>
      </c>
      <c r="O452" s="15" t="s">
        <v>76</v>
      </c>
      <c r="P452" s="14">
        <v>40000</v>
      </c>
      <c r="Q452" s="13">
        <v>46215.813888888886</v>
      </c>
      <c r="R452" s="15" t="s">
        <v>147</v>
      </c>
      <c r="S452" s="11" t="str">
        <f t="shared" si="14"/>
        <v>2026-07-12</v>
      </c>
      <c r="T452" s="11">
        <f>IF($E452="","",IF(COUNTIF($E$2:$E452,$E452)=1,1,0))</f>
        <v>0</v>
      </c>
      <c r="U452" s="11" t="str">
        <f>IF(T452=1,SUM($T$2:T452),"")</f>
        <v/>
      </c>
      <c r="V452" s="11">
        <f>IF(OR($R452="",$R452="-"),"",IF(COUNTIF($R$2:$R452,$R452)=1,1,0))</f>
        <v>0</v>
      </c>
      <c r="W452" s="11" t="str">
        <f>IF(V452=1,SUM($V$2:V452),"")</f>
        <v/>
      </c>
      <c r="X452" s="11" t="str">
        <f t="shared" si="15"/>
        <v>SHOPEE</v>
      </c>
    </row>
    <row r="453" spans="1:24">
      <c r="A453" s="15" t="s">
        <v>79</v>
      </c>
      <c r="B453" s="15" t="s">
        <v>83</v>
      </c>
      <c r="C453" s="15" t="s">
        <v>1044</v>
      </c>
      <c r="D453" s="13">
        <v>46215.813194444447</v>
      </c>
      <c r="E453" s="15" t="s">
        <v>265</v>
      </c>
      <c r="F453" s="15" t="s">
        <v>1047</v>
      </c>
      <c r="G453" s="15" t="s">
        <v>74</v>
      </c>
      <c r="H453" s="15" t="s">
        <v>75</v>
      </c>
      <c r="I453" s="14">
        <v>24000</v>
      </c>
      <c r="J453" s="15" t="s">
        <v>123</v>
      </c>
      <c r="K453" s="15" t="s">
        <v>24</v>
      </c>
      <c r="L453" s="15">
        <v>2</v>
      </c>
      <c r="M453" s="15">
        <v>2</v>
      </c>
      <c r="N453" s="15" t="s">
        <v>76</v>
      </c>
      <c r="O453" s="15" t="s">
        <v>76</v>
      </c>
      <c r="P453" s="14">
        <v>75500</v>
      </c>
      <c r="Q453" s="13">
        <v>46215.813888888886</v>
      </c>
      <c r="R453" s="15" t="s">
        <v>147</v>
      </c>
      <c r="S453" s="11" t="str">
        <f t="shared" si="14"/>
        <v>2026-07-12</v>
      </c>
      <c r="T453" s="11">
        <f>IF($E453="","",IF(COUNTIF($E$2:$E453,$E453)=1,1,0))</f>
        <v>0</v>
      </c>
      <c r="U453" s="11" t="str">
        <f>IF(T453=1,SUM($T$2:T453),"")</f>
        <v/>
      </c>
      <c r="V453" s="11">
        <f>IF(OR($R453="",$R453="-"),"",IF(COUNTIF($R$2:$R453,$R453)=1,1,0))</f>
        <v>0</v>
      </c>
      <c r="W453" s="11" t="str">
        <f>IF(V453=1,SUM($V$2:V453),"")</f>
        <v/>
      </c>
      <c r="X453" s="11" t="str">
        <f t="shared" si="15"/>
        <v>SHOPEE</v>
      </c>
    </row>
    <row r="454" spans="1:24">
      <c r="A454" s="15" t="s">
        <v>79</v>
      </c>
      <c r="B454" s="15" t="s">
        <v>83</v>
      </c>
      <c r="C454" s="15" t="s">
        <v>1044</v>
      </c>
      <c r="D454" s="13">
        <v>46215.813194444447</v>
      </c>
      <c r="E454" s="15" t="s">
        <v>265</v>
      </c>
      <c r="F454" s="15" t="s">
        <v>1048</v>
      </c>
      <c r="G454" s="15" t="s">
        <v>74</v>
      </c>
      <c r="H454" s="15" t="s">
        <v>75</v>
      </c>
      <c r="I454" s="14">
        <v>20000</v>
      </c>
      <c r="J454" s="15" t="s">
        <v>215</v>
      </c>
      <c r="K454" s="15" t="s">
        <v>30</v>
      </c>
      <c r="L454" s="15">
        <v>3</v>
      </c>
      <c r="M454" s="15">
        <v>2.1</v>
      </c>
      <c r="N454" s="15" t="s">
        <v>76</v>
      </c>
      <c r="O454" s="15" t="s">
        <v>76</v>
      </c>
      <c r="P454" s="14">
        <v>90000</v>
      </c>
      <c r="Q454" s="13">
        <v>46215.813888888886</v>
      </c>
      <c r="R454" s="15" t="s">
        <v>147</v>
      </c>
      <c r="S454" s="11" t="str">
        <f t="shared" si="14"/>
        <v>2026-07-12</v>
      </c>
      <c r="T454" s="11">
        <f>IF($E454="","",IF(COUNTIF($E$2:$E454,$E454)=1,1,0))</f>
        <v>0</v>
      </c>
      <c r="U454" s="11" t="str">
        <f>IF(T454=1,SUM($T$2:T454),"")</f>
        <v/>
      </c>
      <c r="V454" s="11">
        <f>IF(OR($R454="",$R454="-"),"",IF(COUNTIF($R$2:$R454,$R454)=1,1,0))</f>
        <v>0</v>
      </c>
      <c r="W454" s="11" t="str">
        <f>IF(V454=1,SUM($V$2:V454),"")</f>
        <v/>
      </c>
      <c r="X454" s="11" t="str">
        <f t="shared" si="15"/>
        <v>SHOPEE</v>
      </c>
    </row>
    <row r="455" spans="1:24">
      <c r="A455" s="15" t="s">
        <v>79</v>
      </c>
      <c r="B455" s="15" t="s">
        <v>83</v>
      </c>
      <c r="C455" s="15" t="s">
        <v>1049</v>
      </c>
      <c r="D455" s="13">
        <v>46215.726388888892</v>
      </c>
      <c r="E455" s="15" t="s">
        <v>265</v>
      </c>
      <c r="F455" s="15" t="s">
        <v>1050</v>
      </c>
      <c r="G455" s="15" t="s">
        <v>74</v>
      </c>
      <c r="H455" s="15" t="s">
        <v>75</v>
      </c>
      <c r="I455" s="14">
        <v>63000</v>
      </c>
      <c r="J455" s="15" t="s">
        <v>1051</v>
      </c>
      <c r="K455" s="15" t="s">
        <v>24</v>
      </c>
      <c r="L455" s="15">
        <v>1</v>
      </c>
      <c r="M455" s="15">
        <v>1</v>
      </c>
      <c r="N455" s="15" t="s">
        <v>76</v>
      </c>
      <c r="O455" s="15" t="s">
        <v>76</v>
      </c>
      <c r="P455" s="14">
        <v>2820000</v>
      </c>
      <c r="Q455" s="13">
        <v>46215.726388888892</v>
      </c>
      <c r="R455" s="15" t="s">
        <v>86</v>
      </c>
      <c r="S455" s="11" t="str">
        <f t="shared" si="14"/>
        <v>2026-07-12</v>
      </c>
      <c r="T455" s="11">
        <f>IF($E455="","",IF(COUNTIF($E$2:$E455,$E455)=1,1,0))</f>
        <v>0</v>
      </c>
      <c r="U455" s="11" t="str">
        <f>IF(T455=1,SUM($T$2:T455),"")</f>
        <v/>
      </c>
      <c r="V455" s="11">
        <f>IF(OR($R455="",$R455="-"),"",IF(COUNTIF($R$2:$R455,$R455)=1,1,0))</f>
        <v>0</v>
      </c>
      <c r="W455" s="11" t="str">
        <f>IF(V455=1,SUM($V$2:V455),"")</f>
        <v/>
      </c>
      <c r="X455" s="11" t="str">
        <f t="shared" si="15"/>
        <v>SHOPEE</v>
      </c>
    </row>
    <row r="456" spans="1:24">
      <c r="A456" s="15" t="s">
        <v>79</v>
      </c>
      <c r="B456" s="15" t="s">
        <v>80</v>
      </c>
      <c r="C456" s="15" t="s">
        <v>1052</v>
      </c>
      <c r="D456" s="13">
        <v>46215.720833333333</v>
      </c>
      <c r="E456" s="15" t="s">
        <v>265</v>
      </c>
      <c r="F456" s="15" t="s">
        <v>1053</v>
      </c>
      <c r="G456" s="15" t="s">
        <v>74</v>
      </c>
      <c r="H456" s="15" t="s">
        <v>75</v>
      </c>
      <c r="I456" s="14">
        <v>29000</v>
      </c>
      <c r="J456" s="15" t="s">
        <v>1054</v>
      </c>
      <c r="K456" s="15" t="s">
        <v>24</v>
      </c>
      <c r="L456" s="15">
        <v>1</v>
      </c>
      <c r="M456" s="15">
        <v>0.8</v>
      </c>
      <c r="N456" s="15" t="s">
        <v>76</v>
      </c>
      <c r="O456" s="15" t="s">
        <v>76</v>
      </c>
      <c r="P456" s="14">
        <v>45000</v>
      </c>
      <c r="Q456" s="13">
        <v>46215.720833333333</v>
      </c>
      <c r="R456" s="15" t="s">
        <v>1055</v>
      </c>
      <c r="S456" s="11" t="str">
        <f t="shared" si="14"/>
        <v>2026-07-12</v>
      </c>
      <c r="T456" s="11">
        <f>IF($E456="","",IF(COUNTIF($E$2:$E456,$E456)=1,1,0))</f>
        <v>0</v>
      </c>
      <c r="U456" s="11" t="str">
        <f>IF(T456=1,SUM($T$2:T456),"")</f>
        <v/>
      </c>
      <c r="V456" s="11">
        <f>IF(OR($R456="",$R456="-"),"",IF(COUNTIF($R$2:$R456,$R456)=1,1,0))</f>
        <v>1</v>
      </c>
      <c r="W456" s="11">
        <f>IF(V456=1,SUM($V$2:V456),"")</f>
        <v>164</v>
      </c>
      <c r="X456" s="11" t="str">
        <f t="shared" si="15"/>
        <v>SHOPEE</v>
      </c>
    </row>
    <row r="457" spans="1:24">
      <c r="A457" s="15" t="s">
        <v>79</v>
      </c>
      <c r="B457" s="15" t="s">
        <v>80</v>
      </c>
      <c r="C457" s="15" t="s">
        <v>1056</v>
      </c>
      <c r="D457" s="13">
        <v>46215.585416666669</v>
      </c>
      <c r="E457" s="15" t="s">
        <v>265</v>
      </c>
      <c r="F457" s="15" t="s">
        <v>1057</v>
      </c>
      <c r="G457" s="15" t="s">
        <v>74</v>
      </c>
      <c r="H457" s="15" t="s">
        <v>75</v>
      </c>
      <c r="I457" s="14">
        <v>14000</v>
      </c>
      <c r="J457" s="15" t="s">
        <v>673</v>
      </c>
      <c r="K457" s="15" t="s">
        <v>24</v>
      </c>
      <c r="L457" s="15">
        <v>1</v>
      </c>
      <c r="M457" s="15">
        <v>0.2</v>
      </c>
      <c r="N457" s="15" t="s">
        <v>76</v>
      </c>
      <c r="O457" s="15" t="s">
        <v>76</v>
      </c>
      <c r="P457" s="14">
        <v>199000</v>
      </c>
      <c r="Q457" s="13">
        <v>46215.586111111108</v>
      </c>
      <c r="R457" s="15" t="s">
        <v>1058</v>
      </c>
      <c r="S457" s="11" t="str">
        <f t="shared" si="14"/>
        <v>2026-07-12</v>
      </c>
      <c r="T457" s="11">
        <f>IF($E457="","",IF(COUNTIF($E$2:$E457,$E457)=1,1,0))</f>
        <v>0</v>
      </c>
      <c r="U457" s="11" t="str">
        <f>IF(T457=1,SUM($T$2:T457),"")</f>
        <v/>
      </c>
      <c r="V457" s="11">
        <f>IF(OR($R457="",$R457="-"),"",IF(COUNTIF($R$2:$R457,$R457)=1,1,0))</f>
        <v>0</v>
      </c>
      <c r="W457" s="11" t="str">
        <f>IF(V457=1,SUM($V$2:V457),"")</f>
        <v/>
      </c>
      <c r="X457" s="11" t="str">
        <f t="shared" si="15"/>
        <v>SHOPEE</v>
      </c>
    </row>
    <row r="458" spans="1:24">
      <c r="A458" s="15" t="s">
        <v>79</v>
      </c>
      <c r="B458" s="15" t="s">
        <v>83</v>
      </c>
      <c r="C458" s="15" t="s">
        <v>1059</v>
      </c>
      <c r="D458" s="13">
        <v>46215.570833333331</v>
      </c>
      <c r="E458" s="15" t="s">
        <v>95</v>
      </c>
      <c r="F458" s="15" t="s">
        <v>1060</v>
      </c>
      <c r="G458" s="15" t="s">
        <v>74</v>
      </c>
      <c r="H458" s="15" t="s">
        <v>75</v>
      </c>
      <c r="I458" s="14">
        <v>9000</v>
      </c>
      <c r="J458" s="15" t="s">
        <v>1061</v>
      </c>
      <c r="K458" s="15" t="s">
        <v>27</v>
      </c>
      <c r="L458" s="15">
        <v>1</v>
      </c>
      <c r="M458" s="15">
        <v>0</v>
      </c>
      <c r="N458" s="15" t="s">
        <v>76</v>
      </c>
      <c r="O458" s="15" t="s">
        <v>76</v>
      </c>
      <c r="P458" s="14">
        <v>1000000</v>
      </c>
      <c r="Q458" s="13">
        <v>46215.570833333331</v>
      </c>
      <c r="R458" s="15" t="s">
        <v>1062</v>
      </c>
      <c r="S458" s="11" t="str">
        <f t="shared" si="14"/>
        <v>2026-07-12</v>
      </c>
      <c r="T458" s="11">
        <f>IF($E458="","",IF(COUNTIF($E$2:$E458,$E458)=1,1,0))</f>
        <v>0</v>
      </c>
      <c r="U458" s="11" t="str">
        <f>IF(T458=1,SUM($T$2:T458),"")</f>
        <v/>
      </c>
      <c r="V458" s="11">
        <f>IF(OR($R458="",$R458="-"),"",IF(COUNTIF($R$2:$R458,$R458)=1,1,0))</f>
        <v>1</v>
      </c>
      <c r="W458" s="11">
        <f>IF(V458=1,SUM($V$2:V458),"")</f>
        <v>165</v>
      </c>
      <c r="X458" s="11" t="str">
        <f t="shared" si="15"/>
        <v>SHOPEE</v>
      </c>
    </row>
    <row r="459" spans="1:24">
      <c r="A459" s="15" t="s">
        <v>79</v>
      </c>
      <c r="B459" s="15" t="s">
        <v>83</v>
      </c>
      <c r="C459" s="15" t="s">
        <v>1063</v>
      </c>
      <c r="D459" s="13">
        <v>46215.539583333331</v>
      </c>
      <c r="E459" s="15" t="s">
        <v>95</v>
      </c>
      <c r="F459" s="15" t="s">
        <v>1064</v>
      </c>
      <c r="G459" s="15" t="s">
        <v>74</v>
      </c>
      <c r="H459" s="15" t="s">
        <v>75</v>
      </c>
      <c r="I459" s="14">
        <v>54000</v>
      </c>
      <c r="J459" s="15" t="s">
        <v>240</v>
      </c>
      <c r="K459" s="15" t="s">
        <v>24</v>
      </c>
      <c r="L459" s="15">
        <v>1</v>
      </c>
      <c r="M459" s="15">
        <v>3</v>
      </c>
      <c r="N459" s="15" t="s">
        <v>76</v>
      </c>
      <c r="O459" s="15" t="s">
        <v>76</v>
      </c>
      <c r="P459" s="14">
        <v>3560000</v>
      </c>
      <c r="Q459" s="13">
        <v>46215.539583333331</v>
      </c>
      <c r="R459" s="15" t="s">
        <v>287</v>
      </c>
      <c r="S459" s="11" t="str">
        <f t="shared" si="14"/>
        <v>2026-07-12</v>
      </c>
      <c r="T459" s="11">
        <f>IF($E459="","",IF(COUNTIF($E$2:$E459,$E459)=1,1,0))</f>
        <v>0</v>
      </c>
      <c r="U459" s="11" t="str">
        <f>IF(T459=1,SUM($T$2:T459),"")</f>
        <v/>
      </c>
      <c r="V459" s="11">
        <f>IF(OR($R459="",$R459="-"),"",IF(COUNTIF($R$2:$R459,$R459)=1,1,0))</f>
        <v>0</v>
      </c>
      <c r="W459" s="11" t="str">
        <f>IF(V459=1,SUM($V$2:V459),"")</f>
        <v/>
      </c>
      <c r="X459" s="11" t="str">
        <f t="shared" si="15"/>
        <v>SHOPEE</v>
      </c>
    </row>
    <row r="460" spans="1:24">
      <c r="A460" s="15" t="s">
        <v>1065</v>
      </c>
      <c r="B460" s="15" t="s">
        <v>116</v>
      </c>
      <c r="C460" s="15" t="s">
        <v>1066</v>
      </c>
      <c r="D460" s="13">
        <v>46215.522916666669</v>
      </c>
      <c r="E460" s="15" t="s">
        <v>95</v>
      </c>
      <c r="F460" s="15" t="s">
        <v>1067</v>
      </c>
      <c r="G460" s="15" t="s">
        <v>74</v>
      </c>
      <c r="H460" s="15" t="s">
        <v>75</v>
      </c>
      <c r="I460" s="14">
        <v>49500</v>
      </c>
      <c r="J460" s="15" t="s">
        <v>239</v>
      </c>
      <c r="K460" s="15" t="s">
        <v>26</v>
      </c>
      <c r="L460" s="15">
        <v>1</v>
      </c>
      <c r="M460" s="15">
        <v>10</v>
      </c>
      <c r="N460" s="15" t="s">
        <v>76</v>
      </c>
      <c r="O460" s="15" t="s">
        <v>76</v>
      </c>
      <c r="P460" s="14">
        <v>487000</v>
      </c>
      <c r="Q460" s="13">
        <v>46215.522916666669</v>
      </c>
      <c r="R460" s="15" t="s">
        <v>1065</v>
      </c>
      <c r="S460" s="11" t="str">
        <f t="shared" si="14"/>
        <v>2026-07-12</v>
      </c>
      <c r="T460" s="11">
        <f>IF($E460="","",IF(COUNTIF($E$2:$E460,$E460)=1,1,0))</f>
        <v>0</v>
      </c>
      <c r="U460" s="11" t="str">
        <f>IF(T460=1,SUM($T$2:T460),"")</f>
        <v/>
      </c>
      <c r="V460" s="11">
        <f>IF(OR($R460="",$R460="-"),"",IF(COUNTIF($R$2:$R460,$R460)=1,1,0))</f>
        <v>1</v>
      </c>
      <c r="W460" s="11">
        <f>IF(V460=1,SUM($V$2:V460),"")</f>
        <v>166</v>
      </c>
      <c r="X460" s="11" t="str">
        <f t="shared" si="15"/>
        <v>SHOPEE</v>
      </c>
    </row>
    <row r="461" spans="1:24">
      <c r="A461" s="15" t="s">
        <v>1068</v>
      </c>
      <c r="B461" s="15" t="s">
        <v>237</v>
      </c>
      <c r="C461" s="15" t="s">
        <v>1069</v>
      </c>
      <c r="D461" s="13">
        <v>46215.474305555559</v>
      </c>
      <c r="E461" s="15" t="s">
        <v>95</v>
      </c>
      <c r="F461" s="15" t="s">
        <v>1070</v>
      </c>
      <c r="G461" s="15" t="s">
        <v>74</v>
      </c>
      <c r="H461" s="15" t="s">
        <v>75</v>
      </c>
      <c r="I461" s="14">
        <v>12000</v>
      </c>
      <c r="J461" s="15" t="s">
        <v>161</v>
      </c>
      <c r="K461" s="15" t="s">
        <v>24</v>
      </c>
      <c r="L461" s="15">
        <v>1</v>
      </c>
      <c r="M461" s="15">
        <v>1</v>
      </c>
      <c r="N461" s="15" t="s">
        <v>76</v>
      </c>
      <c r="O461" s="15" t="s">
        <v>74</v>
      </c>
      <c r="P461" s="14">
        <v>502300</v>
      </c>
      <c r="Q461" s="13">
        <v>46215.474305555559</v>
      </c>
      <c r="R461" s="15" t="s">
        <v>1068</v>
      </c>
      <c r="S461" s="11" t="str">
        <f t="shared" si="14"/>
        <v>2026-07-12</v>
      </c>
      <c r="T461" s="11">
        <f>IF($E461="","",IF(COUNTIF($E$2:$E461,$E461)=1,1,0))</f>
        <v>0</v>
      </c>
      <c r="U461" s="11" t="str">
        <f>IF(T461=1,SUM($T$2:T461),"")</f>
        <v/>
      </c>
      <c r="V461" s="11">
        <f>IF(OR($R461="",$R461="-"),"",IF(COUNTIF($R$2:$R461,$R461)=1,1,0))</f>
        <v>1</v>
      </c>
      <c r="W461" s="11">
        <f>IF(V461=1,SUM($V$2:V461),"")</f>
        <v>167</v>
      </c>
      <c r="X461" s="11" t="str">
        <f t="shared" si="15"/>
        <v>TOCO RAMAI DIGITAL</v>
      </c>
    </row>
    <row r="462" spans="1:24">
      <c r="A462" s="15" t="s">
        <v>79</v>
      </c>
      <c r="B462" s="15" t="s">
        <v>83</v>
      </c>
      <c r="C462" s="15" t="s">
        <v>1071</v>
      </c>
      <c r="D462" s="13">
        <v>46214.85833333333</v>
      </c>
      <c r="E462" s="15" t="s">
        <v>265</v>
      </c>
      <c r="F462" s="15" t="s">
        <v>1072</v>
      </c>
      <c r="G462" s="15" t="s">
        <v>74</v>
      </c>
      <c r="H462" s="15" t="s">
        <v>75</v>
      </c>
      <c r="I462" s="14">
        <v>31000</v>
      </c>
      <c r="J462" s="15" t="s">
        <v>546</v>
      </c>
      <c r="K462" s="15" t="s">
        <v>27</v>
      </c>
      <c r="L462" s="15">
        <v>1</v>
      </c>
      <c r="M462" s="15">
        <v>0.2</v>
      </c>
      <c r="N462" s="15" t="s">
        <v>76</v>
      </c>
      <c r="O462" s="15" t="s">
        <v>76</v>
      </c>
      <c r="P462" s="14">
        <v>271472</v>
      </c>
      <c r="Q462" s="13">
        <v>46214.859027777777</v>
      </c>
      <c r="R462" s="15" t="s">
        <v>211</v>
      </c>
      <c r="S462" s="11" t="str">
        <f t="shared" si="14"/>
        <v>2026-07-11</v>
      </c>
      <c r="T462" s="11">
        <f>IF($E462="","",IF(COUNTIF($E$2:$E462,$E462)=1,1,0))</f>
        <v>0</v>
      </c>
      <c r="U462" s="11" t="str">
        <f>IF(T462=1,SUM($T$2:T462),"")</f>
        <v/>
      </c>
      <c r="V462" s="11">
        <f>IF(OR($R462="",$R462="-"),"",IF(COUNTIF($R$2:$R462,$R462)=1,1,0))</f>
        <v>0</v>
      </c>
      <c r="W462" s="11" t="str">
        <f>IF(V462=1,SUM($V$2:V462),"")</f>
        <v/>
      </c>
      <c r="X462" s="11" t="str">
        <f t="shared" si="15"/>
        <v>SHOPEE</v>
      </c>
    </row>
    <row r="463" spans="1:24">
      <c r="A463" s="15" t="s">
        <v>79</v>
      </c>
      <c r="B463" s="15" t="s">
        <v>83</v>
      </c>
      <c r="C463" s="15" t="s">
        <v>1071</v>
      </c>
      <c r="D463" s="13">
        <v>46214.85833333333</v>
      </c>
      <c r="E463" s="15" t="s">
        <v>265</v>
      </c>
      <c r="F463" s="15" t="s">
        <v>1073</v>
      </c>
      <c r="G463" s="15" t="s">
        <v>74</v>
      </c>
      <c r="H463" s="15" t="s">
        <v>75</v>
      </c>
      <c r="I463" s="14">
        <v>21000</v>
      </c>
      <c r="J463" s="15" t="s">
        <v>317</v>
      </c>
      <c r="K463" s="15" t="s">
        <v>24</v>
      </c>
      <c r="L463" s="15">
        <v>1</v>
      </c>
      <c r="M463" s="15">
        <v>0.2</v>
      </c>
      <c r="N463" s="15" t="s">
        <v>76</v>
      </c>
      <c r="O463" s="15" t="s">
        <v>76</v>
      </c>
      <c r="P463" s="14">
        <v>114797</v>
      </c>
      <c r="Q463" s="13">
        <v>46214.859027777777</v>
      </c>
      <c r="R463" s="15" t="s">
        <v>211</v>
      </c>
      <c r="S463" s="11" t="str">
        <f t="shared" si="14"/>
        <v>2026-07-11</v>
      </c>
      <c r="T463" s="11">
        <f>IF($E463="","",IF(COUNTIF($E$2:$E463,$E463)=1,1,0))</f>
        <v>0</v>
      </c>
      <c r="U463" s="11" t="str">
        <f>IF(T463=1,SUM($T$2:T463),"")</f>
        <v/>
      </c>
      <c r="V463" s="11">
        <f>IF(OR($R463="",$R463="-"),"",IF(COUNTIF($R$2:$R463,$R463)=1,1,0))</f>
        <v>0</v>
      </c>
      <c r="W463" s="11" t="str">
        <f>IF(V463=1,SUM($V$2:V463),"")</f>
        <v/>
      </c>
      <c r="X463" s="11" t="str">
        <f t="shared" si="15"/>
        <v>SHOPEE</v>
      </c>
    </row>
    <row r="464" spans="1:24">
      <c r="A464" s="15" t="s">
        <v>79</v>
      </c>
      <c r="B464" s="15" t="s">
        <v>80</v>
      </c>
      <c r="C464" s="15" t="s">
        <v>1074</v>
      </c>
      <c r="D464" s="13">
        <v>46214.852777777778</v>
      </c>
      <c r="E464" s="15" t="s">
        <v>265</v>
      </c>
      <c r="F464" s="15" t="s">
        <v>1075</v>
      </c>
      <c r="G464" s="15" t="s">
        <v>74</v>
      </c>
      <c r="H464" s="15" t="s">
        <v>75</v>
      </c>
      <c r="I464" s="14">
        <v>48000</v>
      </c>
      <c r="J464" s="15" t="s">
        <v>103</v>
      </c>
      <c r="K464" s="15" t="s">
        <v>24</v>
      </c>
      <c r="L464" s="15">
        <v>1</v>
      </c>
      <c r="M464" s="15">
        <v>3.75</v>
      </c>
      <c r="N464" s="15" t="s">
        <v>76</v>
      </c>
      <c r="O464" s="15" t="s">
        <v>76</v>
      </c>
      <c r="P464" s="14">
        <v>108500</v>
      </c>
      <c r="Q464" s="13">
        <v>46214.854166666664</v>
      </c>
      <c r="R464" s="15" t="s">
        <v>763</v>
      </c>
      <c r="S464" s="11" t="str">
        <f t="shared" si="14"/>
        <v>2026-07-11</v>
      </c>
      <c r="T464" s="11">
        <f>IF($E464="","",IF(COUNTIF($E$2:$E464,$E464)=1,1,0))</f>
        <v>0</v>
      </c>
      <c r="U464" s="11" t="str">
        <f>IF(T464=1,SUM($T$2:T464),"")</f>
        <v/>
      </c>
      <c r="V464" s="11">
        <f>IF(OR($R464="",$R464="-"),"",IF(COUNTIF($R$2:$R464,$R464)=1,1,0))</f>
        <v>0</v>
      </c>
      <c r="W464" s="11" t="str">
        <f>IF(V464=1,SUM($V$2:V464),"")</f>
        <v/>
      </c>
      <c r="X464" s="11" t="str">
        <f t="shared" si="15"/>
        <v>SHOPEE</v>
      </c>
    </row>
    <row r="465" spans="1:24">
      <c r="A465" s="15" t="s">
        <v>79</v>
      </c>
      <c r="B465" s="15" t="s">
        <v>83</v>
      </c>
      <c r="C465" s="15" t="s">
        <v>1076</v>
      </c>
      <c r="D465" s="13">
        <v>46214.800694444442</v>
      </c>
      <c r="E465" s="15" t="s">
        <v>111</v>
      </c>
      <c r="F465" s="15" t="s">
        <v>1077</v>
      </c>
      <c r="G465" s="15" t="s">
        <v>74</v>
      </c>
      <c r="H465" s="15" t="s">
        <v>75</v>
      </c>
      <c r="I465" s="14">
        <v>8000</v>
      </c>
      <c r="J465" s="15" t="s">
        <v>224</v>
      </c>
      <c r="K465" s="15" t="s">
        <v>27</v>
      </c>
      <c r="L465" s="15">
        <v>1</v>
      </c>
      <c r="M465" s="15">
        <v>0.35</v>
      </c>
      <c r="N465" s="15" t="s">
        <v>76</v>
      </c>
      <c r="O465" s="15" t="s">
        <v>76</v>
      </c>
      <c r="P465" s="14">
        <v>8500</v>
      </c>
      <c r="Q465" s="13">
        <v>46214.800694444442</v>
      </c>
      <c r="R465" s="15" t="s">
        <v>193</v>
      </c>
      <c r="S465" s="11" t="str">
        <f t="shared" si="14"/>
        <v>2026-07-11</v>
      </c>
      <c r="T465" s="11">
        <f>IF($E465="","",IF(COUNTIF($E$2:$E465,$E465)=1,1,0))</f>
        <v>0</v>
      </c>
      <c r="U465" s="11" t="str">
        <f>IF(T465=1,SUM($T$2:T465),"")</f>
        <v/>
      </c>
      <c r="V465" s="11">
        <f>IF(OR($R465="",$R465="-"),"",IF(COUNTIF($R$2:$R465,$R465)=1,1,0))</f>
        <v>0</v>
      </c>
      <c r="W465" s="11" t="str">
        <f>IF(V465=1,SUM($V$2:V465),"")</f>
        <v/>
      </c>
      <c r="X465" s="11" t="str">
        <f t="shared" si="15"/>
        <v>SHOPEE</v>
      </c>
    </row>
    <row r="466" spans="1:24">
      <c r="A466" s="15" t="s">
        <v>79</v>
      </c>
      <c r="B466" s="15" t="s">
        <v>83</v>
      </c>
      <c r="C466" s="15" t="s">
        <v>1076</v>
      </c>
      <c r="D466" s="13">
        <v>46214.800694444442</v>
      </c>
      <c r="E466" s="15" t="s">
        <v>111</v>
      </c>
      <c r="F466" s="15" t="s">
        <v>1078</v>
      </c>
      <c r="G466" s="15" t="s">
        <v>74</v>
      </c>
      <c r="H466" s="15" t="s">
        <v>75</v>
      </c>
      <c r="I466" s="14">
        <v>12000</v>
      </c>
      <c r="J466" s="15" t="s">
        <v>145</v>
      </c>
      <c r="K466" s="15" t="s">
        <v>24</v>
      </c>
      <c r="L466" s="15">
        <v>1</v>
      </c>
      <c r="M466" s="15">
        <v>0.65</v>
      </c>
      <c r="N466" s="15" t="s">
        <v>76</v>
      </c>
      <c r="O466" s="15" t="s">
        <v>76</v>
      </c>
      <c r="P466" s="14">
        <v>16000</v>
      </c>
      <c r="Q466" s="13">
        <v>46214.800694444442</v>
      </c>
      <c r="R466" s="15" t="s">
        <v>193</v>
      </c>
      <c r="S466" s="11" t="str">
        <f t="shared" si="14"/>
        <v>2026-07-11</v>
      </c>
      <c r="T466" s="11">
        <f>IF($E466="","",IF(COUNTIF($E$2:$E466,$E466)=1,1,0))</f>
        <v>0</v>
      </c>
      <c r="U466" s="11" t="str">
        <f>IF(T466=1,SUM($T$2:T466),"")</f>
        <v/>
      </c>
      <c r="V466" s="11">
        <f>IF(OR($R466="",$R466="-"),"",IF(COUNTIF($R$2:$R466,$R466)=1,1,0))</f>
        <v>0</v>
      </c>
      <c r="W466" s="11" t="str">
        <f>IF(V466=1,SUM($V$2:V466),"")</f>
        <v/>
      </c>
      <c r="X466" s="11" t="str">
        <f t="shared" si="15"/>
        <v>SHOPEE</v>
      </c>
    </row>
    <row r="467" spans="1:24">
      <c r="A467" s="15" t="s">
        <v>79</v>
      </c>
      <c r="B467" s="15" t="s">
        <v>83</v>
      </c>
      <c r="C467" s="15" t="s">
        <v>1076</v>
      </c>
      <c r="D467" s="13">
        <v>46214.800694444442</v>
      </c>
      <c r="E467" s="15" t="s">
        <v>111</v>
      </c>
      <c r="F467" s="15" t="s">
        <v>1079</v>
      </c>
      <c r="G467" s="15" t="s">
        <v>74</v>
      </c>
      <c r="H467" s="15" t="s">
        <v>75</v>
      </c>
      <c r="I467" s="14">
        <v>12000</v>
      </c>
      <c r="J467" s="15" t="s">
        <v>150</v>
      </c>
      <c r="K467" s="15" t="s">
        <v>24</v>
      </c>
      <c r="L467" s="15">
        <v>1</v>
      </c>
      <c r="M467" s="15">
        <v>0.06</v>
      </c>
      <c r="N467" s="15" t="s">
        <v>76</v>
      </c>
      <c r="O467" s="15" t="s">
        <v>76</v>
      </c>
      <c r="P467" s="14">
        <v>110000</v>
      </c>
      <c r="Q467" s="13">
        <v>46214.800694444442</v>
      </c>
      <c r="R467" s="15" t="s">
        <v>193</v>
      </c>
      <c r="S467" s="11" t="str">
        <f t="shared" si="14"/>
        <v>2026-07-11</v>
      </c>
      <c r="T467" s="11">
        <f>IF($E467="","",IF(COUNTIF($E$2:$E467,$E467)=1,1,0))</f>
        <v>0</v>
      </c>
      <c r="U467" s="11" t="str">
        <f>IF(T467=1,SUM($T$2:T467),"")</f>
        <v/>
      </c>
      <c r="V467" s="11">
        <f>IF(OR($R467="",$R467="-"),"",IF(COUNTIF($R$2:$R467,$R467)=1,1,0))</f>
        <v>0</v>
      </c>
      <c r="W467" s="11" t="str">
        <f>IF(V467=1,SUM($V$2:V467),"")</f>
        <v/>
      </c>
      <c r="X467" s="11" t="str">
        <f t="shared" si="15"/>
        <v>SHOPEE</v>
      </c>
    </row>
    <row r="468" spans="1:24">
      <c r="A468" s="15" t="s">
        <v>79</v>
      </c>
      <c r="B468" s="15" t="s">
        <v>83</v>
      </c>
      <c r="C468" s="15" t="s">
        <v>1080</v>
      </c>
      <c r="D468" s="13">
        <v>46214.796527777777</v>
      </c>
      <c r="E468" s="15" t="s">
        <v>265</v>
      </c>
      <c r="F468" s="15" t="s">
        <v>1081</v>
      </c>
      <c r="G468" s="15" t="s">
        <v>74</v>
      </c>
      <c r="H468" s="15" t="s">
        <v>75</v>
      </c>
      <c r="I468" s="14">
        <v>21000</v>
      </c>
      <c r="J468" s="15" t="s">
        <v>1082</v>
      </c>
      <c r="K468" s="15" t="s">
        <v>24</v>
      </c>
      <c r="L468" s="15">
        <v>1</v>
      </c>
      <c r="M468" s="15">
        <v>1</v>
      </c>
      <c r="N468" s="15" t="s">
        <v>76</v>
      </c>
      <c r="O468" s="15" t="s">
        <v>76</v>
      </c>
      <c r="P468" s="14">
        <v>98000</v>
      </c>
      <c r="Q468" s="13">
        <v>46214.797222222223</v>
      </c>
      <c r="R468" s="15" t="s">
        <v>184</v>
      </c>
      <c r="S468" s="11" t="str">
        <f t="shared" si="14"/>
        <v>2026-07-11</v>
      </c>
      <c r="T468" s="11">
        <f>IF($E468="","",IF(COUNTIF($E$2:$E468,$E468)=1,1,0))</f>
        <v>0</v>
      </c>
      <c r="U468" s="11" t="str">
        <f>IF(T468=1,SUM($T$2:T468),"")</f>
        <v/>
      </c>
      <c r="V468" s="11">
        <f>IF(OR($R468="",$R468="-"),"",IF(COUNTIF($R$2:$R468,$R468)=1,1,0))</f>
        <v>0</v>
      </c>
      <c r="W468" s="11" t="str">
        <f>IF(V468=1,SUM($V$2:V468),"")</f>
        <v/>
      </c>
      <c r="X468" s="11" t="str">
        <f t="shared" si="15"/>
        <v>SHOPEE</v>
      </c>
    </row>
    <row r="469" spans="1:24">
      <c r="A469" s="15" t="s">
        <v>79</v>
      </c>
      <c r="B469" s="15" t="s">
        <v>83</v>
      </c>
      <c r="C469" s="15" t="s">
        <v>1083</v>
      </c>
      <c r="D469" s="13">
        <v>46214.796527777777</v>
      </c>
      <c r="E469" s="15" t="s">
        <v>265</v>
      </c>
      <c r="F469" s="15" t="s">
        <v>1084</v>
      </c>
      <c r="G469" s="15" t="s">
        <v>74</v>
      </c>
      <c r="H469" s="15" t="s">
        <v>75</v>
      </c>
      <c r="I469" s="14">
        <v>24000</v>
      </c>
      <c r="J469" s="15" t="s">
        <v>1085</v>
      </c>
      <c r="K469" s="15" t="s">
        <v>24</v>
      </c>
      <c r="L469" s="15">
        <v>1</v>
      </c>
      <c r="M469" s="15">
        <v>0.1</v>
      </c>
      <c r="N469" s="15" t="s">
        <v>76</v>
      </c>
      <c r="O469" s="15" t="s">
        <v>76</v>
      </c>
      <c r="P469" s="14">
        <v>100000</v>
      </c>
      <c r="Q469" s="13">
        <v>46214.796527777777</v>
      </c>
      <c r="R469" s="15" t="s">
        <v>118</v>
      </c>
      <c r="S469" s="11" t="str">
        <f t="shared" si="14"/>
        <v>2026-07-11</v>
      </c>
      <c r="T469" s="11">
        <f>IF($E469="","",IF(COUNTIF($E$2:$E469,$E469)=1,1,0))</f>
        <v>0</v>
      </c>
      <c r="U469" s="11" t="str">
        <f>IF(T469=1,SUM($T$2:T469),"")</f>
        <v/>
      </c>
      <c r="V469" s="11">
        <f>IF(OR($R469="",$R469="-"),"",IF(COUNTIF($R$2:$R469,$R469)=1,1,0))</f>
        <v>0</v>
      </c>
      <c r="W469" s="11" t="str">
        <f>IF(V469=1,SUM($V$2:V469),"")</f>
        <v/>
      </c>
      <c r="X469" s="11" t="str">
        <f t="shared" si="15"/>
        <v>SHOPEE</v>
      </c>
    </row>
    <row r="470" spans="1:24">
      <c r="A470" s="15" t="s">
        <v>79</v>
      </c>
      <c r="B470" s="15" t="s">
        <v>83</v>
      </c>
      <c r="C470" s="15" t="s">
        <v>1086</v>
      </c>
      <c r="D470" s="13">
        <v>46214.784722222219</v>
      </c>
      <c r="E470" s="15" t="s">
        <v>111</v>
      </c>
      <c r="F470" s="15" t="s">
        <v>1087</v>
      </c>
      <c r="G470" s="15" t="s">
        <v>74</v>
      </c>
      <c r="H470" s="15" t="s">
        <v>75</v>
      </c>
      <c r="I470" s="14">
        <v>49500</v>
      </c>
      <c r="J470" s="15" t="s">
        <v>176</v>
      </c>
      <c r="K470" s="15" t="s">
        <v>26</v>
      </c>
      <c r="L470" s="15">
        <v>1</v>
      </c>
      <c r="M470" s="15">
        <v>10</v>
      </c>
      <c r="N470" s="15" t="s">
        <v>76</v>
      </c>
      <c r="O470" s="15" t="s">
        <v>76</v>
      </c>
      <c r="P470" s="14">
        <v>130000</v>
      </c>
      <c r="Q470" s="13">
        <v>46214.784722222219</v>
      </c>
      <c r="R470" s="15" t="s">
        <v>336</v>
      </c>
      <c r="S470" s="11" t="str">
        <f t="shared" si="14"/>
        <v>2026-07-11</v>
      </c>
      <c r="T470" s="11">
        <f>IF($E470="","",IF(COUNTIF($E$2:$E470,$E470)=1,1,0))</f>
        <v>0</v>
      </c>
      <c r="U470" s="11" t="str">
        <f>IF(T470=1,SUM($T$2:T470),"")</f>
        <v/>
      </c>
      <c r="V470" s="11">
        <f>IF(OR($R470="",$R470="-"),"",IF(COUNTIF($R$2:$R470,$R470)=1,1,0))</f>
        <v>1</v>
      </c>
      <c r="W470" s="11">
        <f>IF(V470=1,SUM($V$2:V470),"")</f>
        <v>168</v>
      </c>
      <c r="X470" s="11" t="str">
        <f t="shared" si="15"/>
        <v>SHOPEE</v>
      </c>
    </row>
    <row r="471" spans="1:24">
      <c r="A471" s="15" t="s">
        <v>79</v>
      </c>
      <c r="B471" s="15" t="s">
        <v>83</v>
      </c>
      <c r="C471" s="15" t="s">
        <v>1088</v>
      </c>
      <c r="D471" s="13">
        <v>46214.767361111109</v>
      </c>
      <c r="E471" s="15" t="s">
        <v>111</v>
      </c>
      <c r="F471" s="15" t="s">
        <v>1089</v>
      </c>
      <c r="G471" s="15" t="s">
        <v>74</v>
      </c>
      <c r="H471" s="15" t="s">
        <v>75</v>
      </c>
      <c r="I471" s="14">
        <v>12000</v>
      </c>
      <c r="J471" s="15" t="s">
        <v>219</v>
      </c>
      <c r="K471" s="15" t="s">
        <v>24</v>
      </c>
      <c r="L471" s="15">
        <v>1</v>
      </c>
      <c r="M471" s="15">
        <v>1</v>
      </c>
      <c r="N471" s="15" t="s">
        <v>76</v>
      </c>
      <c r="O471" s="15" t="s">
        <v>76</v>
      </c>
      <c r="P471" s="14">
        <v>1020000</v>
      </c>
      <c r="Q471" s="13">
        <v>46214.767361111109</v>
      </c>
      <c r="R471" s="15" t="s">
        <v>86</v>
      </c>
      <c r="S471" s="11" t="str">
        <f t="shared" si="14"/>
        <v>2026-07-11</v>
      </c>
      <c r="T471" s="11">
        <f>IF($E471="","",IF(COUNTIF($E$2:$E471,$E471)=1,1,0))</f>
        <v>0</v>
      </c>
      <c r="U471" s="11" t="str">
        <f>IF(T471=1,SUM($T$2:T471),"")</f>
        <v/>
      </c>
      <c r="V471" s="11">
        <f>IF(OR($R471="",$R471="-"),"",IF(COUNTIF($R$2:$R471,$R471)=1,1,0))</f>
        <v>0</v>
      </c>
      <c r="W471" s="11" t="str">
        <f>IF(V471=1,SUM($V$2:V471),"")</f>
        <v/>
      </c>
      <c r="X471" s="11" t="str">
        <f t="shared" si="15"/>
        <v>SHOPEE</v>
      </c>
    </row>
    <row r="472" spans="1:24">
      <c r="A472" s="15" t="s">
        <v>79</v>
      </c>
      <c r="B472" s="15" t="s">
        <v>83</v>
      </c>
      <c r="C472" s="15" t="s">
        <v>1090</v>
      </c>
      <c r="D472" s="13">
        <v>46214.739583333336</v>
      </c>
      <c r="E472" s="15" t="s">
        <v>111</v>
      </c>
      <c r="F472" s="15" t="s">
        <v>1091</v>
      </c>
      <c r="G472" s="15" t="s">
        <v>74</v>
      </c>
      <c r="H472" s="15" t="s">
        <v>75</v>
      </c>
      <c r="I472" s="14">
        <v>21000</v>
      </c>
      <c r="J472" s="15" t="s">
        <v>1092</v>
      </c>
      <c r="K472" s="15" t="s">
        <v>24</v>
      </c>
      <c r="L472" s="15">
        <v>1</v>
      </c>
      <c r="M472" s="15">
        <v>0.05</v>
      </c>
      <c r="N472" s="15" t="s">
        <v>76</v>
      </c>
      <c r="O472" s="15" t="s">
        <v>76</v>
      </c>
      <c r="P472" s="14">
        <v>125000</v>
      </c>
      <c r="Q472" s="13">
        <v>46214.739583333336</v>
      </c>
      <c r="R472" s="15" t="s">
        <v>266</v>
      </c>
      <c r="S472" s="11" t="str">
        <f t="shared" si="14"/>
        <v>2026-07-11</v>
      </c>
      <c r="T472" s="11">
        <f>IF($E472="","",IF(COUNTIF($E$2:$E472,$E472)=1,1,0))</f>
        <v>0</v>
      </c>
      <c r="U472" s="11" t="str">
        <f>IF(T472=1,SUM($T$2:T472),"")</f>
        <v/>
      </c>
      <c r="V472" s="11">
        <f>IF(OR($R472="",$R472="-"),"",IF(COUNTIF($R$2:$R472,$R472)=1,1,0))</f>
        <v>0</v>
      </c>
      <c r="W472" s="11" t="str">
        <f>IF(V472=1,SUM($V$2:V472),"")</f>
        <v/>
      </c>
      <c r="X472" s="11" t="str">
        <f t="shared" si="15"/>
        <v>SHOPEE</v>
      </c>
    </row>
    <row r="473" spans="1:24">
      <c r="A473" s="15" t="s">
        <v>79</v>
      </c>
      <c r="B473" s="15" t="s">
        <v>83</v>
      </c>
      <c r="C473" s="15" t="s">
        <v>1093</v>
      </c>
      <c r="D473" s="13">
        <v>46214.586805555555</v>
      </c>
      <c r="E473" s="15" t="s">
        <v>111</v>
      </c>
      <c r="F473" s="15" t="s">
        <v>1094</v>
      </c>
      <c r="G473" s="15" t="s">
        <v>74</v>
      </c>
      <c r="H473" s="15" t="s">
        <v>75</v>
      </c>
      <c r="I473" s="14">
        <v>52000</v>
      </c>
      <c r="J473" s="15" t="s">
        <v>271</v>
      </c>
      <c r="K473" s="15" t="s">
        <v>26</v>
      </c>
      <c r="L473" s="15">
        <v>1</v>
      </c>
      <c r="M473" s="15">
        <v>7.2</v>
      </c>
      <c r="N473" s="15" t="s">
        <v>76</v>
      </c>
      <c r="O473" s="15" t="s">
        <v>76</v>
      </c>
      <c r="P473" s="14">
        <v>1140000</v>
      </c>
      <c r="Q473" s="13">
        <v>46214.586805555555</v>
      </c>
      <c r="R473" s="15" t="s">
        <v>143</v>
      </c>
      <c r="S473" s="11" t="str">
        <f t="shared" si="14"/>
        <v>2026-07-11</v>
      </c>
      <c r="T473" s="11">
        <f>IF($E473="","",IF(COUNTIF($E$2:$E473,$E473)=1,1,0))</f>
        <v>0</v>
      </c>
      <c r="U473" s="11" t="str">
        <f>IF(T473=1,SUM($T$2:T473),"")</f>
        <v/>
      </c>
      <c r="V473" s="11">
        <f>IF(OR($R473="",$R473="-"),"",IF(COUNTIF($R$2:$R473,$R473)=1,1,0))</f>
        <v>0</v>
      </c>
      <c r="W473" s="11" t="str">
        <f>IF(V473=1,SUM($V$2:V473),"")</f>
        <v/>
      </c>
      <c r="X473" s="11" t="str">
        <f t="shared" si="15"/>
        <v>SHOPEE</v>
      </c>
    </row>
    <row r="474" spans="1:24">
      <c r="A474" s="15" t="s">
        <v>79</v>
      </c>
      <c r="B474" s="15" t="s">
        <v>83</v>
      </c>
      <c r="C474" s="15" t="s">
        <v>1093</v>
      </c>
      <c r="D474" s="13">
        <v>46214.586805555555</v>
      </c>
      <c r="E474" s="15" t="s">
        <v>111</v>
      </c>
      <c r="F474" s="15" t="s">
        <v>1095</v>
      </c>
      <c r="G474" s="15" t="s">
        <v>74</v>
      </c>
      <c r="H474" s="15" t="s">
        <v>75</v>
      </c>
      <c r="I474" s="14">
        <v>23000</v>
      </c>
      <c r="J474" s="15" t="s">
        <v>223</v>
      </c>
      <c r="K474" s="15" t="s">
        <v>24</v>
      </c>
      <c r="L474" s="15">
        <v>2</v>
      </c>
      <c r="M474" s="15">
        <v>0.16</v>
      </c>
      <c r="N474" s="15" t="s">
        <v>76</v>
      </c>
      <c r="O474" s="15" t="s">
        <v>76</v>
      </c>
      <c r="P474" s="14">
        <v>73400</v>
      </c>
      <c r="Q474" s="13">
        <v>46214.586805555555</v>
      </c>
      <c r="R474" s="15" t="s">
        <v>109</v>
      </c>
      <c r="S474" s="11" t="str">
        <f t="shared" si="14"/>
        <v>2026-07-11</v>
      </c>
      <c r="T474" s="11">
        <f>IF($E474="","",IF(COUNTIF($E$2:$E474,$E474)=1,1,0))</f>
        <v>0</v>
      </c>
      <c r="U474" s="11" t="str">
        <f>IF(T474=1,SUM($T$2:T474),"")</f>
        <v/>
      </c>
      <c r="V474" s="11">
        <f>IF(OR($R474="",$R474="-"),"",IF(COUNTIF($R$2:$R474,$R474)=1,1,0))</f>
        <v>0</v>
      </c>
      <c r="W474" s="11" t="str">
        <f>IF(V474=1,SUM($V$2:V474),"")</f>
        <v/>
      </c>
      <c r="X474" s="11" t="str">
        <f t="shared" si="15"/>
        <v>SHOPEE</v>
      </c>
    </row>
    <row r="475" spans="1:24">
      <c r="A475" s="15" t="s">
        <v>79</v>
      </c>
      <c r="B475" s="15" t="s">
        <v>80</v>
      </c>
      <c r="C475" s="15" t="s">
        <v>1096</v>
      </c>
      <c r="D475" s="13">
        <v>46214.401388888888</v>
      </c>
      <c r="E475" s="15" t="s">
        <v>73</v>
      </c>
      <c r="F475" s="15" t="s">
        <v>1097</v>
      </c>
      <c r="G475" s="15" t="s">
        <v>74</v>
      </c>
      <c r="H475" s="15" t="s">
        <v>75</v>
      </c>
      <c r="I475" s="14">
        <v>28000</v>
      </c>
      <c r="J475" s="15" t="s">
        <v>1098</v>
      </c>
      <c r="K475" s="15" t="s">
        <v>24</v>
      </c>
      <c r="L475" s="15">
        <v>1</v>
      </c>
      <c r="M475" s="15">
        <v>1.5</v>
      </c>
      <c r="N475" s="15" t="s">
        <v>76</v>
      </c>
      <c r="O475" s="15" t="s">
        <v>76</v>
      </c>
      <c r="P475" s="14">
        <v>499000</v>
      </c>
      <c r="Q475" s="13">
        <v>46214.401388888888</v>
      </c>
      <c r="R475" s="15" t="s">
        <v>607</v>
      </c>
      <c r="S475" s="11" t="str">
        <f t="shared" si="14"/>
        <v>2026-07-11</v>
      </c>
      <c r="T475" s="11">
        <f>IF($E475="","",IF(COUNTIF($E$2:$E475,$E475)=1,1,0))</f>
        <v>0</v>
      </c>
      <c r="U475" s="11" t="str">
        <f>IF(T475=1,SUM($T$2:T475),"")</f>
        <v/>
      </c>
      <c r="V475" s="11">
        <f>IF(OR($R475="",$R475="-"),"",IF(COUNTIF($R$2:$R475,$R475)=1,1,0))</f>
        <v>0</v>
      </c>
      <c r="W475" s="11" t="str">
        <f>IF(V475=1,SUM($V$2:V475),"")</f>
        <v/>
      </c>
      <c r="X475" s="11" t="str">
        <f t="shared" si="15"/>
        <v>SHOPEE</v>
      </c>
    </row>
    <row r="476" spans="1:24">
      <c r="A476" s="15" t="s">
        <v>79</v>
      </c>
      <c r="B476" s="15" t="s">
        <v>80</v>
      </c>
      <c r="C476" s="15" t="s">
        <v>1099</v>
      </c>
      <c r="D476" s="13">
        <v>46214.367361111108</v>
      </c>
      <c r="E476" s="15" t="s">
        <v>73</v>
      </c>
      <c r="F476" s="15" t="s">
        <v>1100</v>
      </c>
      <c r="G476" s="15" t="s">
        <v>74</v>
      </c>
      <c r="H476" s="15" t="s">
        <v>75</v>
      </c>
      <c r="I476" s="14">
        <v>24000</v>
      </c>
      <c r="J476" s="15" t="s">
        <v>232</v>
      </c>
      <c r="K476" s="15" t="s">
        <v>24</v>
      </c>
      <c r="L476" s="15">
        <v>1</v>
      </c>
      <c r="M476" s="15">
        <v>1.54</v>
      </c>
      <c r="N476" s="15" t="s">
        <v>76</v>
      </c>
      <c r="O476" s="15" t="s">
        <v>76</v>
      </c>
      <c r="P476" s="14">
        <v>699000</v>
      </c>
      <c r="Q476" s="13">
        <v>46214.368055555555</v>
      </c>
      <c r="R476" s="15" t="s">
        <v>1101</v>
      </c>
      <c r="S476" s="11" t="str">
        <f t="shared" si="14"/>
        <v>2026-07-11</v>
      </c>
      <c r="T476" s="11">
        <f>IF($E476="","",IF(COUNTIF($E$2:$E476,$E476)=1,1,0))</f>
        <v>0</v>
      </c>
      <c r="U476" s="11" t="str">
        <f>IF(T476=1,SUM($T$2:T476),"")</f>
        <v/>
      </c>
      <c r="V476" s="11">
        <f>IF(OR($R476="",$R476="-"),"",IF(COUNTIF($R$2:$R476,$R476)=1,1,0))</f>
        <v>1</v>
      </c>
      <c r="W476" s="11">
        <f>IF(V476=1,SUM($V$2:V476),"")</f>
        <v>169</v>
      </c>
      <c r="X476" s="11" t="str">
        <f t="shared" si="15"/>
        <v>SHOPEE</v>
      </c>
    </row>
    <row r="477" spans="1:24">
      <c r="A477" s="15" t="s">
        <v>79</v>
      </c>
      <c r="B477" s="15" t="s">
        <v>83</v>
      </c>
      <c r="C477" s="15" t="s">
        <v>1102</v>
      </c>
      <c r="D477" s="13">
        <v>46213.901388888888</v>
      </c>
      <c r="E477" s="15" t="s">
        <v>73</v>
      </c>
      <c r="F477" s="15" t="s">
        <v>1103</v>
      </c>
      <c r="G477" s="15" t="s">
        <v>74</v>
      </c>
      <c r="H477" s="15" t="s">
        <v>75</v>
      </c>
      <c r="I477" s="14">
        <v>12000</v>
      </c>
      <c r="J477" s="15" t="s">
        <v>120</v>
      </c>
      <c r="K477" s="15" t="s">
        <v>24</v>
      </c>
      <c r="L477" s="15">
        <v>1</v>
      </c>
      <c r="M477" s="15">
        <v>1</v>
      </c>
      <c r="N477" s="15" t="s">
        <v>76</v>
      </c>
      <c r="O477" s="15" t="s">
        <v>76</v>
      </c>
      <c r="P477" s="14">
        <v>799000</v>
      </c>
      <c r="Q477" s="13">
        <v>46213.901388888888</v>
      </c>
      <c r="R477" s="15" t="s">
        <v>1104</v>
      </c>
      <c r="S477" s="11" t="str">
        <f t="shared" si="14"/>
        <v>2026-07-10</v>
      </c>
      <c r="T477" s="11">
        <f>IF($E477="","",IF(COUNTIF($E$2:$E477,$E477)=1,1,0))</f>
        <v>0</v>
      </c>
      <c r="U477" s="11" t="str">
        <f>IF(T477=1,SUM($T$2:T477),"")</f>
        <v/>
      </c>
      <c r="V477" s="11">
        <f>IF(OR($R477="",$R477="-"),"",IF(COUNTIF($R$2:$R477,$R477)=1,1,0))</f>
        <v>1</v>
      </c>
      <c r="W477" s="11">
        <f>IF(V477=1,SUM($V$2:V477),"")</f>
        <v>170</v>
      </c>
      <c r="X477" s="11" t="str">
        <f t="shared" si="15"/>
        <v>SHOPEE</v>
      </c>
    </row>
    <row r="478" spans="1:24">
      <c r="A478" s="15" t="s">
        <v>79</v>
      </c>
      <c r="B478" s="15" t="s">
        <v>83</v>
      </c>
      <c r="C478" s="15" t="s">
        <v>1105</v>
      </c>
      <c r="D478" s="13">
        <v>46213.765277777777</v>
      </c>
      <c r="E478" s="15" t="s">
        <v>73</v>
      </c>
      <c r="F478" s="15" t="s">
        <v>1109</v>
      </c>
      <c r="G478" s="15" t="s">
        <v>74</v>
      </c>
      <c r="H478" s="15" t="s">
        <v>75</v>
      </c>
      <c r="I478" s="14">
        <v>21000</v>
      </c>
      <c r="J478" s="15" t="s">
        <v>1110</v>
      </c>
      <c r="K478" s="15" t="s">
        <v>24</v>
      </c>
      <c r="L478" s="15">
        <v>16</v>
      </c>
      <c r="M478" s="15">
        <v>0.05</v>
      </c>
      <c r="N478" s="15" t="s">
        <v>76</v>
      </c>
      <c r="O478" s="15" t="s">
        <v>76</v>
      </c>
      <c r="P478" s="14">
        <v>190700</v>
      </c>
      <c r="Q478" s="13">
        <v>46213.765972222223</v>
      </c>
      <c r="R478" s="15" t="s">
        <v>186</v>
      </c>
      <c r="S478" s="11" t="str">
        <f t="shared" si="14"/>
        <v>2026-07-10</v>
      </c>
      <c r="T478" s="11">
        <f>IF($E478="","",IF(COUNTIF($E$2:$E478,$E478)=1,1,0))</f>
        <v>0</v>
      </c>
      <c r="U478" s="11" t="str">
        <f>IF(T478=1,SUM($T$2:T478),"")</f>
        <v/>
      </c>
      <c r="V478" s="11">
        <f>IF(OR($R478="",$R478="-"),"",IF(COUNTIF($R$2:$R478,$R478)=1,1,0))</f>
        <v>1</v>
      </c>
      <c r="W478" s="11">
        <f>IF(V478=1,SUM($V$2:V478),"")</f>
        <v>171</v>
      </c>
      <c r="X478" s="11" t="str">
        <f t="shared" si="15"/>
        <v>SHOPEE</v>
      </c>
    </row>
    <row r="479" spans="1:24">
      <c r="A479" s="15" t="s">
        <v>79</v>
      </c>
      <c r="B479" s="15" t="s">
        <v>83</v>
      </c>
      <c r="C479" s="15" t="s">
        <v>1105</v>
      </c>
      <c r="D479" s="13">
        <v>46213.765277777777</v>
      </c>
      <c r="E479" s="15" t="s">
        <v>73</v>
      </c>
      <c r="F479" s="15" t="s">
        <v>1106</v>
      </c>
      <c r="G479" s="15" t="s">
        <v>74</v>
      </c>
      <c r="H479" s="15" t="s">
        <v>75</v>
      </c>
      <c r="I479" s="14">
        <v>63000</v>
      </c>
      <c r="J479" s="15" t="s">
        <v>368</v>
      </c>
      <c r="K479" s="15" t="s">
        <v>26</v>
      </c>
      <c r="L479" s="15">
        <v>1</v>
      </c>
      <c r="M479" s="15">
        <v>3</v>
      </c>
      <c r="N479" s="15" t="s">
        <v>76</v>
      </c>
      <c r="O479" s="15" t="s">
        <v>76</v>
      </c>
      <c r="P479" s="14">
        <v>110550</v>
      </c>
      <c r="Q479" s="13">
        <v>46213.765972222223</v>
      </c>
      <c r="R479" s="15" t="s">
        <v>143</v>
      </c>
      <c r="S479" s="11" t="str">
        <f t="shared" si="14"/>
        <v>2026-07-10</v>
      </c>
      <c r="T479" s="11">
        <f>IF($E479="","",IF(COUNTIF($E$2:$E479,$E479)=1,1,0))</f>
        <v>0</v>
      </c>
      <c r="U479" s="11" t="str">
        <f>IF(T479=1,SUM($T$2:T479),"")</f>
        <v/>
      </c>
      <c r="V479" s="11">
        <f>IF(OR($R479="",$R479="-"),"",IF(COUNTIF($R$2:$R479,$R479)=1,1,0))</f>
        <v>0</v>
      </c>
      <c r="W479" s="11" t="str">
        <f>IF(V479=1,SUM($V$2:V479),"")</f>
        <v/>
      </c>
      <c r="X479" s="11" t="str">
        <f t="shared" si="15"/>
        <v>SHOPEE</v>
      </c>
    </row>
    <row r="480" spans="1:24">
      <c r="A480" s="15" t="s">
        <v>79</v>
      </c>
      <c r="B480" s="15" t="s">
        <v>83</v>
      </c>
      <c r="C480" s="15" t="s">
        <v>1105</v>
      </c>
      <c r="D480" s="13">
        <v>46213.765277777777</v>
      </c>
      <c r="E480" s="15" t="s">
        <v>73</v>
      </c>
      <c r="F480" s="15" t="s">
        <v>1107</v>
      </c>
      <c r="G480" s="15" t="s">
        <v>74</v>
      </c>
      <c r="H480" s="15" t="s">
        <v>75</v>
      </c>
      <c r="I480" s="14">
        <v>27000</v>
      </c>
      <c r="J480" s="15" t="s">
        <v>121</v>
      </c>
      <c r="K480" s="15" t="s">
        <v>26</v>
      </c>
      <c r="L480" s="15">
        <v>1</v>
      </c>
      <c r="M480" s="15">
        <v>4</v>
      </c>
      <c r="N480" s="15" t="s">
        <v>76</v>
      </c>
      <c r="O480" s="15" t="s">
        <v>76</v>
      </c>
      <c r="P480" s="14">
        <v>1835000</v>
      </c>
      <c r="Q480" s="13">
        <v>46213.765972222223</v>
      </c>
      <c r="R480" s="15" t="s">
        <v>143</v>
      </c>
      <c r="S480" s="11" t="str">
        <f t="shared" si="14"/>
        <v>2026-07-10</v>
      </c>
      <c r="T480" s="11">
        <f>IF($E480="","",IF(COUNTIF($E$2:$E480,$E480)=1,1,0))</f>
        <v>0</v>
      </c>
      <c r="U480" s="11" t="str">
        <f>IF(T480=1,SUM($T$2:T480),"")</f>
        <v/>
      </c>
      <c r="V480" s="11">
        <f>IF(OR($R480="",$R480="-"),"",IF(COUNTIF($R$2:$R480,$R480)=1,1,0))</f>
        <v>0</v>
      </c>
      <c r="W480" s="11" t="str">
        <f>IF(V480=1,SUM($V$2:V480),"")</f>
        <v/>
      </c>
      <c r="X480" s="11" t="str">
        <f t="shared" si="15"/>
        <v>SHOPEE</v>
      </c>
    </row>
    <row r="481" spans="1:24">
      <c r="A481" s="15" t="s">
        <v>79</v>
      </c>
      <c r="B481" s="15" t="s">
        <v>83</v>
      </c>
      <c r="C481" s="15" t="s">
        <v>1105</v>
      </c>
      <c r="D481" s="13">
        <v>46213.765277777777</v>
      </c>
      <c r="E481" s="15" t="s">
        <v>73</v>
      </c>
      <c r="F481" s="15" t="s">
        <v>1108</v>
      </c>
      <c r="G481" s="15" t="s">
        <v>74</v>
      </c>
      <c r="H481" s="15" t="s">
        <v>75</v>
      </c>
      <c r="I481" s="14">
        <v>24000</v>
      </c>
      <c r="J481" s="15" t="s">
        <v>200</v>
      </c>
      <c r="K481" s="15" t="s">
        <v>24</v>
      </c>
      <c r="L481" s="15">
        <v>70</v>
      </c>
      <c r="M481" s="15">
        <v>2.1</v>
      </c>
      <c r="N481" s="15" t="s">
        <v>76</v>
      </c>
      <c r="O481" s="15" t="s">
        <v>76</v>
      </c>
      <c r="P481" s="14">
        <v>196000</v>
      </c>
      <c r="Q481" s="13">
        <v>46213.765972222223</v>
      </c>
      <c r="R481" s="15" t="s">
        <v>133</v>
      </c>
      <c r="S481" s="11" t="str">
        <f t="shared" si="14"/>
        <v>2026-07-10</v>
      </c>
      <c r="T481" s="11">
        <f>IF($E481="","",IF(COUNTIF($E$2:$E481,$E481)=1,1,0))</f>
        <v>0</v>
      </c>
      <c r="U481" s="11" t="str">
        <f>IF(T481=1,SUM($T$2:T481),"")</f>
        <v/>
      </c>
      <c r="V481" s="11">
        <f>IF(OR($R481="",$R481="-"),"",IF(COUNTIF($R$2:$R481,$R481)=1,1,0))</f>
        <v>0</v>
      </c>
      <c r="W481" s="11" t="str">
        <f>IF(V481=1,SUM($V$2:V481),"")</f>
        <v/>
      </c>
      <c r="X481" s="11" t="str">
        <f t="shared" si="15"/>
        <v>SHOPEE</v>
      </c>
    </row>
    <row r="482" spans="1:24">
      <c r="A482" s="15" t="s">
        <v>79</v>
      </c>
      <c r="B482" s="15" t="s">
        <v>83</v>
      </c>
      <c r="C482" s="15" t="s">
        <v>1105</v>
      </c>
      <c r="D482" s="13">
        <v>46213.765277777777</v>
      </c>
      <c r="E482" s="15" t="s">
        <v>73</v>
      </c>
      <c r="F482" s="15" t="s">
        <v>1111</v>
      </c>
      <c r="G482" s="15" t="s">
        <v>74</v>
      </c>
      <c r="H482" s="15" t="s">
        <v>75</v>
      </c>
      <c r="I482" s="14">
        <v>6000</v>
      </c>
      <c r="J482" s="15" t="s">
        <v>1112</v>
      </c>
      <c r="K482" s="15" t="s">
        <v>27</v>
      </c>
      <c r="L482" s="15">
        <v>40</v>
      </c>
      <c r="M482" s="15">
        <v>0.12</v>
      </c>
      <c r="N482" s="15" t="s">
        <v>76</v>
      </c>
      <c r="O482" s="15" t="s">
        <v>76</v>
      </c>
      <c r="P482" s="14">
        <v>674000</v>
      </c>
      <c r="Q482" s="13">
        <v>46213.765972222223</v>
      </c>
      <c r="R482" s="15" t="s">
        <v>186</v>
      </c>
      <c r="S482" s="11" t="str">
        <f t="shared" si="14"/>
        <v>2026-07-10</v>
      </c>
      <c r="T482" s="11">
        <f>IF($E482="","",IF(COUNTIF($E$2:$E482,$E482)=1,1,0))</f>
        <v>0</v>
      </c>
      <c r="U482" s="11" t="str">
        <f>IF(T482=1,SUM($T$2:T482),"")</f>
        <v/>
      </c>
      <c r="V482" s="11">
        <f>IF(OR($R482="",$R482="-"),"",IF(COUNTIF($R$2:$R482,$R482)=1,1,0))</f>
        <v>0</v>
      </c>
      <c r="W482" s="11" t="str">
        <f>IF(V482=1,SUM($V$2:V482),"")</f>
        <v/>
      </c>
      <c r="X482" s="11" t="str">
        <f t="shared" si="15"/>
        <v>SHOPEE</v>
      </c>
    </row>
    <row r="483" spans="1:24">
      <c r="A483" s="15" t="s">
        <v>79</v>
      </c>
      <c r="B483" s="15" t="s">
        <v>83</v>
      </c>
      <c r="C483" s="15" t="s">
        <v>1105</v>
      </c>
      <c r="D483" s="13">
        <v>46213.765277777777</v>
      </c>
      <c r="E483" s="15" t="s">
        <v>73</v>
      </c>
      <c r="F483" s="15" t="s">
        <v>1113</v>
      </c>
      <c r="G483" s="15" t="s">
        <v>74</v>
      </c>
      <c r="H483" s="15" t="s">
        <v>75</v>
      </c>
      <c r="I483" s="14">
        <v>13000</v>
      </c>
      <c r="J483" s="15" t="s">
        <v>256</v>
      </c>
      <c r="K483" s="15" t="s">
        <v>24</v>
      </c>
      <c r="L483" s="15">
        <v>76</v>
      </c>
      <c r="M483" s="15">
        <v>0.23</v>
      </c>
      <c r="N483" s="15" t="s">
        <v>76</v>
      </c>
      <c r="O483" s="15" t="s">
        <v>76</v>
      </c>
      <c r="P483" s="14">
        <v>1303750</v>
      </c>
      <c r="Q483" s="13">
        <v>46213.765972222223</v>
      </c>
      <c r="R483" s="15" t="s">
        <v>186</v>
      </c>
      <c r="S483" s="11" t="str">
        <f t="shared" si="14"/>
        <v>2026-07-10</v>
      </c>
      <c r="T483" s="11">
        <f>IF($E483="","",IF(COUNTIF($E$2:$E483,$E483)=1,1,0))</f>
        <v>0</v>
      </c>
      <c r="U483" s="11" t="str">
        <f>IF(T483=1,SUM($T$2:T483),"")</f>
        <v/>
      </c>
      <c r="V483" s="11">
        <f>IF(OR($R483="",$R483="-"),"",IF(COUNTIF($R$2:$R483,$R483)=1,1,0))</f>
        <v>0</v>
      </c>
      <c r="W483" s="11" t="str">
        <f>IF(V483=1,SUM($V$2:V483),"")</f>
        <v/>
      </c>
      <c r="X483" s="11" t="str">
        <f t="shared" si="15"/>
        <v>SHOPEE</v>
      </c>
    </row>
    <row r="484" spans="1:24">
      <c r="A484" s="15" t="s">
        <v>79</v>
      </c>
      <c r="B484" s="15" t="s">
        <v>80</v>
      </c>
      <c r="C484" s="15" t="s">
        <v>1114</v>
      </c>
      <c r="D484" s="13">
        <v>46213.763888888891</v>
      </c>
      <c r="E484" s="15" t="s">
        <v>73</v>
      </c>
      <c r="F484" s="15" t="s">
        <v>1115</v>
      </c>
      <c r="G484" s="15" t="s">
        <v>74</v>
      </c>
      <c r="H484" s="15" t="s">
        <v>75</v>
      </c>
      <c r="I484" s="14">
        <v>42000</v>
      </c>
      <c r="J484" s="15" t="s">
        <v>260</v>
      </c>
      <c r="K484" s="15" t="s">
        <v>24</v>
      </c>
      <c r="L484" s="15">
        <v>1</v>
      </c>
      <c r="M484" s="15">
        <v>1.5</v>
      </c>
      <c r="N484" s="15" t="s">
        <v>76</v>
      </c>
      <c r="O484" s="15" t="s">
        <v>76</v>
      </c>
      <c r="P484" s="14">
        <v>101900</v>
      </c>
      <c r="Q484" s="13">
        <v>46213.763888888891</v>
      </c>
      <c r="R484" s="15" t="s">
        <v>274</v>
      </c>
      <c r="S484" s="11" t="str">
        <f t="shared" si="14"/>
        <v>2026-07-10</v>
      </c>
      <c r="T484" s="11">
        <f>IF($E484="","",IF(COUNTIF($E$2:$E484,$E484)=1,1,0))</f>
        <v>0</v>
      </c>
      <c r="U484" s="11" t="str">
        <f>IF(T484=1,SUM($T$2:T484),"")</f>
        <v/>
      </c>
      <c r="V484" s="11">
        <f>IF(OR($R484="",$R484="-"),"",IF(COUNTIF($R$2:$R484,$R484)=1,1,0))</f>
        <v>0</v>
      </c>
      <c r="W484" s="11" t="str">
        <f>IF(V484=1,SUM($V$2:V484),"")</f>
        <v/>
      </c>
      <c r="X484" s="11" t="str">
        <f t="shared" si="15"/>
        <v>SHOPEE</v>
      </c>
    </row>
    <row r="485" spans="1:24">
      <c r="A485" s="15" t="s">
        <v>1116</v>
      </c>
      <c r="B485" s="15" t="s">
        <v>72</v>
      </c>
      <c r="C485" s="15" t="s">
        <v>1117</v>
      </c>
      <c r="D485" s="13">
        <v>46213.720833333333</v>
      </c>
      <c r="E485" s="15" t="s">
        <v>111</v>
      </c>
      <c r="F485" s="15" t="s">
        <v>1118</v>
      </c>
      <c r="G485" s="15" t="s">
        <v>74</v>
      </c>
      <c r="H485" s="15" t="s">
        <v>75</v>
      </c>
      <c r="I485" s="14">
        <v>30000</v>
      </c>
      <c r="J485" s="15" t="s">
        <v>1119</v>
      </c>
      <c r="K485" s="15" t="s">
        <v>24</v>
      </c>
      <c r="L485" s="15">
        <v>1</v>
      </c>
      <c r="M485" s="15">
        <v>0.6</v>
      </c>
      <c r="N485" s="15" t="s">
        <v>76</v>
      </c>
      <c r="O485" s="15" t="s">
        <v>76</v>
      </c>
      <c r="P485" s="14">
        <v>230000</v>
      </c>
      <c r="Q485" s="13">
        <v>46213.720833333333</v>
      </c>
      <c r="R485" s="15" t="s">
        <v>1120</v>
      </c>
      <c r="S485" s="11" t="str">
        <f t="shared" si="14"/>
        <v>2026-07-10</v>
      </c>
      <c r="T485" s="11">
        <f>IF($E485="","",IF(COUNTIF($E$2:$E485,$E485)=1,1,0))</f>
        <v>0</v>
      </c>
      <c r="U485" s="11" t="str">
        <f>IF(T485=1,SUM($T$2:T485),"")</f>
        <v/>
      </c>
      <c r="V485" s="11">
        <f>IF(OR($R485="",$R485="-"),"",IF(COUNTIF($R$2:$R485,$R485)=1,1,0))</f>
        <v>1</v>
      </c>
      <c r="W485" s="11">
        <f>IF(V485=1,SUM($V$2:V485),"")</f>
        <v>172</v>
      </c>
      <c r="X485" s="11" t="str">
        <f t="shared" si="15"/>
        <v>TOKOPEDIA</v>
      </c>
    </row>
    <row r="486" spans="1:24">
      <c r="A486" s="15" t="s">
        <v>79</v>
      </c>
      <c r="B486" s="15" t="s">
        <v>83</v>
      </c>
      <c r="C486" s="15" t="s">
        <v>1121</v>
      </c>
      <c r="D486" s="13">
        <v>46213.700694444444</v>
      </c>
      <c r="E486" s="15" t="s">
        <v>73</v>
      </c>
      <c r="F486" s="15" t="s">
        <v>1122</v>
      </c>
      <c r="G486" s="15" t="s">
        <v>74</v>
      </c>
      <c r="H486" s="15" t="s">
        <v>75</v>
      </c>
      <c r="I486" s="14">
        <v>5500</v>
      </c>
      <c r="J486" s="15" t="s">
        <v>134</v>
      </c>
      <c r="K486" s="15" t="s">
        <v>28</v>
      </c>
      <c r="L486" s="15">
        <v>1</v>
      </c>
      <c r="M486" s="15">
        <v>0.11</v>
      </c>
      <c r="N486" s="15" t="s">
        <v>76</v>
      </c>
      <c r="O486" s="15" t="s">
        <v>76</v>
      </c>
      <c r="P486" s="14">
        <v>106296</v>
      </c>
      <c r="Q486" s="13">
        <v>46213.701388888891</v>
      </c>
      <c r="R486" s="15" t="s">
        <v>138</v>
      </c>
      <c r="S486" s="11" t="str">
        <f t="shared" si="14"/>
        <v>2026-07-10</v>
      </c>
      <c r="T486" s="11">
        <f>IF($E486="","",IF(COUNTIF($E$2:$E486,$E486)=1,1,0))</f>
        <v>0</v>
      </c>
      <c r="U486" s="11" t="str">
        <f>IF(T486=1,SUM($T$2:T486),"")</f>
        <v/>
      </c>
      <c r="V486" s="11">
        <f>IF(OR($R486="",$R486="-"),"",IF(COUNTIF($R$2:$R486,$R486)=1,1,0))</f>
        <v>0</v>
      </c>
      <c r="W486" s="11" t="str">
        <f>IF(V486=1,SUM($V$2:V486),"")</f>
        <v/>
      </c>
      <c r="X486" s="11" t="str">
        <f t="shared" si="15"/>
        <v>SHOPEE</v>
      </c>
    </row>
    <row r="487" spans="1:24">
      <c r="A487" s="15" t="s">
        <v>79</v>
      </c>
      <c r="B487" s="15" t="s">
        <v>83</v>
      </c>
      <c r="C487" s="15" t="s">
        <v>1123</v>
      </c>
      <c r="D487" s="13">
        <v>46213.675694444442</v>
      </c>
      <c r="E487" s="15" t="s">
        <v>73</v>
      </c>
      <c r="F487" s="15" t="s">
        <v>1124</v>
      </c>
      <c r="G487" s="15" t="s">
        <v>74</v>
      </c>
      <c r="H487" s="15" t="s">
        <v>75</v>
      </c>
      <c r="I487" s="14">
        <v>34000</v>
      </c>
      <c r="J487" s="15" t="s">
        <v>1125</v>
      </c>
      <c r="K487" s="15" t="s">
        <v>24</v>
      </c>
      <c r="L487" s="15">
        <v>1</v>
      </c>
      <c r="M487" s="15">
        <v>1</v>
      </c>
      <c r="N487" s="15" t="s">
        <v>76</v>
      </c>
      <c r="O487" s="15" t="s">
        <v>76</v>
      </c>
      <c r="P487" s="14">
        <v>400000</v>
      </c>
      <c r="Q487" s="13">
        <v>46213.675694444442</v>
      </c>
      <c r="R487" s="15" t="s">
        <v>1126</v>
      </c>
      <c r="S487" s="11" t="str">
        <f t="shared" si="14"/>
        <v>2026-07-10</v>
      </c>
      <c r="T487" s="11">
        <f>IF($E487="","",IF(COUNTIF($E$2:$E487,$E487)=1,1,0))</f>
        <v>0</v>
      </c>
      <c r="U487" s="11" t="str">
        <f>IF(T487=1,SUM($T$2:T487),"")</f>
        <v/>
      </c>
      <c r="V487" s="11">
        <f>IF(OR($R487="",$R487="-"),"",IF(COUNTIF($R$2:$R487,$R487)=1,1,0))</f>
        <v>1</v>
      </c>
      <c r="W487" s="11">
        <f>IF(V487=1,SUM($V$2:V487),"")</f>
        <v>173</v>
      </c>
      <c r="X487" s="11" t="str">
        <f t="shared" si="15"/>
        <v>SHOPEE</v>
      </c>
    </row>
    <row r="488" spans="1:24">
      <c r="A488" s="15" t="s">
        <v>1127</v>
      </c>
      <c r="B488" s="15" t="s">
        <v>250</v>
      </c>
      <c r="C488" s="15" t="s">
        <v>1128</v>
      </c>
      <c r="D488" s="13">
        <v>46213.60833333333</v>
      </c>
      <c r="E488" s="15" t="s">
        <v>111</v>
      </c>
      <c r="F488" s="15" t="s">
        <v>1129</v>
      </c>
      <c r="G488" s="15" t="s">
        <v>74</v>
      </c>
      <c r="H488" s="15" t="s">
        <v>75</v>
      </c>
      <c r="I488" s="14">
        <v>58000</v>
      </c>
      <c r="J488" s="15" t="s">
        <v>1130</v>
      </c>
      <c r="K488" s="15" t="s">
        <v>24</v>
      </c>
      <c r="L488" s="15">
        <v>1</v>
      </c>
      <c r="M488" s="15">
        <v>0.2</v>
      </c>
      <c r="N488" s="15" t="s">
        <v>76</v>
      </c>
      <c r="O488" s="15" t="s">
        <v>76</v>
      </c>
      <c r="P488" s="14">
        <v>680000</v>
      </c>
      <c r="Q488" s="13">
        <v>46213.60833333333</v>
      </c>
      <c r="R488" s="15" t="s">
        <v>1131</v>
      </c>
      <c r="S488" s="11" t="str">
        <f t="shared" si="14"/>
        <v>2026-07-10</v>
      </c>
      <c r="T488" s="11">
        <f>IF($E488="","",IF(COUNTIF($E$2:$E488,$E488)=1,1,0))</f>
        <v>0</v>
      </c>
      <c r="U488" s="11" t="str">
        <f>IF(T488=1,SUM($T$2:T488),"")</f>
        <v/>
      </c>
      <c r="V488" s="11">
        <f>IF(OR($R488="",$R488="-"),"",IF(COUNTIF($R$2:$R488,$R488)=1,1,0))</f>
        <v>1</v>
      </c>
      <c r="W488" s="11">
        <f>IF(V488=1,SUM($V$2:V488),"")</f>
        <v>174</v>
      </c>
      <c r="X488" s="11" t="str">
        <f t="shared" si="15"/>
        <v>TOKOPEDIA</v>
      </c>
    </row>
    <row r="489" spans="1:24">
      <c r="A489" s="15" t="s">
        <v>79</v>
      </c>
      <c r="B489" s="15" t="s">
        <v>83</v>
      </c>
      <c r="C489" s="15" t="s">
        <v>1132</v>
      </c>
      <c r="D489" s="13">
        <v>46213.595138888886</v>
      </c>
      <c r="E489" s="15" t="s">
        <v>95</v>
      </c>
      <c r="F489" s="15" t="s">
        <v>1133</v>
      </c>
      <c r="G489" s="15" t="s">
        <v>74</v>
      </c>
      <c r="H489" s="15" t="s">
        <v>75</v>
      </c>
      <c r="I489" s="14">
        <v>24000</v>
      </c>
      <c r="J489" s="15" t="s">
        <v>100</v>
      </c>
      <c r="K489" s="15" t="s">
        <v>24</v>
      </c>
      <c r="L489" s="15">
        <v>2</v>
      </c>
      <c r="M489" s="15">
        <v>2</v>
      </c>
      <c r="N489" s="15" t="s">
        <v>76</v>
      </c>
      <c r="O489" s="15" t="s">
        <v>76</v>
      </c>
      <c r="P489" s="14">
        <v>75500</v>
      </c>
      <c r="Q489" s="13">
        <v>46213.595138888886</v>
      </c>
      <c r="R489" s="15" t="s">
        <v>147</v>
      </c>
      <c r="S489" s="11" t="str">
        <f t="shared" si="14"/>
        <v>2026-07-10</v>
      </c>
      <c r="T489" s="11">
        <f>IF($E489="","",IF(COUNTIF($E$2:$E489,$E489)=1,1,0))</f>
        <v>0</v>
      </c>
      <c r="U489" s="11" t="str">
        <f>IF(T489=1,SUM($T$2:T489),"")</f>
        <v/>
      </c>
      <c r="V489" s="11">
        <f>IF(OR($R489="",$R489="-"),"",IF(COUNTIF($R$2:$R489,$R489)=1,1,0))</f>
        <v>0</v>
      </c>
      <c r="W489" s="11" t="str">
        <f>IF(V489=1,SUM($V$2:V489),"")</f>
        <v/>
      </c>
      <c r="X489" s="11" t="str">
        <f t="shared" si="15"/>
        <v>SHOPEE</v>
      </c>
    </row>
    <row r="490" spans="1:24">
      <c r="A490" s="15" t="s">
        <v>79</v>
      </c>
      <c r="B490" s="15" t="s">
        <v>80</v>
      </c>
      <c r="C490" s="15" t="s">
        <v>1134</v>
      </c>
      <c r="D490" s="13">
        <v>46213.536805555559</v>
      </c>
      <c r="E490" s="15" t="s">
        <v>95</v>
      </c>
      <c r="F490" s="15" t="s">
        <v>1135</v>
      </c>
      <c r="G490" s="15" t="s">
        <v>74</v>
      </c>
      <c r="H490" s="15" t="s">
        <v>75</v>
      </c>
      <c r="I490" s="14">
        <v>12000</v>
      </c>
      <c r="J490" s="15" t="s">
        <v>130</v>
      </c>
      <c r="K490" s="15" t="s">
        <v>24</v>
      </c>
      <c r="L490" s="15">
        <v>1</v>
      </c>
      <c r="M490" s="15">
        <v>0.5</v>
      </c>
      <c r="N490" s="15" t="s">
        <v>76</v>
      </c>
      <c r="O490" s="15" t="s">
        <v>76</v>
      </c>
      <c r="P490" s="14">
        <v>90000</v>
      </c>
      <c r="Q490" s="13">
        <v>46213.536805555559</v>
      </c>
      <c r="R490" s="15" t="s">
        <v>428</v>
      </c>
      <c r="S490" s="11" t="str">
        <f t="shared" si="14"/>
        <v>2026-07-10</v>
      </c>
      <c r="T490" s="11">
        <f>IF($E490="","",IF(COUNTIF($E$2:$E490,$E490)=1,1,0))</f>
        <v>0</v>
      </c>
      <c r="U490" s="11" t="str">
        <f>IF(T490=1,SUM($T$2:T490),"")</f>
        <v/>
      </c>
      <c r="V490" s="11">
        <f>IF(OR($R490="",$R490="-"),"",IF(COUNTIF($R$2:$R490,$R490)=1,1,0))</f>
        <v>0</v>
      </c>
      <c r="W490" s="11" t="str">
        <f>IF(V490=1,SUM($V$2:V490),"")</f>
        <v/>
      </c>
      <c r="X490" s="11" t="str">
        <f t="shared" si="15"/>
        <v>SHOPEE</v>
      </c>
    </row>
    <row r="491" spans="1:24">
      <c r="A491" s="15" t="s">
        <v>79</v>
      </c>
      <c r="B491" s="15" t="s">
        <v>80</v>
      </c>
      <c r="C491" s="15" t="s">
        <v>1136</v>
      </c>
      <c r="D491" s="13">
        <v>46213.53125</v>
      </c>
      <c r="E491" s="15" t="s">
        <v>95</v>
      </c>
      <c r="F491" s="15" t="s">
        <v>1137</v>
      </c>
      <c r="G491" s="15" t="s">
        <v>74</v>
      </c>
      <c r="H491" s="15" t="s">
        <v>75</v>
      </c>
      <c r="I491" s="14">
        <v>120000</v>
      </c>
      <c r="J491" s="15" t="s">
        <v>1138</v>
      </c>
      <c r="K491" s="15" t="s">
        <v>24</v>
      </c>
      <c r="L491" s="15">
        <v>1</v>
      </c>
      <c r="M491" s="15">
        <v>10</v>
      </c>
      <c r="N491" s="15" t="s">
        <v>76</v>
      </c>
      <c r="O491" s="15" t="s">
        <v>76</v>
      </c>
      <c r="P491" s="14">
        <v>1365000</v>
      </c>
      <c r="Q491" s="13">
        <v>46213.53125</v>
      </c>
      <c r="R491" s="15" t="s">
        <v>1139</v>
      </c>
      <c r="S491" s="11" t="str">
        <f t="shared" si="14"/>
        <v>2026-07-10</v>
      </c>
      <c r="T491" s="11">
        <f>IF($E491="","",IF(COUNTIF($E$2:$E491,$E491)=1,1,0))</f>
        <v>0</v>
      </c>
      <c r="U491" s="11" t="str">
        <f>IF(T491=1,SUM($T$2:T491),"")</f>
        <v/>
      </c>
      <c r="V491" s="11">
        <f>IF(OR($R491="",$R491="-"),"",IF(COUNTIF($R$2:$R491,$R491)=1,1,0))</f>
        <v>1</v>
      </c>
      <c r="W491" s="11">
        <f>IF(V491=1,SUM($V$2:V491),"")</f>
        <v>175</v>
      </c>
      <c r="X491" s="11" t="str">
        <f t="shared" si="15"/>
        <v>SHOPEE</v>
      </c>
    </row>
    <row r="492" spans="1:24">
      <c r="A492" s="15" t="s">
        <v>79</v>
      </c>
      <c r="B492" s="15" t="s">
        <v>80</v>
      </c>
      <c r="C492" s="15" t="s">
        <v>1140</v>
      </c>
      <c r="D492" s="13">
        <v>46213.529861111114</v>
      </c>
      <c r="E492" s="15" t="s">
        <v>95</v>
      </c>
      <c r="F492" s="15" t="s">
        <v>1141</v>
      </c>
      <c r="G492" s="15" t="s">
        <v>74</v>
      </c>
      <c r="H492" s="15" t="s">
        <v>75</v>
      </c>
      <c r="I492" s="14">
        <v>24000</v>
      </c>
      <c r="J492" s="15" t="s">
        <v>253</v>
      </c>
      <c r="K492" s="15" t="s">
        <v>24</v>
      </c>
      <c r="L492" s="15">
        <v>1</v>
      </c>
      <c r="M492" s="15">
        <v>1.91</v>
      </c>
      <c r="N492" s="15" t="s">
        <v>76</v>
      </c>
      <c r="O492" s="15" t="s">
        <v>76</v>
      </c>
      <c r="P492" s="14">
        <v>95807</v>
      </c>
      <c r="Q492" s="13">
        <v>46213.530555555553</v>
      </c>
      <c r="R492" s="15" t="s">
        <v>127</v>
      </c>
      <c r="S492" s="11" t="str">
        <f t="shared" si="14"/>
        <v>2026-07-10</v>
      </c>
      <c r="T492" s="11">
        <f>IF($E492="","",IF(COUNTIF($E$2:$E492,$E492)=1,1,0))</f>
        <v>0</v>
      </c>
      <c r="U492" s="11" t="str">
        <f>IF(T492=1,SUM($T$2:T492),"")</f>
        <v/>
      </c>
      <c r="V492" s="11">
        <f>IF(OR($R492="",$R492="-"),"",IF(COUNTIF($R$2:$R492,$R492)=1,1,0))</f>
        <v>0</v>
      </c>
      <c r="W492" s="11" t="str">
        <f>IF(V492=1,SUM($V$2:V492),"")</f>
        <v/>
      </c>
      <c r="X492" s="11" t="str">
        <f t="shared" si="15"/>
        <v>SHOPEE</v>
      </c>
    </row>
    <row r="493" spans="1:24">
      <c r="A493" s="15" t="s">
        <v>79</v>
      </c>
      <c r="B493" s="15" t="s">
        <v>83</v>
      </c>
      <c r="C493" s="15" t="s">
        <v>1142</v>
      </c>
      <c r="D493" s="13">
        <v>46213.479166666664</v>
      </c>
      <c r="E493" s="15" t="s">
        <v>95</v>
      </c>
      <c r="F493" s="15" t="s">
        <v>1143</v>
      </c>
      <c r="G493" s="15" t="s">
        <v>74</v>
      </c>
      <c r="H493" s="15" t="s">
        <v>75</v>
      </c>
      <c r="I493" s="14">
        <v>105000</v>
      </c>
      <c r="J493" s="15" t="s">
        <v>1144</v>
      </c>
      <c r="K493" s="15" t="s">
        <v>24</v>
      </c>
      <c r="L493" s="15">
        <v>1</v>
      </c>
      <c r="M493" s="15">
        <v>5</v>
      </c>
      <c r="N493" s="15" t="s">
        <v>76</v>
      </c>
      <c r="O493" s="15" t="s">
        <v>76</v>
      </c>
      <c r="P493" s="14">
        <v>200000</v>
      </c>
      <c r="Q493" s="13">
        <v>46213.479861111111</v>
      </c>
      <c r="R493" s="15" t="s">
        <v>269</v>
      </c>
      <c r="S493" s="11" t="str">
        <f t="shared" si="14"/>
        <v>2026-07-10</v>
      </c>
      <c r="T493" s="11">
        <f>IF($E493="","",IF(COUNTIF($E$2:$E493,$E493)=1,1,0))</f>
        <v>0</v>
      </c>
      <c r="U493" s="11" t="str">
        <f>IF(T493=1,SUM($T$2:T493),"")</f>
        <v/>
      </c>
      <c r="V493" s="11">
        <f>IF(OR($R493="",$R493="-"),"",IF(COUNTIF($R$2:$R493,$R493)=1,1,0))</f>
        <v>1</v>
      </c>
      <c r="W493" s="11">
        <f>IF(V493=1,SUM($V$2:V493),"")</f>
        <v>176</v>
      </c>
      <c r="X493" s="11" t="str">
        <f t="shared" si="15"/>
        <v>SHOPEE</v>
      </c>
    </row>
    <row r="494" spans="1:24">
      <c r="A494" s="15" t="s">
        <v>124</v>
      </c>
      <c r="B494" s="15" t="s">
        <v>72</v>
      </c>
      <c r="C494" s="15" t="s">
        <v>1145</v>
      </c>
      <c r="D494" s="13">
        <v>46213.379166666666</v>
      </c>
      <c r="E494" s="15" t="s">
        <v>95</v>
      </c>
      <c r="F494" s="15" t="s">
        <v>1146</v>
      </c>
      <c r="G494" s="15" t="s">
        <v>74</v>
      </c>
      <c r="H494" s="15" t="s">
        <v>75</v>
      </c>
      <c r="I494" s="14">
        <v>12000</v>
      </c>
      <c r="J494" s="15" t="s">
        <v>157</v>
      </c>
      <c r="K494" s="15" t="s">
        <v>24</v>
      </c>
      <c r="L494" s="15">
        <v>1</v>
      </c>
      <c r="M494" s="15">
        <v>0.2</v>
      </c>
      <c r="N494" s="15" t="s">
        <v>76</v>
      </c>
      <c r="O494" s="15" t="s">
        <v>76</v>
      </c>
      <c r="P494" s="14">
        <v>115776</v>
      </c>
      <c r="Q494" s="13">
        <v>46213.379861111112</v>
      </c>
      <c r="R494" s="15" t="s">
        <v>126</v>
      </c>
      <c r="S494" s="11" t="str">
        <f t="shared" si="14"/>
        <v>2026-07-10</v>
      </c>
      <c r="T494" s="11">
        <f>IF($E494="","",IF(COUNTIF($E$2:$E494,$E494)=1,1,0))</f>
        <v>0</v>
      </c>
      <c r="U494" s="11" t="str">
        <f>IF(T494=1,SUM($T$2:T494),"")</f>
        <v/>
      </c>
      <c r="V494" s="11">
        <f>IF(OR($R494="",$R494="-"),"",IF(COUNTIF($R$2:$R494,$R494)=1,1,0))</f>
        <v>1</v>
      </c>
      <c r="W494" s="11">
        <f>IF(V494=1,SUM($V$2:V494),"")</f>
        <v>177</v>
      </c>
      <c r="X494" s="11" t="str">
        <f t="shared" si="15"/>
        <v>TOKOPEDIA</v>
      </c>
    </row>
    <row r="495" spans="1:24">
      <c r="A495" s="15" t="s">
        <v>79</v>
      </c>
      <c r="B495" s="15" t="s">
        <v>83</v>
      </c>
      <c r="C495" s="15" t="s">
        <v>1147</v>
      </c>
      <c r="D495" s="13">
        <v>46213.377083333333</v>
      </c>
      <c r="E495" s="15" t="s">
        <v>95</v>
      </c>
      <c r="F495" s="15" t="s">
        <v>1148</v>
      </c>
      <c r="G495" s="15" t="s">
        <v>74</v>
      </c>
      <c r="H495" s="15" t="s">
        <v>75</v>
      </c>
      <c r="I495" s="14">
        <v>12000</v>
      </c>
      <c r="J495" s="15" t="s">
        <v>97</v>
      </c>
      <c r="K495" s="15" t="s">
        <v>24</v>
      </c>
      <c r="L495" s="15">
        <v>1</v>
      </c>
      <c r="M495" s="15">
        <v>0.2</v>
      </c>
      <c r="N495" s="15" t="s">
        <v>76</v>
      </c>
      <c r="O495" s="15" t="s">
        <v>76</v>
      </c>
      <c r="P495" s="14">
        <v>38000</v>
      </c>
      <c r="Q495" s="13">
        <v>46213.37777777778</v>
      </c>
      <c r="R495" s="15" t="s">
        <v>1149</v>
      </c>
      <c r="S495" s="11" t="str">
        <f t="shared" si="14"/>
        <v>2026-07-10</v>
      </c>
      <c r="T495" s="11">
        <f>IF($E495="","",IF(COUNTIF($E$2:$E495,$E495)=1,1,0))</f>
        <v>0</v>
      </c>
      <c r="U495" s="11" t="str">
        <f>IF(T495=1,SUM($T$2:T495),"")</f>
        <v/>
      </c>
      <c r="V495" s="11">
        <f>IF(OR($R495="",$R495="-"),"",IF(COUNTIF($R$2:$R495,$R495)=1,1,0))</f>
        <v>1</v>
      </c>
      <c r="W495" s="11">
        <f>IF(V495=1,SUM($V$2:V495),"")</f>
        <v>178</v>
      </c>
      <c r="X495" s="11" t="str">
        <f t="shared" si="15"/>
        <v>SHOPEE</v>
      </c>
    </row>
    <row r="496" spans="1:24">
      <c r="A496" s="15" t="s">
        <v>1150</v>
      </c>
      <c r="B496" s="15" t="s">
        <v>116</v>
      </c>
      <c r="C496" s="15" t="s">
        <v>1151</v>
      </c>
      <c r="D496" s="13">
        <v>46213.355555555558</v>
      </c>
      <c r="E496" s="15" t="s">
        <v>95</v>
      </c>
      <c r="F496" s="15" t="s">
        <v>1152</v>
      </c>
      <c r="G496" s="15" t="s">
        <v>74</v>
      </c>
      <c r="H496" s="15" t="s">
        <v>75</v>
      </c>
      <c r="I496" s="14">
        <v>27000</v>
      </c>
      <c r="J496" s="15" t="s">
        <v>117</v>
      </c>
      <c r="K496" s="15" t="s">
        <v>26</v>
      </c>
      <c r="L496" s="15">
        <v>1</v>
      </c>
      <c r="M496" s="15">
        <v>4</v>
      </c>
      <c r="N496" s="15" t="s">
        <v>76</v>
      </c>
      <c r="O496" s="15" t="s">
        <v>76</v>
      </c>
      <c r="P496" s="14">
        <v>120500</v>
      </c>
      <c r="Q496" s="13">
        <v>46213.355555555558</v>
      </c>
      <c r="R496" s="15" t="s">
        <v>1150</v>
      </c>
      <c r="S496" s="11" t="str">
        <f t="shared" si="14"/>
        <v>2026-07-10</v>
      </c>
      <c r="T496" s="11">
        <f>IF($E496="","",IF(COUNTIF($E$2:$E496,$E496)=1,1,0))</f>
        <v>0</v>
      </c>
      <c r="U496" s="11" t="str">
        <f>IF(T496=1,SUM($T$2:T496),"")</f>
        <v/>
      </c>
      <c r="V496" s="11">
        <f>IF(OR($R496="",$R496="-"),"",IF(COUNTIF($R$2:$R496,$R496)=1,1,0))</f>
        <v>1</v>
      </c>
      <c r="W496" s="11">
        <f>IF(V496=1,SUM($V$2:V496),"")</f>
        <v>179</v>
      </c>
      <c r="X496" s="11" t="str">
        <f t="shared" si="15"/>
        <v>SHOPEE</v>
      </c>
    </row>
    <row r="497" spans="1:24">
      <c r="A497" s="15" t="s">
        <v>79</v>
      </c>
      <c r="B497" s="15" t="s">
        <v>83</v>
      </c>
      <c r="C497" s="15" t="s">
        <v>1153</v>
      </c>
      <c r="D497" s="13">
        <v>46213.337500000001</v>
      </c>
      <c r="E497" s="15" t="s">
        <v>95</v>
      </c>
      <c r="F497" s="15" t="s">
        <v>1154</v>
      </c>
      <c r="G497" s="15" t="s">
        <v>74</v>
      </c>
      <c r="H497" s="15" t="s">
        <v>75</v>
      </c>
      <c r="I497" s="14">
        <v>24000</v>
      </c>
      <c r="J497" s="15" t="s">
        <v>167</v>
      </c>
      <c r="K497" s="15" t="s">
        <v>24</v>
      </c>
      <c r="L497" s="15">
        <v>1</v>
      </c>
      <c r="M497" s="15">
        <v>1.5</v>
      </c>
      <c r="N497" s="15" t="s">
        <v>76</v>
      </c>
      <c r="O497" s="15" t="s">
        <v>76</v>
      </c>
      <c r="P497" s="15">
        <v>99</v>
      </c>
      <c r="Q497" s="13">
        <v>46213.337500000001</v>
      </c>
      <c r="R497" s="15" t="s">
        <v>189</v>
      </c>
      <c r="S497" s="11" t="str">
        <f t="shared" si="14"/>
        <v>2026-07-10</v>
      </c>
      <c r="T497" s="11">
        <f>IF($E497="","",IF(COUNTIF($E$2:$E497,$E497)=1,1,0))</f>
        <v>0</v>
      </c>
      <c r="U497" s="11" t="str">
        <f>IF(T497=1,SUM($T$2:T497),"")</f>
        <v/>
      </c>
      <c r="V497" s="11">
        <f>IF(OR($R497="",$R497="-"),"",IF(COUNTIF($R$2:$R497,$R497)=1,1,0))</f>
        <v>0</v>
      </c>
      <c r="W497" s="11" t="str">
        <f>IF(V497=1,SUM($V$2:V497),"")</f>
        <v/>
      </c>
      <c r="X497" s="11" t="str">
        <f t="shared" si="15"/>
        <v>SHOPEE</v>
      </c>
    </row>
    <row r="498" spans="1:24">
      <c r="A498" s="15" t="s">
        <v>79</v>
      </c>
      <c r="B498" s="15" t="s">
        <v>83</v>
      </c>
      <c r="C498" s="15" t="s">
        <v>1155</v>
      </c>
      <c r="D498" s="13">
        <v>46213.336805555555</v>
      </c>
      <c r="E498" s="15" t="s">
        <v>95</v>
      </c>
      <c r="F498" s="15" t="s">
        <v>1156</v>
      </c>
      <c r="G498" s="15" t="s">
        <v>74</v>
      </c>
      <c r="H498" s="15" t="s">
        <v>75</v>
      </c>
      <c r="I498" s="14">
        <v>24000</v>
      </c>
      <c r="J498" s="15" t="s">
        <v>97</v>
      </c>
      <c r="K498" s="15" t="s">
        <v>24</v>
      </c>
      <c r="L498" s="15">
        <v>1</v>
      </c>
      <c r="M498" s="15">
        <v>1.5</v>
      </c>
      <c r="N498" s="15" t="s">
        <v>76</v>
      </c>
      <c r="O498" s="15" t="s">
        <v>76</v>
      </c>
      <c r="P498" s="15">
        <v>99</v>
      </c>
      <c r="Q498" s="13">
        <v>46213.336805555555</v>
      </c>
      <c r="R498" s="15" t="s">
        <v>189</v>
      </c>
      <c r="S498" s="11" t="str">
        <f t="shared" si="14"/>
        <v>2026-07-10</v>
      </c>
      <c r="T498" s="11">
        <f>IF($E498="","",IF(COUNTIF($E$2:$E498,$E498)=1,1,0))</f>
        <v>0</v>
      </c>
      <c r="U498" s="11" t="str">
        <f>IF(T498=1,SUM($T$2:T498),"")</f>
        <v/>
      </c>
      <c r="V498" s="11">
        <f>IF(OR($R498="",$R498="-"),"",IF(COUNTIF($R$2:$R498,$R498)=1,1,0))</f>
        <v>0</v>
      </c>
      <c r="W498" s="11" t="str">
        <f>IF(V498=1,SUM($V$2:V498),"")</f>
        <v/>
      </c>
      <c r="X498" s="11" t="str">
        <f t="shared" si="15"/>
        <v>SHOPEE</v>
      </c>
    </row>
    <row r="499" spans="1:24">
      <c r="A499" s="15" t="s">
        <v>79</v>
      </c>
      <c r="B499" s="15" t="s">
        <v>83</v>
      </c>
      <c r="C499" s="15" t="s">
        <v>1157</v>
      </c>
      <c r="D499" s="13">
        <v>46213.336111111108</v>
      </c>
      <c r="E499" s="15" t="s">
        <v>95</v>
      </c>
      <c r="F499" s="15" t="s">
        <v>1158</v>
      </c>
      <c r="G499" s="15" t="s">
        <v>74</v>
      </c>
      <c r="H499" s="15" t="s">
        <v>75</v>
      </c>
      <c r="I499" s="14">
        <v>24000</v>
      </c>
      <c r="J499" s="15" t="s">
        <v>200</v>
      </c>
      <c r="K499" s="15" t="s">
        <v>24</v>
      </c>
      <c r="L499" s="15">
        <v>1</v>
      </c>
      <c r="M499" s="15">
        <v>1.5</v>
      </c>
      <c r="N499" s="15" t="s">
        <v>76</v>
      </c>
      <c r="O499" s="15" t="s">
        <v>76</v>
      </c>
      <c r="P499" s="15">
        <v>99</v>
      </c>
      <c r="Q499" s="13">
        <v>46213.336805555555</v>
      </c>
      <c r="R499" s="15" t="s">
        <v>189</v>
      </c>
      <c r="S499" s="11" t="str">
        <f t="shared" si="14"/>
        <v>2026-07-10</v>
      </c>
      <c r="T499" s="11">
        <f>IF($E499="","",IF(COUNTIF($E$2:$E499,$E499)=1,1,0))</f>
        <v>0</v>
      </c>
      <c r="U499" s="11" t="str">
        <f>IF(T499=1,SUM($T$2:T499),"")</f>
        <v/>
      </c>
      <c r="V499" s="11">
        <f>IF(OR($R499="",$R499="-"),"",IF(COUNTIF($R$2:$R499,$R499)=1,1,0))</f>
        <v>0</v>
      </c>
      <c r="W499" s="11" t="str">
        <f>IF(V499=1,SUM($V$2:V499),"")</f>
        <v/>
      </c>
      <c r="X499" s="11" t="str">
        <f t="shared" si="15"/>
        <v>SHOPEE</v>
      </c>
    </row>
    <row r="500" spans="1:24">
      <c r="A500" s="15" t="s">
        <v>79</v>
      </c>
      <c r="B500" s="15" t="s">
        <v>83</v>
      </c>
      <c r="C500" s="15" t="s">
        <v>1159</v>
      </c>
      <c r="D500" s="13">
        <v>46213.334722222222</v>
      </c>
      <c r="E500" s="15" t="s">
        <v>95</v>
      </c>
      <c r="F500" s="15" t="s">
        <v>1160</v>
      </c>
      <c r="G500" s="15" t="s">
        <v>74</v>
      </c>
      <c r="H500" s="15" t="s">
        <v>75</v>
      </c>
      <c r="I500" s="14">
        <v>23000</v>
      </c>
      <c r="J500" s="15" t="s">
        <v>1161</v>
      </c>
      <c r="K500" s="15" t="s">
        <v>24</v>
      </c>
      <c r="L500" s="15">
        <v>1</v>
      </c>
      <c r="M500" s="15">
        <v>1</v>
      </c>
      <c r="N500" s="15" t="s">
        <v>76</v>
      </c>
      <c r="O500" s="15" t="s">
        <v>76</v>
      </c>
      <c r="P500" s="14">
        <v>49250</v>
      </c>
      <c r="Q500" s="13">
        <v>46213.335416666669</v>
      </c>
      <c r="R500" s="15" t="s">
        <v>175</v>
      </c>
      <c r="S500" s="11" t="str">
        <f t="shared" si="14"/>
        <v>2026-07-10</v>
      </c>
      <c r="T500" s="11">
        <f>IF($E500="","",IF(COUNTIF($E$2:$E500,$E500)=1,1,0))</f>
        <v>0</v>
      </c>
      <c r="U500" s="11" t="str">
        <f>IF(T500=1,SUM($T$2:T500),"")</f>
        <v/>
      </c>
      <c r="V500" s="11">
        <f>IF(OR($R500="",$R500="-"),"",IF(COUNTIF($R$2:$R500,$R500)=1,1,0))</f>
        <v>0</v>
      </c>
      <c r="W500" s="11" t="str">
        <f>IF(V500=1,SUM($V$2:V500),"")</f>
        <v/>
      </c>
      <c r="X500" s="11" t="str">
        <f t="shared" si="15"/>
        <v>SHOPEE</v>
      </c>
    </row>
    <row r="501" spans="1:24">
      <c r="A501" s="15" t="s">
        <v>79</v>
      </c>
      <c r="B501" s="15" t="s">
        <v>83</v>
      </c>
      <c r="C501" s="15" t="s">
        <v>1162</v>
      </c>
      <c r="D501" s="13">
        <v>46212.793055555558</v>
      </c>
      <c r="E501" s="15" t="s">
        <v>111</v>
      </c>
      <c r="F501" s="15" t="s">
        <v>1163</v>
      </c>
      <c r="G501" s="15" t="s">
        <v>74</v>
      </c>
      <c r="H501" s="15" t="s">
        <v>75</v>
      </c>
      <c r="I501" s="14">
        <v>12000</v>
      </c>
      <c r="J501" s="15" t="s">
        <v>157</v>
      </c>
      <c r="K501" s="15" t="s">
        <v>24</v>
      </c>
      <c r="L501" s="15">
        <v>2</v>
      </c>
      <c r="M501" s="15">
        <v>0.15</v>
      </c>
      <c r="N501" s="15" t="s">
        <v>76</v>
      </c>
      <c r="O501" s="15" t="s">
        <v>76</v>
      </c>
      <c r="P501" s="14">
        <v>92000</v>
      </c>
      <c r="Q501" s="13">
        <v>46212.793055555558</v>
      </c>
      <c r="R501" s="15" t="s">
        <v>1164</v>
      </c>
      <c r="S501" s="11" t="str">
        <f t="shared" si="14"/>
        <v>2026-07-09</v>
      </c>
      <c r="T501" s="11">
        <f>IF($E501="","",IF(COUNTIF($E$2:$E501,$E501)=1,1,0))</f>
        <v>0</v>
      </c>
      <c r="U501" s="11" t="str">
        <f>IF(T501=1,SUM($T$2:T501),"")</f>
        <v/>
      </c>
      <c r="V501" s="11">
        <f>IF(OR($R501="",$R501="-"),"",IF(COUNTIF($R$2:$R501,$R501)=1,1,0))</f>
        <v>1</v>
      </c>
      <c r="W501" s="11">
        <f>IF(V501=1,SUM($V$2:V501),"")</f>
        <v>180</v>
      </c>
      <c r="X501" s="11" t="str">
        <f t="shared" si="15"/>
        <v>SHOPEE</v>
      </c>
    </row>
    <row r="502" spans="1:24">
      <c r="A502" s="15" t="s">
        <v>79</v>
      </c>
      <c r="B502" s="15" t="s">
        <v>83</v>
      </c>
      <c r="C502" s="15" t="s">
        <v>1165</v>
      </c>
      <c r="D502" s="13">
        <v>46212.785416666666</v>
      </c>
      <c r="E502" s="15" t="s">
        <v>73</v>
      </c>
      <c r="F502" s="15" t="s">
        <v>1166</v>
      </c>
      <c r="G502" s="15" t="s">
        <v>74</v>
      </c>
      <c r="H502" s="15" t="s">
        <v>75</v>
      </c>
      <c r="I502" s="14">
        <v>28000</v>
      </c>
      <c r="J502" s="15" t="s">
        <v>1167</v>
      </c>
      <c r="K502" s="15" t="s">
        <v>27</v>
      </c>
      <c r="L502" s="15">
        <v>2</v>
      </c>
      <c r="M502" s="15">
        <v>0.24</v>
      </c>
      <c r="N502" s="15" t="s">
        <v>76</v>
      </c>
      <c r="O502" s="15" t="s">
        <v>76</v>
      </c>
      <c r="P502" s="14">
        <v>307000</v>
      </c>
      <c r="Q502" s="13">
        <v>46212.786111111112</v>
      </c>
      <c r="R502" s="15" t="s">
        <v>270</v>
      </c>
      <c r="S502" s="11" t="str">
        <f t="shared" si="14"/>
        <v>2026-07-09</v>
      </c>
      <c r="T502" s="11">
        <f>IF($E502="","",IF(COUNTIF($E$2:$E502,$E502)=1,1,0))</f>
        <v>0</v>
      </c>
      <c r="U502" s="11" t="str">
        <f>IF(T502=1,SUM($T$2:T502),"")</f>
        <v/>
      </c>
      <c r="V502" s="11">
        <f>IF(OR($R502="",$R502="-"),"",IF(COUNTIF($R$2:$R502,$R502)=1,1,0))</f>
        <v>0</v>
      </c>
      <c r="W502" s="11" t="str">
        <f>IF(V502=1,SUM($V$2:V502),"")</f>
        <v/>
      </c>
      <c r="X502" s="11" t="str">
        <f t="shared" si="15"/>
        <v>SHOPEE</v>
      </c>
    </row>
    <row r="503" spans="1:24">
      <c r="A503" s="15" t="s">
        <v>1168</v>
      </c>
      <c r="B503" s="15" t="s">
        <v>191</v>
      </c>
      <c r="C503" s="15" t="s">
        <v>1169</v>
      </c>
      <c r="D503" s="13">
        <v>46212.753472222219</v>
      </c>
      <c r="E503" s="15" t="s">
        <v>111</v>
      </c>
      <c r="F503" s="15" t="s">
        <v>1170</v>
      </c>
      <c r="G503" s="15" t="s">
        <v>74</v>
      </c>
      <c r="H503" s="15" t="s">
        <v>75</v>
      </c>
      <c r="I503" s="14">
        <v>12000</v>
      </c>
      <c r="J503" s="15" t="s">
        <v>100</v>
      </c>
      <c r="K503" s="15" t="s">
        <v>24</v>
      </c>
      <c r="L503" s="15">
        <v>1</v>
      </c>
      <c r="M503" s="15">
        <v>0.35</v>
      </c>
      <c r="N503" s="15" t="s">
        <v>76</v>
      </c>
      <c r="O503" s="15" t="s">
        <v>76</v>
      </c>
      <c r="P503" s="14">
        <v>210000</v>
      </c>
      <c r="Q503" s="13">
        <v>46212.754861111112</v>
      </c>
      <c r="R503" s="15" t="s">
        <v>1171</v>
      </c>
      <c r="S503" s="11" t="str">
        <f t="shared" si="14"/>
        <v>2026-07-09</v>
      </c>
      <c r="T503" s="11">
        <f>IF($E503="","",IF(COUNTIF($E$2:$E503,$E503)=1,1,0))</f>
        <v>0</v>
      </c>
      <c r="U503" s="11" t="str">
        <f>IF(T503=1,SUM($T$2:T503),"")</f>
        <v/>
      </c>
      <c r="V503" s="11">
        <f>IF(OR($R503="",$R503="-"),"",IF(COUNTIF($R$2:$R503,$R503)=1,1,0))</f>
        <v>1</v>
      </c>
      <c r="W503" s="11">
        <f>IF(V503=1,SUM($V$2:V503),"")</f>
        <v>181</v>
      </c>
      <c r="X503" s="11" t="str">
        <f t="shared" si="15"/>
        <v>TOKGISTIC</v>
      </c>
    </row>
    <row r="504" spans="1:24">
      <c r="A504" s="15" t="s">
        <v>79</v>
      </c>
      <c r="B504" s="15" t="s">
        <v>83</v>
      </c>
      <c r="C504" s="15" t="s">
        <v>1169</v>
      </c>
      <c r="D504" s="13">
        <v>46212.753472222219</v>
      </c>
      <c r="E504" s="15" t="s">
        <v>111</v>
      </c>
      <c r="F504" s="15" t="s">
        <v>1172</v>
      </c>
      <c r="G504" s="15" t="s">
        <v>74</v>
      </c>
      <c r="H504" s="15" t="s">
        <v>75</v>
      </c>
      <c r="I504" s="14">
        <v>10000</v>
      </c>
      <c r="J504" s="15" t="s">
        <v>1173</v>
      </c>
      <c r="K504" s="15" t="s">
        <v>30</v>
      </c>
      <c r="L504" s="15">
        <v>2</v>
      </c>
      <c r="M504" s="15">
        <v>0.7</v>
      </c>
      <c r="N504" s="15" t="s">
        <v>76</v>
      </c>
      <c r="O504" s="15" t="s">
        <v>76</v>
      </c>
      <c r="P504" s="14">
        <v>42000</v>
      </c>
      <c r="Q504" s="13">
        <v>46212.754861111112</v>
      </c>
      <c r="R504" s="15" t="s">
        <v>133</v>
      </c>
      <c r="S504" s="11" t="str">
        <f t="shared" si="14"/>
        <v>2026-07-09</v>
      </c>
      <c r="T504" s="11">
        <f>IF($E504="","",IF(COUNTIF($E$2:$E504,$E504)=1,1,0))</f>
        <v>0</v>
      </c>
      <c r="U504" s="11" t="str">
        <f>IF(T504=1,SUM($T$2:T504),"")</f>
        <v/>
      </c>
      <c r="V504" s="11">
        <f>IF(OR($R504="",$R504="-"),"",IF(COUNTIF($R$2:$R504,$R504)=1,1,0))</f>
        <v>0</v>
      </c>
      <c r="W504" s="11" t="str">
        <f>IF(V504=1,SUM($V$2:V504),"")</f>
        <v/>
      </c>
      <c r="X504" s="11" t="str">
        <f t="shared" si="15"/>
        <v>SHOPEE</v>
      </c>
    </row>
    <row r="505" spans="1:24">
      <c r="A505" s="15" t="s">
        <v>79</v>
      </c>
      <c r="B505" s="15" t="s">
        <v>83</v>
      </c>
      <c r="C505" s="15" t="s">
        <v>1169</v>
      </c>
      <c r="D505" s="13">
        <v>46212.753472222219</v>
      </c>
      <c r="E505" s="15" t="s">
        <v>111</v>
      </c>
      <c r="F505" s="15" t="s">
        <v>1174</v>
      </c>
      <c r="G505" s="15" t="s">
        <v>74</v>
      </c>
      <c r="H505" s="15" t="s">
        <v>75</v>
      </c>
      <c r="I505" s="14">
        <v>8500</v>
      </c>
      <c r="J505" s="15" t="s">
        <v>1175</v>
      </c>
      <c r="K505" s="15" t="s">
        <v>27</v>
      </c>
      <c r="L505" s="15">
        <v>1</v>
      </c>
      <c r="M505" s="15">
        <v>0.45</v>
      </c>
      <c r="N505" s="15" t="s">
        <v>76</v>
      </c>
      <c r="O505" s="15" t="s">
        <v>76</v>
      </c>
      <c r="P505" s="14">
        <v>14900</v>
      </c>
      <c r="Q505" s="13">
        <v>46212.754861111112</v>
      </c>
      <c r="R505" s="15" t="s">
        <v>133</v>
      </c>
      <c r="S505" s="11" t="str">
        <f t="shared" si="14"/>
        <v>2026-07-09</v>
      </c>
      <c r="T505" s="11">
        <f>IF($E505="","",IF(COUNTIF($E$2:$E505,$E505)=1,1,0))</f>
        <v>0</v>
      </c>
      <c r="U505" s="11" t="str">
        <f>IF(T505=1,SUM($T$2:T505),"")</f>
        <v/>
      </c>
      <c r="V505" s="11">
        <f>IF(OR($R505="",$R505="-"),"",IF(COUNTIF($R$2:$R505,$R505)=1,1,0))</f>
        <v>0</v>
      </c>
      <c r="W505" s="11" t="str">
        <f>IF(V505=1,SUM($V$2:V505),"")</f>
        <v/>
      </c>
      <c r="X505" s="11" t="str">
        <f t="shared" si="15"/>
        <v>SHOPEE</v>
      </c>
    </row>
    <row r="506" spans="1:24">
      <c r="A506" s="15" t="s">
        <v>79</v>
      </c>
      <c r="B506" s="15" t="s">
        <v>83</v>
      </c>
      <c r="C506" s="15" t="s">
        <v>1176</v>
      </c>
      <c r="D506" s="13">
        <v>46212.731944444444</v>
      </c>
      <c r="E506" s="15" t="s">
        <v>111</v>
      </c>
      <c r="F506" s="15" t="s">
        <v>1177</v>
      </c>
      <c r="G506" s="15" t="s">
        <v>74</v>
      </c>
      <c r="H506" s="15" t="s">
        <v>75</v>
      </c>
      <c r="I506" s="14">
        <v>20000</v>
      </c>
      <c r="J506" s="15" t="s">
        <v>1178</v>
      </c>
      <c r="K506" s="15" t="s">
        <v>24</v>
      </c>
      <c r="L506" s="15">
        <v>1</v>
      </c>
      <c r="M506" s="15">
        <v>1</v>
      </c>
      <c r="N506" s="15" t="s">
        <v>76</v>
      </c>
      <c r="O506" s="15" t="s">
        <v>76</v>
      </c>
      <c r="P506" s="14">
        <v>660000</v>
      </c>
      <c r="Q506" s="13">
        <v>46212.731944444444</v>
      </c>
      <c r="R506" s="15" t="s">
        <v>86</v>
      </c>
      <c r="S506" s="11" t="str">
        <f t="shared" si="14"/>
        <v>2026-07-09</v>
      </c>
      <c r="T506" s="11">
        <f>IF($E506="","",IF(COUNTIF($E$2:$E506,$E506)=1,1,0))</f>
        <v>0</v>
      </c>
      <c r="U506" s="11" t="str">
        <f>IF(T506=1,SUM($T$2:T506),"")</f>
        <v/>
      </c>
      <c r="V506" s="11">
        <f>IF(OR($R506="",$R506="-"),"",IF(COUNTIF($R$2:$R506,$R506)=1,1,0))</f>
        <v>0</v>
      </c>
      <c r="W506" s="11" t="str">
        <f>IF(V506=1,SUM($V$2:V506),"")</f>
        <v/>
      </c>
      <c r="X506" s="11" t="str">
        <f t="shared" si="15"/>
        <v>SHOPEE</v>
      </c>
    </row>
    <row r="507" spans="1:24">
      <c r="A507" s="15" t="s">
        <v>79</v>
      </c>
      <c r="B507" s="15" t="s">
        <v>83</v>
      </c>
      <c r="C507" s="15" t="s">
        <v>1179</v>
      </c>
      <c r="D507" s="13">
        <v>46212.702777777777</v>
      </c>
      <c r="E507" s="15" t="s">
        <v>73</v>
      </c>
      <c r="F507" s="15" t="s">
        <v>1180</v>
      </c>
      <c r="G507" s="15" t="s">
        <v>74</v>
      </c>
      <c r="H507" s="15" t="s">
        <v>75</v>
      </c>
      <c r="I507" s="14">
        <v>21000</v>
      </c>
      <c r="J507" s="15" t="s">
        <v>317</v>
      </c>
      <c r="K507" s="15" t="s">
        <v>24</v>
      </c>
      <c r="L507" s="15">
        <v>6</v>
      </c>
      <c r="M507" s="15">
        <v>0.3</v>
      </c>
      <c r="N507" s="15" t="s">
        <v>76</v>
      </c>
      <c r="O507" s="15" t="s">
        <v>76</v>
      </c>
      <c r="P507" s="14">
        <v>820000</v>
      </c>
      <c r="Q507" s="13">
        <v>46212.702777777777</v>
      </c>
      <c r="R507" s="15" t="s">
        <v>266</v>
      </c>
      <c r="S507" s="11" t="str">
        <f t="shared" si="14"/>
        <v>2026-07-09</v>
      </c>
      <c r="T507" s="11">
        <f>IF($E507="","",IF(COUNTIF($E$2:$E507,$E507)=1,1,0))</f>
        <v>0</v>
      </c>
      <c r="U507" s="11" t="str">
        <f>IF(T507=1,SUM($T$2:T507),"")</f>
        <v/>
      </c>
      <c r="V507" s="11">
        <f>IF(OR($R507="",$R507="-"),"",IF(COUNTIF($R$2:$R507,$R507)=1,1,0))</f>
        <v>0</v>
      </c>
      <c r="W507" s="11" t="str">
        <f>IF(V507=1,SUM($V$2:V507),"")</f>
        <v/>
      </c>
      <c r="X507" s="11" t="str">
        <f t="shared" si="15"/>
        <v>SHOPEE</v>
      </c>
    </row>
    <row r="508" spans="1:24">
      <c r="A508" s="15" t="s">
        <v>79</v>
      </c>
      <c r="B508" s="15" t="s">
        <v>83</v>
      </c>
      <c r="C508" s="15" t="s">
        <v>1181</v>
      </c>
      <c r="D508" s="13">
        <v>46212.692361111112</v>
      </c>
      <c r="E508" s="15" t="s">
        <v>73</v>
      </c>
      <c r="F508" s="15" t="s">
        <v>1182</v>
      </c>
      <c r="G508" s="15" t="s">
        <v>74</v>
      </c>
      <c r="H508" s="15" t="s">
        <v>75</v>
      </c>
      <c r="I508" s="14">
        <v>12000</v>
      </c>
      <c r="J508" s="15" t="s">
        <v>101</v>
      </c>
      <c r="K508" s="15" t="s">
        <v>24</v>
      </c>
      <c r="L508" s="15">
        <v>1</v>
      </c>
      <c r="M508" s="15">
        <v>0.72</v>
      </c>
      <c r="N508" s="15" t="s">
        <v>76</v>
      </c>
      <c r="O508" s="15" t="s">
        <v>76</v>
      </c>
      <c r="P508" s="14">
        <v>114000</v>
      </c>
      <c r="Q508" s="13">
        <v>46212.692361111112</v>
      </c>
      <c r="R508" s="15" t="s">
        <v>109</v>
      </c>
      <c r="S508" s="11" t="str">
        <f t="shared" si="14"/>
        <v>2026-07-09</v>
      </c>
      <c r="T508" s="11">
        <f>IF($E508="","",IF(COUNTIF($E$2:$E508,$E508)=1,1,0))</f>
        <v>0</v>
      </c>
      <c r="U508" s="11" t="str">
        <f>IF(T508=1,SUM($T$2:T508),"")</f>
        <v/>
      </c>
      <c r="V508" s="11">
        <f>IF(OR($R508="",$R508="-"),"",IF(COUNTIF($R$2:$R508,$R508)=1,1,0))</f>
        <v>0</v>
      </c>
      <c r="W508" s="11" t="str">
        <f>IF(V508=1,SUM($V$2:V508),"")</f>
        <v/>
      </c>
      <c r="X508" s="11" t="str">
        <f t="shared" si="15"/>
        <v>SHOPEE</v>
      </c>
    </row>
    <row r="509" spans="1:24">
      <c r="A509" s="15" t="s">
        <v>79</v>
      </c>
      <c r="B509" s="15" t="s">
        <v>80</v>
      </c>
      <c r="C509" s="15" t="s">
        <v>1183</v>
      </c>
      <c r="D509" s="13">
        <v>46212.654861111114</v>
      </c>
      <c r="E509" s="15" t="s">
        <v>111</v>
      </c>
      <c r="F509" s="15" t="s">
        <v>1184</v>
      </c>
      <c r="G509" s="15" t="s">
        <v>74</v>
      </c>
      <c r="H509" s="15" t="s">
        <v>75</v>
      </c>
      <c r="I509" s="14">
        <v>120000</v>
      </c>
      <c r="J509" s="15" t="s">
        <v>81</v>
      </c>
      <c r="K509" s="15" t="s">
        <v>24</v>
      </c>
      <c r="L509" s="15">
        <v>60</v>
      </c>
      <c r="M509" s="15">
        <v>10</v>
      </c>
      <c r="N509" s="15" t="s">
        <v>76</v>
      </c>
      <c r="O509" s="15" t="s">
        <v>76</v>
      </c>
      <c r="P509" s="14">
        <v>254400</v>
      </c>
      <c r="Q509" s="13">
        <v>46212.654861111114</v>
      </c>
      <c r="R509" s="15" t="s">
        <v>1185</v>
      </c>
      <c r="S509" s="11" t="str">
        <f t="shared" si="14"/>
        <v>2026-07-09</v>
      </c>
      <c r="T509" s="11">
        <f>IF($E509="","",IF(COUNTIF($E$2:$E509,$E509)=1,1,0))</f>
        <v>0</v>
      </c>
      <c r="U509" s="11" t="str">
        <f>IF(T509=1,SUM($T$2:T509),"")</f>
        <v/>
      </c>
      <c r="V509" s="11">
        <f>IF(OR($R509="",$R509="-"),"",IF(COUNTIF($R$2:$R509,$R509)=1,1,0))</f>
        <v>1</v>
      </c>
      <c r="W509" s="11">
        <f>IF(V509=1,SUM($V$2:V509),"")</f>
        <v>182</v>
      </c>
      <c r="X509" s="11" t="str">
        <f t="shared" si="15"/>
        <v>SHOPEE</v>
      </c>
    </row>
    <row r="510" spans="1:24">
      <c r="A510" s="15" t="s">
        <v>79</v>
      </c>
      <c r="B510" s="15" t="s">
        <v>83</v>
      </c>
      <c r="C510" s="15" t="s">
        <v>1186</v>
      </c>
      <c r="D510" s="13">
        <v>46212.643055555556</v>
      </c>
      <c r="E510" s="15" t="s">
        <v>111</v>
      </c>
      <c r="F510" s="15" t="s">
        <v>1187</v>
      </c>
      <c r="G510" s="15" t="s">
        <v>74</v>
      </c>
      <c r="H510" s="15" t="s">
        <v>75</v>
      </c>
      <c r="I510" s="14">
        <v>12000</v>
      </c>
      <c r="J510" s="15" t="s">
        <v>210</v>
      </c>
      <c r="K510" s="15" t="s">
        <v>24</v>
      </c>
      <c r="L510" s="15">
        <v>1</v>
      </c>
      <c r="M510" s="15">
        <v>0.5</v>
      </c>
      <c r="N510" s="15" t="s">
        <v>76</v>
      </c>
      <c r="O510" s="15" t="s">
        <v>76</v>
      </c>
      <c r="P510" s="14">
        <v>2000000</v>
      </c>
      <c r="Q510" s="13">
        <v>46212.643055555556</v>
      </c>
      <c r="R510" s="15" t="s">
        <v>1188</v>
      </c>
      <c r="S510" s="11" t="str">
        <f t="shared" si="14"/>
        <v>2026-07-09</v>
      </c>
      <c r="T510" s="11">
        <f>IF($E510="","",IF(COUNTIF($E$2:$E510,$E510)=1,1,0))</f>
        <v>0</v>
      </c>
      <c r="U510" s="11" t="str">
        <f>IF(T510=1,SUM($T$2:T510),"")</f>
        <v/>
      </c>
      <c r="V510" s="11">
        <f>IF(OR($R510="",$R510="-"),"",IF(COUNTIF($R$2:$R510,$R510)=1,1,0))</f>
        <v>1</v>
      </c>
      <c r="W510" s="11">
        <f>IF(V510=1,SUM($V$2:V510),"")</f>
        <v>183</v>
      </c>
      <c r="X510" s="11" t="str">
        <f t="shared" si="15"/>
        <v>SHOPEE</v>
      </c>
    </row>
    <row r="511" spans="1:24">
      <c r="A511" s="15" t="s">
        <v>79</v>
      </c>
      <c r="B511" s="15" t="s">
        <v>83</v>
      </c>
      <c r="C511" s="15" t="s">
        <v>1189</v>
      </c>
      <c r="D511" s="13">
        <v>46212.632638888892</v>
      </c>
      <c r="E511" s="15" t="s">
        <v>95</v>
      </c>
      <c r="F511" s="15" t="s">
        <v>1190</v>
      </c>
      <c r="G511" s="15" t="s">
        <v>74</v>
      </c>
      <c r="H511" s="15" t="s">
        <v>75</v>
      </c>
      <c r="I511" s="14">
        <v>6000</v>
      </c>
      <c r="J511" s="15" t="s">
        <v>1112</v>
      </c>
      <c r="K511" s="15" t="s">
        <v>27</v>
      </c>
      <c r="L511" s="15">
        <v>1</v>
      </c>
      <c r="M511" s="15">
        <v>0.3</v>
      </c>
      <c r="N511" s="15" t="s">
        <v>76</v>
      </c>
      <c r="O511" s="15" t="s">
        <v>76</v>
      </c>
      <c r="P511" s="14">
        <v>16500</v>
      </c>
      <c r="Q511" s="13">
        <v>46212.632638888892</v>
      </c>
      <c r="R511" s="15" t="s">
        <v>1191</v>
      </c>
      <c r="S511" s="11" t="str">
        <f t="shared" si="14"/>
        <v>2026-07-09</v>
      </c>
      <c r="T511" s="11">
        <f>IF($E511="","",IF(COUNTIF($E$2:$E511,$E511)=1,1,0))</f>
        <v>0</v>
      </c>
      <c r="U511" s="11" t="str">
        <f>IF(T511=1,SUM($T$2:T511),"")</f>
        <v/>
      </c>
      <c r="V511" s="11">
        <f>IF(OR($R511="",$R511="-"),"",IF(COUNTIF($R$2:$R511,$R511)=1,1,0))</f>
        <v>1</v>
      </c>
      <c r="W511" s="11">
        <f>IF(V511=1,SUM($V$2:V511),"")</f>
        <v>184</v>
      </c>
      <c r="X511" s="11" t="str">
        <f t="shared" si="15"/>
        <v>SHOPEE</v>
      </c>
    </row>
    <row r="512" spans="1:24">
      <c r="A512" s="15" t="s">
        <v>79</v>
      </c>
      <c r="B512" s="15" t="s">
        <v>80</v>
      </c>
      <c r="C512" s="15" t="s">
        <v>1192</v>
      </c>
      <c r="D512" s="13">
        <v>46212.609722222223</v>
      </c>
      <c r="E512" s="15" t="s">
        <v>111</v>
      </c>
      <c r="F512" s="15" t="s">
        <v>1193</v>
      </c>
      <c r="G512" s="15" t="s">
        <v>74</v>
      </c>
      <c r="H512" s="15" t="s">
        <v>75</v>
      </c>
      <c r="I512" s="14">
        <v>36000</v>
      </c>
      <c r="J512" s="15" t="s">
        <v>81</v>
      </c>
      <c r="K512" s="15" t="s">
        <v>24</v>
      </c>
      <c r="L512" s="15">
        <v>1</v>
      </c>
      <c r="M512" s="15">
        <v>3</v>
      </c>
      <c r="N512" s="15" t="s">
        <v>76</v>
      </c>
      <c r="O512" s="15" t="s">
        <v>76</v>
      </c>
      <c r="P512" s="14">
        <v>340000</v>
      </c>
      <c r="Q512" s="13">
        <v>46212.609722222223</v>
      </c>
      <c r="R512" s="15" t="s">
        <v>763</v>
      </c>
      <c r="S512" s="11" t="str">
        <f t="shared" si="14"/>
        <v>2026-07-09</v>
      </c>
      <c r="T512" s="11">
        <f>IF($E512="","",IF(COUNTIF($E$2:$E512,$E512)=1,1,0))</f>
        <v>0</v>
      </c>
      <c r="U512" s="11" t="str">
        <f>IF(T512=1,SUM($T$2:T512),"")</f>
        <v/>
      </c>
      <c r="V512" s="11">
        <f>IF(OR($R512="",$R512="-"),"",IF(COUNTIF($R$2:$R512,$R512)=1,1,0))</f>
        <v>0</v>
      </c>
      <c r="W512" s="11" t="str">
        <f>IF(V512=1,SUM($V$2:V512),"")</f>
        <v/>
      </c>
      <c r="X512" s="11" t="str">
        <f t="shared" si="15"/>
        <v>SHOPEE</v>
      </c>
    </row>
    <row r="513" spans="1:24">
      <c r="A513" s="15" t="s">
        <v>79</v>
      </c>
      <c r="B513" s="15" t="s">
        <v>80</v>
      </c>
      <c r="C513" s="15" t="s">
        <v>1194</v>
      </c>
      <c r="D513" s="13">
        <v>46212.607638888891</v>
      </c>
      <c r="E513" s="15" t="s">
        <v>111</v>
      </c>
      <c r="F513" s="15" t="s">
        <v>1195</v>
      </c>
      <c r="G513" s="15" t="s">
        <v>74</v>
      </c>
      <c r="H513" s="15" t="s">
        <v>75</v>
      </c>
      <c r="I513" s="14">
        <v>96000</v>
      </c>
      <c r="J513" s="15" t="s">
        <v>242</v>
      </c>
      <c r="K513" s="15" t="s">
        <v>24</v>
      </c>
      <c r="L513" s="15">
        <v>20</v>
      </c>
      <c r="M513" s="15">
        <v>8</v>
      </c>
      <c r="N513" s="15" t="s">
        <v>76</v>
      </c>
      <c r="O513" s="15" t="s">
        <v>76</v>
      </c>
      <c r="P513" s="14">
        <v>127390</v>
      </c>
      <c r="Q513" s="13">
        <v>46212.609027777777</v>
      </c>
      <c r="R513" s="15" t="s">
        <v>763</v>
      </c>
      <c r="S513" s="11" t="str">
        <f t="shared" si="14"/>
        <v>2026-07-09</v>
      </c>
      <c r="T513" s="11">
        <f>IF($E513="","",IF(COUNTIF($E$2:$E513,$E513)=1,1,0))</f>
        <v>0</v>
      </c>
      <c r="U513" s="11" t="str">
        <f>IF(T513=1,SUM($T$2:T513),"")</f>
        <v/>
      </c>
      <c r="V513" s="11">
        <f>IF(OR($R513="",$R513="-"),"",IF(COUNTIF($R$2:$R513,$R513)=1,1,0))</f>
        <v>0</v>
      </c>
      <c r="W513" s="11" t="str">
        <f>IF(V513=1,SUM($V$2:V513),"")</f>
        <v/>
      </c>
      <c r="X513" s="11" t="str">
        <f t="shared" si="15"/>
        <v>SHOPEE</v>
      </c>
    </row>
    <row r="514" spans="1:24">
      <c r="A514" s="15" t="s">
        <v>79</v>
      </c>
      <c r="B514" s="15" t="s">
        <v>83</v>
      </c>
      <c r="C514" s="15" t="s">
        <v>1196</v>
      </c>
      <c r="D514" s="13">
        <v>46212.464583333334</v>
      </c>
      <c r="E514" s="15" t="s">
        <v>265</v>
      </c>
      <c r="F514" s="15" t="s">
        <v>1197</v>
      </c>
      <c r="G514" s="15" t="s">
        <v>74</v>
      </c>
      <c r="H514" s="15" t="s">
        <v>75</v>
      </c>
      <c r="I514" s="14">
        <v>42000</v>
      </c>
      <c r="J514" s="15" t="s">
        <v>202</v>
      </c>
      <c r="K514" s="15" t="s">
        <v>24</v>
      </c>
      <c r="L514" s="15">
        <v>1</v>
      </c>
      <c r="M514" s="15">
        <v>3</v>
      </c>
      <c r="N514" s="15" t="s">
        <v>76</v>
      </c>
      <c r="O514" s="15" t="s">
        <v>76</v>
      </c>
      <c r="P514" s="14">
        <v>4580000</v>
      </c>
      <c r="Q514" s="13">
        <v>46212.464583333334</v>
      </c>
      <c r="R514" s="15" t="s">
        <v>723</v>
      </c>
      <c r="S514" s="11" t="str">
        <f t="shared" ref="S514:S577" si="16">IF(Q514="","",TEXT(Q514,"yyyy-mm-dd"))</f>
        <v>2026-07-09</v>
      </c>
      <c r="T514" s="11">
        <f>IF($E514="","",IF(COUNTIF($E$2:$E514,$E514)=1,1,0))</f>
        <v>0</v>
      </c>
      <c r="U514" s="11" t="str">
        <f>IF(T514=1,SUM($T$2:T514),"")</f>
        <v/>
      </c>
      <c r="V514" s="11">
        <f>IF(OR($R514="",$R514="-"),"",IF(COUNTIF($R$2:$R514,$R514)=1,1,0))</f>
        <v>0</v>
      </c>
      <c r="W514" s="11" t="str">
        <f>IF(V514=1,SUM($V$2:V514),"")</f>
        <v/>
      </c>
      <c r="X514" s="11" t="str">
        <f t="shared" ref="X514:X577" si="17">IF(ISNUMBER(SEARCH("SHOPEE",B514)),"SHOPEE",IF(ISNUMBER(SEARCH("TOKOPEDIA",B514)),"TOKOPEDIA",IF(ISNUMBER(SEARCH("LASTANA",B514)),"LASTANA EXPRESS",IF(ISNUMBER(SEARCH("FASHION MARKETPLACE",B514)),"FASHION MARKETPLACE",IF(ISNUMBER(SEARCH("GLOBAL DIGITAL NIAGA",B514)),"GLOBAL DIGITAL NIAGA",IF(ISNUMBER(SEARCH("TOKGISTIC",B514)),"TOKGISTIC",IF(ISNUMBER(SEARCH("TOCO RAMAI",B514)),"TOCO RAMAI DIGITAL",B514)))))))</f>
        <v>SHOPEE</v>
      </c>
    </row>
    <row r="515" spans="1:24">
      <c r="A515" s="15" t="s">
        <v>79</v>
      </c>
      <c r="B515" s="15" t="s">
        <v>80</v>
      </c>
      <c r="C515" s="15" t="s">
        <v>1198</v>
      </c>
      <c r="D515" s="13">
        <v>46212.459027777775</v>
      </c>
      <c r="E515" s="15" t="s">
        <v>265</v>
      </c>
      <c r="F515" s="15" t="s">
        <v>1199</v>
      </c>
      <c r="G515" s="15" t="s">
        <v>74</v>
      </c>
      <c r="H515" s="15" t="s">
        <v>75</v>
      </c>
      <c r="I515" s="14">
        <v>12000</v>
      </c>
      <c r="J515" s="15" t="s">
        <v>697</v>
      </c>
      <c r="K515" s="15" t="s">
        <v>24</v>
      </c>
      <c r="L515" s="15">
        <v>1</v>
      </c>
      <c r="M515" s="15">
        <v>0.6</v>
      </c>
      <c r="N515" s="15" t="s">
        <v>76</v>
      </c>
      <c r="O515" s="15" t="s">
        <v>76</v>
      </c>
      <c r="P515" s="14">
        <v>155499</v>
      </c>
      <c r="Q515" s="13">
        <v>46212.459027777775</v>
      </c>
      <c r="R515" s="15" t="s">
        <v>1200</v>
      </c>
      <c r="S515" s="11" t="str">
        <f t="shared" si="16"/>
        <v>2026-07-09</v>
      </c>
      <c r="T515" s="11">
        <f>IF($E515="","",IF(COUNTIF($E$2:$E515,$E515)=1,1,0))</f>
        <v>0</v>
      </c>
      <c r="U515" s="11" t="str">
        <f>IF(T515=1,SUM($T$2:T515),"")</f>
        <v/>
      </c>
      <c r="V515" s="11">
        <f>IF(OR($R515="",$R515="-"),"",IF(COUNTIF($R$2:$R515,$R515)=1,1,0))</f>
        <v>1</v>
      </c>
      <c r="W515" s="11">
        <f>IF(V515=1,SUM($V$2:V515),"")</f>
        <v>185</v>
      </c>
      <c r="X515" s="11" t="str">
        <f t="shared" si="17"/>
        <v>SHOPEE</v>
      </c>
    </row>
    <row r="516" spans="1:24">
      <c r="A516" s="15" t="s">
        <v>79</v>
      </c>
      <c r="B516" s="15" t="s">
        <v>83</v>
      </c>
      <c r="C516" s="15" t="s">
        <v>1201</v>
      </c>
      <c r="D516" s="13">
        <v>46212.308333333334</v>
      </c>
      <c r="E516" s="15" t="s">
        <v>265</v>
      </c>
      <c r="F516" s="15" t="s">
        <v>1202</v>
      </c>
      <c r="G516" s="15" t="s">
        <v>74</v>
      </c>
      <c r="H516" s="15" t="s">
        <v>75</v>
      </c>
      <c r="I516" s="14">
        <v>12000</v>
      </c>
      <c r="J516" s="15" t="s">
        <v>213</v>
      </c>
      <c r="K516" s="15" t="s">
        <v>24</v>
      </c>
      <c r="L516" s="15">
        <v>1</v>
      </c>
      <c r="M516" s="15">
        <v>0.8</v>
      </c>
      <c r="N516" s="15" t="s">
        <v>76</v>
      </c>
      <c r="O516" s="15" t="s">
        <v>76</v>
      </c>
      <c r="P516" s="14">
        <v>1100000</v>
      </c>
      <c r="Q516" s="13">
        <v>46212.308333333334</v>
      </c>
      <c r="R516" s="15" t="s">
        <v>393</v>
      </c>
      <c r="S516" s="11" t="str">
        <f t="shared" si="16"/>
        <v>2026-07-09</v>
      </c>
      <c r="T516" s="11">
        <f>IF($E516="","",IF(COUNTIF($E$2:$E516,$E516)=1,1,0))</f>
        <v>0</v>
      </c>
      <c r="U516" s="11" t="str">
        <f>IF(T516=1,SUM($T$2:T516),"")</f>
        <v/>
      </c>
      <c r="V516" s="11">
        <f>IF(OR($R516="",$R516="-"),"",IF(COUNTIF($R$2:$R516,$R516)=1,1,0))</f>
        <v>0</v>
      </c>
      <c r="W516" s="11" t="str">
        <f>IF(V516=1,SUM($V$2:V516),"")</f>
        <v/>
      </c>
      <c r="X516" s="11" t="str">
        <f t="shared" si="17"/>
        <v>SHOPEE</v>
      </c>
    </row>
    <row r="517" spans="1:24">
      <c r="A517" s="15" t="s">
        <v>79</v>
      </c>
      <c r="B517" s="15" t="s">
        <v>83</v>
      </c>
      <c r="C517" s="15" t="s">
        <v>1203</v>
      </c>
      <c r="D517" s="13">
        <v>46211.870138888888</v>
      </c>
      <c r="E517" s="15" t="s">
        <v>265</v>
      </c>
      <c r="F517" s="15" t="s">
        <v>1204</v>
      </c>
      <c r="G517" s="15" t="s">
        <v>74</v>
      </c>
      <c r="H517" s="15" t="s">
        <v>75</v>
      </c>
      <c r="I517" s="14">
        <v>24000</v>
      </c>
      <c r="J517" s="15" t="s">
        <v>318</v>
      </c>
      <c r="K517" s="15" t="s">
        <v>24</v>
      </c>
      <c r="L517" s="15">
        <v>2</v>
      </c>
      <c r="M517" s="15">
        <v>2</v>
      </c>
      <c r="N517" s="15" t="s">
        <v>76</v>
      </c>
      <c r="O517" s="15" t="s">
        <v>76</v>
      </c>
      <c r="P517" s="14">
        <v>88500</v>
      </c>
      <c r="Q517" s="13">
        <v>46211.870138888888</v>
      </c>
      <c r="R517" s="15" t="s">
        <v>147</v>
      </c>
      <c r="S517" s="11" t="str">
        <f t="shared" si="16"/>
        <v>2026-07-08</v>
      </c>
      <c r="T517" s="11">
        <f>IF($E517="","",IF(COUNTIF($E$2:$E517,$E517)=1,1,0))</f>
        <v>0</v>
      </c>
      <c r="U517" s="11" t="str">
        <f>IF(T517=1,SUM($T$2:T517),"")</f>
        <v/>
      </c>
      <c r="V517" s="11">
        <f>IF(OR($R517="",$R517="-"),"",IF(COUNTIF($R$2:$R517,$R517)=1,1,0))</f>
        <v>0</v>
      </c>
      <c r="W517" s="11" t="str">
        <f>IF(V517=1,SUM($V$2:V517),"")</f>
        <v/>
      </c>
      <c r="X517" s="11" t="str">
        <f t="shared" si="17"/>
        <v>SHOPEE</v>
      </c>
    </row>
    <row r="518" spans="1:24">
      <c r="A518" s="15" t="s">
        <v>79</v>
      </c>
      <c r="B518" s="15" t="s">
        <v>83</v>
      </c>
      <c r="C518" s="15" t="s">
        <v>1205</v>
      </c>
      <c r="D518" s="13">
        <v>46211.840277777781</v>
      </c>
      <c r="E518" s="15" t="s">
        <v>265</v>
      </c>
      <c r="F518" s="15" t="s">
        <v>1206</v>
      </c>
      <c r="G518" s="15" t="s">
        <v>74</v>
      </c>
      <c r="H518" s="15" t="s">
        <v>75</v>
      </c>
      <c r="I518" s="14">
        <v>6000</v>
      </c>
      <c r="J518" s="15" t="s">
        <v>144</v>
      </c>
      <c r="K518" s="15" t="s">
        <v>27</v>
      </c>
      <c r="L518" s="15">
        <v>1</v>
      </c>
      <c r="M518" s="15">
        <v>0.3</v>
      </c>
      <c r="N518" s="15" t="s">
        <v>76</v>
      </c>
      <c r="O518" s="15" t="s">
        <v>76</v>
      </c>
      <c r="P518" s="14">
        <v>189000</v>
      </c>
      <c r="Q518" s="13">
        <v>46211.841666666667</v>
      </c>
      <c r="R518" s="15" t="s">
        <v>308</v>
      </c>
      <c r="S518" s="11" t="str">
        <f t="shared" si="16"/>
        <v>2026-07-08</v>
      </c>
      <c r="T518" s="11">
        <f>IF($E518="","",IF(COUNTIF($E$2:$E518,$E518)=1,1,0))</f>
        <v>0</v>
      </c>
      <c r="U518" s="11" t="str">
        <f>IF(T518=1,SUM($T$2:T518),"")</f>
        <v/>
      </c>
      <c r="V518" s="11">
        <f>IF(OR($R518="",$R518="-"),"",IF(COUNTIF($R$2:$R518,$R518)=1,1,0))</f>
        <v>0</v>
      </c>
      <c r="W518" s="11" t="str">
        <f>IF(V518=1,SUM($V$2:V518),"")</f>
        <v/>
      </c>
      <c r="X518" s="11" t="str">
        <f t="shared" si="17"/>
        <v>SHOPEE</v>
      </c>
    </row>
    <row r="519" spans="1:24">
      <c r="A519" s="15" t="s">
        <v>79</v>
      </c>
      <c r="B519" s="15" t="s">
        <v>83</v>
      </c>
      <c r="C519" s="15" t="s">
        <v>1205</v>
      </c>
      <c r="D519" s="13">
        <v>46211.840277777781</v>
      </c>
      <c r="E519" s="15" t="s">
        <v>265</v>
      </c>
      <c r="F519" s="15" t="s">
        <v>1207</v>
      </c>
      <c r="G519" s="15" t="s">
        <v>74</v>
      </c>
      <c r="H519" s="15" t="s">
        <v>75</v>
      </c>
      <c r="I519" s="14">
        <v>12000</v>
      </c>
      <c r="J519" s="15" t="s">
        <v>123</v>
      </c>
      <c r="K519" s="15" t="s">
        <v>24</v>
      </c>
      <c r="L519" s="15">
        <v>1</v>
      </c>
      <c r="M519" s="15">
        <v>0.3</v>
      </c>
      <c r="N519" s="15" t="s">
        <v>76</v>
      </c>
      <c r="O519" s="15" t="s">
        <v>76</v>
      </c>
      <c r="P519" s="14">
        <v>189000</v>
      </c>
      <c r="Q519" s="13">
        <v>46211.841666666667</v>
      </c>
      <c r="R519" s="15" t="s">
        <v>308</v>
      </c>
      <c r="S519" s="11" t="str">
        <f t="shared" si="16"/>
        <v>2026-07-08</v>
      </c>
      <c r="T519" s="11">
        <f>IF($E519="","",IF(COUNTIF($E$2:$E519,$E519)=1,1,0))</f>
        <v>0</v>
      </c>
      <c r="U519" s="11" t="str">
        <f>IF(T519=1,SUM($T$2:T519),"")</f>
        <v/>
      </c>
      <c r="V519" s="11">
        <f>IF(OR($R519="",$R519="-"),"",IF(COUNTIF($R$2:$R519,$R519)=1,1,0))</f>
        <v>0</v>
      </c>
      <c r="W519" s="11" t="str">
        <f>IF(V519=1,SUM($V$2:V519),"")</f>
        <v/>
      </c>
      <c r="X519" s="11" t="str">
        <f t="shared" si="17"/>
        <v>SHOPEE</v>
      </c>
    </row>
    <row r="520" spans="1:24">
      <c r="A520" s="15" t="s">
        <v>79</v>
      </c>
      <c r="B520" s="15" t="s">
        <v>83</v>
      </c>
      <c r="C520" s="15" t="s">
        <v>1205</v>
      </c>
      <c r="D520" s="13">
        <v>46211.840277777781</v>
      </c>
      <c r="E520" s="15" t="s">
        <v>265</v>
      </c>
      <c r="F520" s="15" t="s">
        <v>1208</v>
      </c>
      <c r="G520" s="15" t="s">
        <v>74</v>
      </c>
      <c r="H520" s="15" t="s">
        <v>75</v>
      </c>
      <c r="I520" s="14">
        <v>12000</v>
      </c>
      <c r="J520" s="15" t="s">
        <v>176</v>
      </c>
      <c r="K520" s="15" t="s">
        <v>24</v>
      </c>
      <c r="L520" s="15">
        <v>1</v>
      </c>
      <c r="M520" s="15">
        <v>0.3</v>
      </c>
      <c r="N520" s="15" t="s">
        <v>76</v>
      </c>
      <c r="O520" s="15" t="s">
        <v>76</v>
      </c>
      <c r="P520" s="14">
        <v>189000</v>
      </c>
      <c r="Q520" s="13">
        <v>46211.841666666667</v>
      </c>
      <c r="R520" s="15" t="s">
        <v>308</v>
      </c>
      <c r="S520" s="11" t="str">
        <f t="shared" si="16"/>
        <v>2026-07-08</v>
      </c>
      <c r="T520" s="11">
        <f>IF($E520="","",IF(COUNTIF($E$2:$E520,$E520)=1,1,0))</f>
        <v>0</v>
      </c>
      <c r="U520" s="11" t="str">
        <f>IF(T520=1,SUM($T$2:T520),"")</f>
        <v/>
      </c>
      <c r="V520" s="11">
        <f>IF(OR($R520="",$R520="-"),"",IF(COUNTIF($R$2:$R520,$R520)=1,1,0))</f>
        <v>0</v>
      </c>
      <c r="W520" s="11" t="str">
        <f>IF(V520=1,SUM($V$2:V520),"")</f>
        <v/>
      </c>
      <c r="X520" s="11" t="str">
        <f t="shared" si="17"/>
        <v>SHOPEE</v>
      </c>
    </row>
    <row r="521" spans="1:24">
      <c r="A521" s="15" t="s">
        <v>79</v>
      </c>
      <c r="B521" s="15" t="s">
        <v>83</v>
      </c>
      <c r="C521" s="15" t="s">
        <v>1209</v>
      </c>
      <c r="D521" s="13">
        <v>46211.836805555555</v>
      </c>
      <c r="E521" s="15" t="s">
        <v>265</v>
      </c>
      <c r="F521" s="15" t="s">
        <v>1210</v>
      </c>
      <c r="G521" s="15" t="s">
        <v>74</v>
      </c>
      <c r="H521" s="15" t="s">
        <v>75</v>
      </c>
      <c r="I521" s="14">
        <v>126000</v>
      </c>
      <c r="J521" s="15" t="s">
        <v>928</v>
      </c>
      <c r="K521" s="15" t="s">
        <v>26</v>
      </c>
      <c r="L521" s="15">
        <v>1</v>
      </c>
      <c r="M521" s="15">
        <v>20</v>
      </c>
      <c r="N521" s="15" t="s">
        <v>76</v>
      </c>
      <c r="O521" s="15" t="s">
        <v>76</v>
      </c>
      <c r="P521" s="14">
        <v>129500</v>
      </c>
      <c r="Q521" s="13">
        <v>46211.836805555555</v>
      </c>
      <c r="R521" s="15" t="s">
        <v>929</v>
      </c>
      <c r="S521" s="11" t="str">
        <f t="shared" si="16"/>
        <v>2026-07-08</v>
      </c>
      <c r="T521" s="11">
        <f>IF($E521="","",IF(COUNTIF($E$2:$E521,$E521)=1,1,0))</f>
        <v>0</v>
      </c>
      <c r="U521" s="11" t="str">
        <f>IF(T521=1,SUM($T$2:T521),"")</f>
        <v/>
      </c>
      <c r="V521" s="11">
        <f>IF(OR($R521="",$R521="-"),"",IF(COUNTIF($R$2:$R521,$R521)=1,1,0))</f>
        <v>0</v>
      </c>
      <c r="W521" s="11" t="str">
        <f>IF(V521=1,SUM($V$2:V521),"")</f>
        <v/>
      </c>
      <c r="X521" s="11" t="str">
        <f t="shared" si="17"/>
        <v>SHOPEE</v>
      </c>
    </row>
    <row r="522" spans="1:24">
      <c r="A522" s="15" t="s">
        <v>79</v>
      </c>
      <c r="B522" s="15" t="s">
        <v>80</v>
      </c>
      <c r="C522" s="15" t="s">
        <v>1211</v>
      </c>
      <c r="D522" s="13">
        <v>46211.836111111108</v>
      </c>
      <c r="E522" s="15" t="s">
        <v>265</v>
      </c>
      <c r="F522" s="15" t="s">
        <v>1212</v>
      </c>
      <c r="G522" s="15" t="s">
        <v>74</v>
      </c>
      <c r="H522" s="15" t="s">
        <v>75</v>
      </c>
      <c r="I522" s="14">
        <v>12000</v>
      </c>
      <c r="J522" s="15" t="s">
        <v>234</v>
      </c>
      <c r="K522" s="15" t="s">
        <v>24</v>
      </c>
      <c r="L522" s="15">
        <v>1</v>
      </c>
      <c r="M522" s="15">
        <v>0.2</v>
      </c>
      <c r="N522" s="15" t="s">
        <v>76</v>
      </c>
      <c r="O522" s="15" t="s">
        <v>76</v>
      </c>
      <c r="P522" s="14">
        <v>215000</v>
      </c>
      <c r="Q522" s="13">
        <v>46211.836111111108</v>
      </c>
      <c r="R522" s="15" t="s">
        <v>559</v>
      </c>
      <c r="S522" s="11" t="str">
        <f t="shared" si="16"/>
        <v>2026-07-08</v>
      </c>
      <c r="T522" s="11">
        <f>IF($E522="","",IF(COUNTIF($E$2:$E522,$E522)=1,1,0))</f>
        <v>0</v>
      </c>
      <c r="U522" s="11" t="str">
        <f>IF(T522=1,SUM($T$2:T522),"")</f>
        <v/>
      </c>
      <c r="V522" s="11">
        <f>IF(OR($R522="",$R522="-"),"",IF(COUNTIF($R$2:$R522,$R522)=1,1,0))</f>
        <v>0</v>
      </c>
      <c r="W522" s="11" t="str">
        <f>IF(V522=1,SUM($V$2:V522),"")</f>
        <v/>
      </c>
      <c r="X522" s="11" t="str">
        <f t="shared" si="17"/>
        <v>SHOPEE</v>
      </c>
    </row>
    <row r="523" spans="1:24">
      <c r="A523" s="15" t="s">
        <v>79</v>
      </c>
      <c r="B523" s="15" t="s">
        <v>83</v>
      </c>
      <c r="C523" s="15" t="s">
        <v>1213</v>
      </c>
      <c r="D523" s="13">
        <v>46211.809027777781</v>
      </c>
      <c r="E523" s="15" t="s">
        <v>265</v>
      </c>
      <c r="F523" s="15" t="s">
        <v>1214</v>
      </c>
      <c r="G523" s="15" t="s">
        <v>74</v>
      </c>
      <c r="H523" s="15" t="s">
        <v>75</v>
      </c>
      <c r="I523" s="14">
        <v>8500</v>
      </c>
      <c r="J523" s="15" t="s">
        <v>928</v>
      </c>
      <c r="K523" s="15" t="s">
        <v>27</v>
      </c>
      <c r="L523" s="15">
        <v>1</v>
      </c>
      <c r="M523" s="15">
        <v>0.08</v>
      </c>
      <c r="N523" s="15" t="s">
        <v>76</v>
      </c>
      <c r="O523" s="15" t="s">
        <v>76</v>
      </c>
      <c r="P523" s="14">
        <v>84003</v>
      </c>
      <c r="Q523" s="13">
        <v>46211.80972222222</v>
      </c>
      <c r="R523" s="15" t="s">
        <v>270</v>
      </c>
      <c r="S523" s="11" t="str">
        <f t="shared" si="16"/>
        <v>2026-07-08</v>
      </c>
      <c r="T523" s="11">
        <f>IF($E523="","",IF(COUNTIF($E$2:$E523,$E523)=1,1,0))</f>
        <v>0</v>
      </c>
      <c r="U523" s="11" t="str">
        <f>IF(T523=1,SUM($T$2:T523),"")</f>
        <v/>
      </c>
      <c r="V523" s="11">
        <f>IF(OR($R523="",$R523="-"),"",IF(COUNTIF($R$2:$R523,$R523)=1,1,0))</f>
        <v>0</v>
      </c>
      <c r="W523" s="11" t="str">
        <f>IF(V523=1,SUM($V$2:V523),"")</f>
        <v/>
      </c>
      <c r="X523" s="11" t="str">
        <f t="shared" si="17"/>
        <v>SHOPEE</v>
      </c>
    </row>
    <row r="524" spans="1:24">
      <c r="A524" s="15" t="s">
        <v>79</v>
      </c>
      <c r="B524" s="15" t="s">
        <v>80</v>
      </c>
      <c r="C524" s="15" t="s">
        <v>1215</v>
      </c>
      <c r="D524" s="13">
        <v>46211.808333333334</v>
      </c>
      <c r="E524" s="15" t="s">
        <v>265</v>
      </c>
      <c r="F524" s="15" t="s">
        <v>1216</v>
      </c>
      <c r="G524" s="15" t="s">
        <v>74</v>
      </c>
      <c r="H524" s="15" t="s">
        <v>75</v>
      </c>
      <c r="I524" s="14">
        <v>12000</v>
      </c>
      <c r="J524" s="15" t="s">
        <v>81</v>
      </c>
      <c r="K524" s="15" t="s">
        <v>24</v>
      </c>
      <c r="L524" s="15">
        <v>1</v>
      </c>
      <c r="M524" s="15">
        <v>0.8</v>
      </c>
      <c r="N524" s="15" t="s">
        <v>76</v>
      </c>
      <c r="O524" s="15" t="s">
        <v>76</v>
      </c>
      <c r="P524" s="14">
        <v>79400</v>
      </c>
      <c r="Q524" s="13">
        <v>46211.808333333334</v>
      </c>
      <c r="R524" s="15" t="s">
        <v>82</v>
      </c>
      <c r="S524" s="11" t="str">
        <f t="shared" si="16"/>
        <v>2026-07-08</v>
      </c>
      <c r="T524" s="11">
        <f>IF($E524="","",IF(COUNTIF($E$2:$E524,$E524)=1,1,0))</f>
        <v>0</v>
      </c>
      <c r="U524" s="11" t="str">
        <f>IF(T524=1,SUM($T$2:T524),"")</f>
        <v/>
      </c>
      <c r="V524" s="11">
        <f>IF(OR($R524="",$R524="-"),"",IF(COUNTIF($R$2:$R524,$R524)=1,1,0))</f>
        <v>1</v>
      </c>
      <c r="W524" s="11">
        <f>IF(V524=1,SUM($V$2:V524),"")</f>
        <v>186</v>
      </c>
      <c r="X524" s="11" t="str">
        <f t="shared" si="17"/>
        <v>SHOPEE</v>
      </c>
    </row>
    <row r="525" spans="1:24">
      <c r="A525" s="15" t="s">
        <v>79</v>
      </c>
      <c r="B525" s="15" t="s">
        <v>83</v>
      </c>
      <c r="C525" s="15" t="s">
        <v>1217</v>
      </c>
      <c r="D525" s="13">
        <v>46211.798611111109</v>
      </c>
      <c r="E525" s="15" t="s">
        <v>111</v>
      </c>
      <c r="F525" s="15" t="s">
        <v>1218</v>
      </c>
      <c r="G525" s="15" t="s">
        <v>74</v>
      </c>
      <c r="H525" s="15" t="s">
        <v>75</v>
      </c>
      <c r="I525" s="14">
        <v>6000</v>
      </c>
      <c r="J525" s="15" t="s">
        <v>309</v>
      </c>
      <c r="K525" s="15" t="s">
        <v>27</v>
      </c>
      <c r="L525" s="15">
        <v>1</v>
      </c>
      <c r="M525" s="15">
        <v>0.5</v>
      </c>
      <c r="N525" s="15" t="s">
        <v>76</v>
      </c>
      <c r="O525" s="15" t="s">
        <v>76</v>
      </c>
      <c r="P525" s="14">
        <v>400000</v>
      </c>
      <c r="Q525" s="13">
        <v>46211.798611111109</v>
      </c>
      <c r="R525" s="15" t="s">
        <v>1219</v>
      </c>
      <c r="S525" s="11" t="str">
        <f t="shared" si="16"/>
        <v>2026-07-08</v>
      </c>
      <c r="T525" s="11">
        <f>IF($E525="","",IF(COUNTIF($E$2:$E525,$E525)=1,1,0))</f>
        <v>0</v>
      </c>
      <c r="U525" s="11" t="str">
        <f>IF(T525=1,SUM($T$2:T525),"")</f>
        <v/>
      </c>
      <c r="V525" s="11">
        <f>IF(OR($R525="",$R525="-"),"",IF(COUNTIF($R$2:$R525,$R525)=1,1,0))</f>
        <v>1</v>
      </c>
      <c r="W525" s="11">
        <f>IF(V525=1,SUM($V$2:V525),"")</f>
        <v>187</v>
      </c>
      <c r="X525" s="11" t="str">
        <f t="shared" si="17"/>
        <v>SHOPEE</v>
      </c>
    </row>
    <row r="526" spans="1:24">
      <c r="A526" s="15" t="s">
        <v>79</v>
      </c>
      <c r="B526" s="15" t="s">
        <v>83</v>
      </c>
      <c r="C526" s="15" t="s">
        <v>1220</v>
      </c>
      <c r="D526" s="13">
        <v>46211.789583333331</v>
      </c>
      <c r="E526" s="15" t="s">
        <v>265</v>
      </c>
      <c r="F526" s="15" t="s">
        <v>1221</v>
      </c>
      <c r="G526" s="15" t="s">
        <v>74</v>
      </c>
      <c r="H526" s="15" t="s">
        <v>75</v>
      </c>
      <c r="I526" s="14">
        <v>18000</v>
      </c>
      <c r="J526" s="15" t="s">
        <v>1222</v>
      </c>
      <c r="K526" s="15" t="s">
        <v>24</v>
      </c>
      <c r="L526" s="15">
        <v>1</v>
      </c>
      <c r="M526" s="15">
        <v>1</v>
      </c>
      <c r="N526" s="15" t="s">
        <v>76</v>
      </c>
      <c r="O526" s="15" t="s">
        <v>76</v>
      </c>
      <c r="P526" s="14">
        <v>400000</v>
      </c>
      <c r="Q526" s="13">
        <v>46211.789583333331</v>
      </c>
      <c r="R526" s="15" t="s">
        <v>184</v>
      </c>
      <c r="S526" s="11" t="str">
        <f t="shared" si="16"/>
        <v>2026-07-08</v>
      </c>
      <c r="T526" s="11">
        <f>IF($E526="","",IF(COUNTIF($E$2:$E526,$E526)=1,1,0))</f>
        <v>0</v>
      </c>
      <c r="U526" s="11" t="str">
        <f>IF(T526=1,SUM($T$2:T526),"")</f>
        <v/>
      </c>
      <c r="V526" s="11">
        <f>IF(OR($R526="",$R526="-"),"",IF(COUNTIF($R$2:$R526,$R526)=1,1,0))</f>
        <v>0</v>
      </c>
      <c r="W526" s="11" t="str">
        <f>IF(V526=1,SUM($V$2:V526),"")</f>
        <v/>
      </c>
      <c r="X526" s="11" t="str">
        <f t="shared" si="17"/>
        <v>SHOPEE</v>
      </c>
    </row>
    <row r="527" spans="1:24">
      <c r="A527" s="15" t="s">
        <v>79</v>
      </c>
      <c r="B527" s="15" t="s">
        <v>83</v>
      </c>
      <c r="C527" s="15" t="s">
        <v>1223</v>
      </c>
      <c r="D527" s="13">
        <v>46211.783333333333</v>
      </c>
      <c r="E527" s="15" t="s">
        <v>111</v>
      </c>
      <c r="F527" s="15" t="s">
        <v>1224</v>
      </c>
      <c r="G527" s="15" t="s">
        <v>74</v>
      </c>
      <c r="H527" s="15" t="s">
        <v>75</v>
      </c>
      <c r="I527" s="14">
        <v>14000</v>
      </c>
      <c r="J527" s="15" t="s">
        <v>550</v>
      </c>
      <c r="K527" s="15" t="s">
        <v>24</v>
      </c>
      <c r="L527" s="15">
        <v>1</v>
      </c>
      <c r="M527" s="15">
        <v>0.15</v>
      </c>
      <c r="N527" s="15" t="s">
        <v>76</v>
      </c>
      <c r="O527" s="15" t="s">
        <v>76</v>
      </c>
      <c r="P527" s="14">
        <v>78000</v>
      </c>
      <c r="Q527" s="13">
        <v>46211.783333333333</v>
      </c>
      <c r="R527" s="15" t="s">
        <v>118</v>
      </c>
      <c r="S527" s="11" t="str">
        <f t="shared" si="16"/>
        <v>2026-07-08</v>
      </c>
      <c r="T527" s="11">
        <f>IF($E527="","",IF(COUNTIF($E$2:$E527,$E527)=1,1,0))</f>
        <v>0</v>
      </c>
      <c r="U527" s="11" t="str">
        <f>IF(T527=1,SUM($T$2:T527),"")</f>
        <v/>
      </c>
      <c r="V527" s="11">
        <f>IF(OR($R527="",$R527="-"),"",IF(COUNTIF($R$2:$R527,$R527)=1,1,0))</f>
        <v>0</v>
      </c>
      <c r="W527" s="11" t="str">
        <f>IF(V527=1,SUM($V$2:V527),"")</f>
        <v/>
      </c>
      <c r="X527" s="11" t="str">
        <f t="shared" si="17"/>
        <v>SHOPEE</v>
      </c>
    </row>
    <row r="528" spans="1:24">
      <c r="A528" s="15" t="s">
        <v>71</v>
      </c>
      <c r="B528" s="15" t="s">
        <v>72</v>
      </c>
      <c r="C528" s="15" t="s">
        <v>1223</v>
      </c>
      <c r="D528" s="13">
        <v>46211.783333333333</v>
      </c>
      <c r="E528" s="15" t="s">
        <v>111</v>
      </c>
      <c r="F528" s="15" t="s">
        <v>1225</v>
      </c>
      <c r="G528" s="15" t="s">
        <v>74</v>
      </c>
      <c r="H528" s="15" t="s">
        <v>75</v>
      </c>
      <c r="I528" s="14">
        <v>12000</v>
      </c>
      <c r="J528" s="15" t="s">
        <v>101</v>
      </c>
      <c r="K528" s="15" t="s">
        <v>24</v>
      </c>
      <c r="L528" s="15">
        <v>1</v>
      </c>
      <c r="M528" s="15">
        <v>0.85</v>
      </c>
      <c r="N528" s="15" t="s">
        <v>76</v>
      </c>
      <c r="O528" s="15" t="s">
        <v>76</v>
      </c>
      <c r="P528" s="14">
        <v>194000</v>
      </c>
      <c r="Q528" s="13">
        <v>46211.783333333333</v>
      </c>
      <c r="R528" s="15" t="s">
        <v>77</v>
      </c>
      <c r="S528" s="11" t="str">
        <f t="shared" si="16"/>
        <v>2026-07-08</v>
      </c>
      <c r="T528" s="11">
        <f>IF($E528="","",IF(COUNTIF($E$2:$E528,$E528)=1,1,0))</f>
        <v>0</v>
      </c>
      <c r="U528" s="11" t="str">
        <f>IF(T528=1,SUM($T$2:T528),"")</f>
        <v/>
      </c>
      <c r="V528" s="11">
        <f>IF(OR($R528="",$R528="-"),"",IF(COUNTIF($R$2:$R528,$R528)=1,1,0))</f>
        <v>0</v>
      </c>
      <c r="W528" s="11" t="str">
        <f>IF(V528=1,SUM($V$2:V528),"")</f>
        <v/>
      </c>
      <c r="X528" s="11" t="str">
        <f t="shared" si="17"/>
        <v>TOKOPEDIA</v>
      </c>
    </row>
    <row r="529" spans="1:24">
      <c r="A529" s="15" t="s">
        <v>79</v>
      </c>
      <c r="B529" s="15" t="s">
        <v>83</v>
      </c>
      <c r="C529" s="15" t="s">
        <v>1226</v>
      </c>
      <c r="D529" s="13">
        <v>46211.78125</v>
      </c>
      <c r="E529" s="15" t="s">
        <v>111</v>
      </c>
      <c r="F529" s="15" t="s">
        <v>1227</v>
      </c>
      <c r="G529" s="15" t="s">
        <v>74</v>
      </c>
      <c r="H529" s="15" t="s">
        <v>75</v>
      </c>
      <c r="I529" s="14">
        <v>18000</v>
      </c>
      <c r="J529" s="15" t="s">
        <v>1228</v>
      </c>
      <c r="K529" s="15" t="s">
        <v>24</v>
      </c>
      <c r="L529" s="15">
        <v>1</v>
      </c>
      <c r="M529" s="15">
        <v>0.13</v>
      </c>
      <c r="N529" s="15" t="s">
        <v>76</v>
      </c>
      <c r="O529" s="15" t="s">
        <v>76</v>
      </c>
      <c r="P529" s="14">
        <v>23000</v>
      </c>
      <c r="Q529" s="13">
        <v>46211.78125</v>
      </c>
      <c r="R529" s="15" t="s">
        <v>91</v>
      </c>
      <c r="S529" s="11" t="str">
        <f t="shared" si="16"/>
        <v>2026-07-08</v>
      </c>
      <c r="T529" s="11">
        <f>IF($E529="","",IF(COUNTIF($E$2:$E529,$E529)=1,1,0))</f>
        <v>0</v>
      </c>
      <c r="U529" s="11" t="str">
        <f>IF(T529=1,SUM($T$2:T529),"")</f>
        <v/>
      </c>
      <c r="V529" s="11">
        <f>IF(OR($R529="",$R529="-"),"",IF(COUNTIF($R$2:$R529,$R529)=1,1,0))</f>
        <v>0</v>
      </c>
      <c r="W529" s="11" t="str">
        <f>IF(V529=1,SUM($V$2:V529),"")</f>
        <v/>
      </c>
      <c r="X529" s="11" t="str">
        <f t="shared" si="17"/>
        <v>SHOPEE</v>
      </c>
    </row>
    <row r="530" spans="1:24">
      <c r="A530" s="15" t="s">
        <v>79</v>
      </c>
      <c r="B530" s="15" t="s">
        <v>83</v>
      </c>
      <c r="C530" s="15" t="s">
        <v>1229</v>
      </c>
      <c r="D530" s="13">
        <v>46211.779861111114</v>
      </c>
      <c r="E530" s="15" t="s">
        <v>265</v>
      </c>
      <c r="F530" s="15" t="s">
        <v>1230</v>
      </c>
      <c r="G530" s="15" t="s">
        <v>74</v>
      </c>
      <c r="H530" s="15" t="s">
        <v>75</v>
      </c>
      <c r="I530" s="14">
        <v>12000</v>
      </c>
      <c r="J530" s="15" t="s">
        <v>1231</v>
      </c>
      <c r="K530" s="15" t="s">
        <v>24</v>
      </c>
      <c r="L530" s="15">
        <v>1</v>
      </c>
      <c r="M530" s="15">
        <v>0.45</v>
      </c>
      <c r="N530" s="15" t="s">
        <v>76</v>
      </c>
      <c r="O530" s="15" t="s">
        <v>76</v>
      </c>
      <c r="P530" s="14">
        <v>11390</v>
      </c>
      <c r="Q530" s="13">
        <v>46211.780555555553</v>
      </c>
      <c r="R530" s="15" t="s">
        <v>133</v>
      </c>
      <c r="S530" s="11" t="str">
        <f t="shared" si="16"/>
        <v>2026-07-08</v>
      </c>
      <c r="T530" s="11">
        <f>IF($E530="","",IF(COUNTIF($E$2:$E530,$E530)=1,1,0))</f>
        <v>0</v>
      </c>
      <c r="U530" s="11" t="str">
        <f>IF(T530=1,SUM($T$2:T530),"")</f>
        <v/>
      </c>
      <c r="V530" s="11">
        <f>IF(OR($R530="",$R530="-"),"",IF(COUNTIF($R$2:$R530,$R530)=1,1,0))</f>
        <v>0</v>
      </c>
      <c r="W530" s="11" t="str">
        <f>IF(V530=1,SUM($V$2:V530),"")</f>
        <v/>
      </c>
      <c r="X530" s="11" t="str">
        <f t="shared" si="17"/>
        <v>SHOPEE</v>
      </c>
    </row>
    <row r="531" spans="1:24">
      <c r="A531" s="15" t="s">
        <v>79</v>
      </c>
      <c r="B531" s="15" t="s">
        <v>83</v>
      </c>
      <c r="C531" s="15" t="s">
        <v>1229</v>
      </c>
      <c r="D531" s="13">
        <v>46211.779861111114</v>
      </c>
      <c r="E531" s="15" t="s">
        <v>265</v>
      </c>
      <c r="F531" s="15" t="s">
        <v>1232</v>
      </c>
      <c r="G531" s="15" t="s">
        <v>74</v>
      </c>
      <c r="H531" s="15" t="s">
        <v>75</v>
      </c>
      <c r="I531" s="14">
        <v>72000</v>
      </c>
      <c r="J531" s="15" t="s">
        <v>162</v>
      </c>
      <c r="K531" s="15" t="s">
        <v>24</v>
      </c>
      <c r="L531" s="15">
        <v>50</v>
      </c>
      <c r="M531" s="15">
        <v>2.86</v>
      </c>
      <c r="N531" s="15" t="s">
        <v>76</v>
      </c>
      <c r="O531" s="15" t="s">
        <v>76</v>
      </c>
      <c r="P531" s="14">
        <v>47500</v>
      </c>
      <c r="Q531" s="13">
        <v>46211.780555555553</v>
      </c>
      <c r="R531" s="15" t="s">
        <v>133</v>
      </c>
      <c r="S531" s="11" t="str">
        <f t="shared" si="16"/>
        <v>2026-07-08</v>
      </c>
      <c r="T531" s="11">
        <f>IF($E531="","",IF(COUNTIF($E$2:$E531,$E531)=1,1,0))</f>
        <v>0</v>
      </c>
      <c r="U531" s="11" t="str">
        <f>IF(T531=1,SUM($T$2:T531),"")</f>
        <v/>
      </c>
      <c r="V531" s="11">
        <f>IF(OR($R531="",$R531="-"),"",IF(COUNTIF($R$2:$R531,$R531)=1,1,0))</f>
        <v>0</v>
      </c>
      <c r="W531" s="11" t="str">
        <f>IF(V531=1,SUM($V$2:V531),"")</f>
        <v/>
      </c>
      <c r="X531" s="11" t="str">
        <f t="shared" si="17"/>
        <v>SHOPEE</v>
      </c>
    </row>
    <row r="532" spans="1:24">
      <c r="A532" s="15" t="s">
        <v>79</v>
      </c>
      <c r="B532" s="15" t="s">
        <v>83</v>
      </c>
      <c r="C532" s="15" t="s">
        <v>1233</v>
      </c>
      <c r="D532" s="13">
        <v>46211.779166666667</v>
      </c>
      <c r="E532" s="15" t="s">
        <v>111</v>
      </c>
      <c r="F532" s="15" t="s">
        <v>1236</v>
      </c>
      <c r="G532" s="15" t="s">
        <v>74</v>
      </c>
      <c r="H532" s="15" t="s">
        <v>75</v>
      </c>
      <c r="I532" s="14">
        <v>10000</v>
      </c>
      <c r="J532" s="15" t="s">
        <v>285</v>
      </c>
      <c r="K532" s="15" t="s">
        <v>27</v>
      </c>
      <c r="L532" s="15">
        <v>1</v>
      </c>
      <c r="M532" s="15">
        <v>0.17</v>
      </c>
      <c r="N532" s="15" t="s">
        <v>76</v>
      </c>
      <c r="O532" s="15" t="s">
        <v>76</v>
      </c>
      <c r="P532" s="14">
        <v>50000</v>
      </c>
      <c r="Q532" s="13">
        <v>46211.779861111114</v>
      </c>
      <c r="R532" s="15" t="s">
        <v>978</v>
      </c>
      <c r="S532" s="11" t="str">
        <f t="shared" si="16"/>
        <v>2026-07-08</v>
      </c>
      <c r="T532" s="11">
        <f>IF($E532="","",IF(COUNTIF($E$2:$E532,$E532)=1,1,0))</f>
        <v>0</v>
      </c>
      <c r="U532" s="11" t="str">
        <f>IF(T532=1,SUM($T$2:T532),"")</f>
        <v/>
      </c>
      <c r="V532" s="11">
        <f>IF(OR($R532="",$R532="-"),"",IF(COUNTIF($R$2:$R532,$R532)=1,1,0))</f>
        <v>0</v>
      </c>
      <c r="W532" s="11" t="str">
        <f>IF(V532=1,SUM($V$2:V532),"")</f>
        <v/>
      </c>
      <c r="X532" s="11" t="str">
        <f t="shared" si="17"/>
        <v>SHOPEE</v>
      </c>
    </row>
    <row r="533" spans="1:24">
      <c r="A533" s="15" t="s">
        <v>79</v>
      </c>
      <c r="B533" s="15" t="s">
        <v>83</v>
      </c>
      <c r="C533" s="15" t="s">
        <v>1233</v>
      </c>
      <c r="D533" s="13">
        <v>46211.779166666667</v>
      </c>
      <c r="E533" s="15" t="s">
        <v>111</v>
      </c>
      <c r="F533" s="15" t="s">
        <v>1234</v>
      </c>
      <c r="G533" s="15" t="s">
        <v>74</v>
      </c>
      <c r="H533" s="15" t="s">
        <v>75</v>
      </c>
      <c r="I533" s="14">
        <v>21000</v>
      </c>
      <c r="J533" s="15" t="s">
        <v>1235</v>
      </c>
      <c r="K533" s="15" t="s">
        <v>24</v>
      </c>
      <c r="L533" s="15">
        <v>1</v>
      </c>
      <c r="M533" s="15">
        <v>1.25</v>
      </c>
      <c r="N533" s="15" t="s">
        <v>76</v>
      </c>
      <c r="O533" s="15" t="s">
        <v>76</v>
      </c>
      <c r="P533" s="14">
        <v>60000</v>
      </c>
      <c r="Q533" s="13">
        <v>46211.779861111114</v>
      </c>
      <c r="R533" s="15" t="s">
        <v>978</v>
      </c>
      <c r="S533" s="11" t="str">
        <f t="shared" si="16"/>
        <v>2026-07-08</v>
      </c>
      <c r="T533" s="11">
        <f>IF($E533="","",IF(COUNTIF($E$2:$E533,$E533)=1,1,0))</f>
        <v>0</v>
      </c>
      <c r="U533" s="11" t="str">
        <f>IF(T533=1,SUM($T$2:T533),"")</f>
        <v/>
      </c>
      <c r="V533" s="11">
        <f>IF(OR($R533="",$R533="-"),"",IF(COUNTIF($R$2:$R533,$R533)=1,1,0))</f>
        <v>0</v>
      </c>
      <c r="W533" s="11" t="str">
        <f>IF(V533=1,SUM($V$2:V533),"")</f>
        <v/>
      </c>
      <c r="X533" s="11" t="str">
        <f t="shared" si="17"/>
        <v>SHOPEE</v>
      </c>
    </row>
    <row r="534" spans="1:24">
      <c r="A534" s="15" t="s">
        <v>79</v>
      </c>
      <c r="B534" s="15" t="s">
        <v>83</v>
      </c>
      <c r="C534" s="15" t="s">
        <v>1233</v>
      </c>
      <c r="D534" s="13">
        <v>46211.779166666667</v>
      </c>
      <c r="E534" s="15" t="s">
        <v>111</v>
      </c>
      <c r="F534" s="15" t="s">
        <v>1237</v>
      </c>
      <c r="G534" s="15" t="s">
        <v>74</v>
      </c>
      <c r="H534" s="15" t="s">
        <v>75</v>
      </c>
      <c r="I534" s="14">
        <v>12000</v>
      </c>
      <c r="J534" s="15" t="s">
        <v>208</v>
      </c>
      <c r="K534" s="15" t="s">
        <v>24</v>
      </c>
      <c r="L534" s="15">
        <v>1</v>
      </c>
      <c r="M534" s="15">
        <v>0.17</v>
      </c>
      <c r="N534" s="15" t="s">
        <v>76</v>
      </c>
      <c r="O534" s="15" t="s">
        <v>76</v>
      </c>
      <c r="P534" s="14">
        <v>50000</v>
      </c>
      <c r="Q534" s="13">
        <v>46211.779861111114</v>
      </c>
      <c r="R534" s="15" t="s">
        <v>978</v>
      </c>
      <c r="S534" s="11" t="str">
        <f t="shared" si="16"/>
        <v>2026-07-08</v>
      </c>
      <c r="T534" s="11">
        <f>IF($E534="","",IF(COUNTIF($E$2:$E534,$E534)=1,1,0))</f>
        <v>0</v>
      </c>
      <c r="U534" s="11" t="str">
        <f>IF(T534=1,SUM($T$2:T534),"")</f>
        <v/>
      </c>
      <c r="V534" s="11">
        <f>IF(OR($R534="",$R534="-"),"",IF(COUNTIF($R$2:$R534,$R534)=1,1,0))</f>
        <v>0</v>
      </c>
      <c r="W534" s="11" t="str">
        <f>IF(V534=1,SUM($V$2:V534),"")</f>
        <v/>
      </c>
      <c r="X534" s="11" t="str">
        <f t="shared" si="17"/>
        <v>SHOPEE</v>
      </c>
    </row>
    <row r="535" spans="1:24">
      <c r="A535" s="15" t="s">
        <v>79</v>
      </c>
      <c r="B535" s="15" t="s">
        <v>83</v>
      </c>
      <c r="C535" s="15" t="s">
        <v>1238</v>
      </c>
      <c r="D535" s="13">
        <v>46211.758333333331</v>
      </c>
      <c r="E535" s="15" t="s">
        <v>265</v>
      </c>
      <c r="F535" s="15" t="s">
        <v>1239</v>
      </c>
      <c r="G535" s="15" t="s">
        <v>74</v>
      </c>
      <c r="H535" s="15" t="s">
        <v>75</v>
      </c>
      <c r="I535" s="14">
        <v>12000</v>
      </c>
      <c r="J535" s="15" t="s">
        <v>201</v>
      </c>
      <c r="K535" s="15" t="s">
        <v>24</v>
      </c>
      <c r="L535" s="15">
        <v>4</v>
      </c>
      <c r="M535" s="15">
        <v>1.05</v>
      </c>
      <c r="N535" s="15" t="s">
        <v>76</v>
      </c>
      <c r="O535" s="15" t="s">
        <v>76</v>
      </c>
      <c r="P535" s="14">
        <v>228000</v>
      </c>
      <c r="Q535" s="13">
        <v>46211.758333333331</v>
      </c>
      <c r="R535" s="15" t="s">
        <v>170</v>
      </c>
      <c r="S535" s="11" t="str">
        <f t="shared" si="16"/>
        <v>2026-07-08</v>
      </c>
      <c r="T535" s="11">
        <f>IF($E535="","",IF(COUNTIF($E$2:$E535,$E535)=1,1,0))</f>
        <v>0</v>
      </c>
      <c r="U535" s="11" t="str">
        <f>IF(T535=1,SUM($T$2:T535),"")</f>
        <v/>
      </c>
      <c r="V535" s="11">
        <f>IF(OR($R535="",$R535="-"),"",IF(COUNTIF($R$2:$R535,$R535)=1,1,0))</f>
        <v>0</v>
      </c>
      <c r="W535" s="11" t="str">
        <f>IF(V535=1,SUM($V$2:V535),"")</f>
        <v/>
      </c>
      <c r="X535" s="11" t="str">
        <f t="shared" si="17"/>
        <v>SHOPEE</v>
      </c>
    </row>
    <row r="536" spans="1:24">
      <c r="A536" s="15" t="s">
        <v>79</v>
      </c>
      <c r="B536" s="15" t="s">
        <v>83</v>
      </c>
      <c r="C536" s="15" t="s">
        <v>1240</v>
      </c>
      <c r="D536" s="13">
        <v>46211.756944444445</v>
      </c>
      <c r="E536" s="15" t="s">
        <v>265</v>
      </c>
      <c r="F536" s="15" t="s">
        <v>1241</v>
      </c>
      <c r="G536" s="15" t="s">
        <v>74</v>
      </c>
      <c r="H536" s="15" t="s">
        <v>75</v>
      </c>
      <c r="I536" s="14">
        <v>12000</v>
      </c>
      <c r="J536" s="15" t="s">
        <v>610</v>
      </c>
      <c r="K536" s="15" t="s">
        <v>24</v>
      </c>
      <c r="L536" s="15">
        <v>1</v>
      </c>
      <c r="M536" s="15">
        <v>0</v>
      </c>
      <c r="N536" s="15" t="s">
        <v>76</v>
      </c>
      <c r="O536" s="15" t="s">
        <v>76</v>
      </c>
      <c r="P536" s="14">
        <v>500000</v>
      </c>
      <c r="Q536" s="13">
        <v>46211.756944444445</v>
      </c>
      <c r="R536" s="15" t="s">
        <v>1062</v>
      </c>
      <c r="S536" s="11" t="str">
        <f t="shared" si="16"/>
        <v>2026-07-08</v>
      </c>
      <c r="T536" s="11">
        <f>IF($E536="","",IF(COUNTIF($E$2:$E536,$E536)=1,1,0))</f>
        <v>0</v>
      </c>
      <c r="U536" s="11" t="str">
        <f>IF(T536=1,SUM($T$2:T536),"")</f>
        <v/>
      </c>
      <c r="V536" s="11">
        <f>IF(OR($R536="",$R536="-"),"",IF(COUNTIF($R$2:$R536,$R536)=1,1,0))</f>
        <v>0</v>
      </c>
      <c r="W536" s="11" t="str">
        <f>IF(V536=1,SUM($V$2:V536),"")</f>
        <v/>
      </c>
      <c r="X536" s="11" t="str">
        <f t="shared" si="17"/>
        <v>SHOPEE</v>
      </c>
    </row>
    <row r="537" spans="1:24">
      <c r="A537" s="15" t="s">
        <v>79</v>
      </c>
      <c r="B537" s="15" t="s">
        <v>83</v>
      </c>
      <c r="C537" s="15" t="s">
        <v>1242</v>
      </c>
      <c r="D537" s="13">
        <v>46211.724999999999</v>
      </c>
      <c r="E537" s="15" t="s">
        <v>111</v>
      </c>
      <c r="F537" s="15" t="s">
        <v>1248</v>
      </c>
      <c r="G537" s="15" t="s">
        <v>74</v>
      </c>
      <c r="H537" s="15" t="s">
        <v>75</v>
      </c>
      <c r="I537" s="14">
        <v>12000</v>
      </c>
      <c r="J537" s="15" t="s">
        <v>192</v>
      </c>
      <c r="K537" s="15" t="s">
        <v>24</v>
      </c>
      <c r="L537" s="15">
        <v>1</v>
      </c>
      <c r="M537" s="15">
        <v>0.65</v>
      </c>
      <c r="N537" s="15" t="s">
        <v>76</v>
      </c>
      <c r="O537" s="15" t="s">
        <v>76</v>
      </c>
      <c r="P537" s="14">
        <v>16000</v>
      </c>
      <c r="Q537" s="13">
        <v>46211.724999999999</v>
      </c>
      <c r="R537" s="15" t="s">
        <v>193</v>
      </c>
      <c r="S537" s="11" t="str">
        <f t="shared" si="16"/>
        <v>2026-07-08</v>
      </c>
      <c r="T537" s="11">
        <f>IF($E537="","",IF(COUNTIF($E$2:$E537,$E537)=1,1,0))</f>
        <v>0</v>
      </c>
      <c r="U537" s="11" t="str">
        <f>IF(T537=1,SUM($T$2:T537),"")</f>
        <v/>
      </c>
      <c r="V537" s="11">
        <f>IF(OR($R537="",$R537="-"),"",IF(COUNTIF($R$2:$R537,$R537)=1,1,0))</f>
        <v>0</v>
      </c>
      <c r="W537" s="11" t="str">
        <f>IF(V537=1,SUM($V$2:V537),"")</f>
        <v/>
      </c>
      <c r="X537" s="11" t="str">
        <f t="shared" si="17"/>
        <v>SHOPEE</v>
      </c>
    </row>
    <row r="538" spans="1:24">
      <c r="A538" s="15" t="s">
        <v>79</v>
      </c>
      <c r="B538" s="15" t="s">
        <v>83</v>
      </c>
      <c r="C538" s="15" t="s">
        <v>1242</v>
      </c>
      <c r="D538" s="13">
        <v>46211.724999999999</v>
      </c>
      <c r="E538" s="15" t="s">
        <v>111</v>
      </c>
      <c r="F538" s="15" t="s">
        <v>1247</v>
      </c>
      <c r="G538" s="15" t="s">
        <v>74</v>
      </c>
      <c r="H538" s="15" t="s">
        <v>75</v>
      </c>
      <c r="I538" s="14">
        <v>12000</v>
      </c>
      <c r="J538" s="15" t="s">
        <v>337</v>
      </c>
      <c r="K538" s="15" t="s">
        <v>24</v>
      </c>
      <c r="L538" s="15">
        <v>1</v>
      </c>
      <c r="M538" s="15">
        <v>0.35</v>
      </c>
      <c r="N538" s="15" t="s">
        <v>76</v>
      </c>
      <c r="O538" s="15" t="s">
        <v>76</v>
      </c>
      <c r="P538" s="14">
        <v>8500</v>
      </c>
      <c r="Q538" s="13">
        <v>46211.724999999999</v>
      </c>
      <c r="R538" s="15" t="s">
        <v>193</v>
      </c>
      <c r="S538" s="11" t="str">
        <f t="shared" si="16"/>
        <v>2026-07-08</v>
      </c>
      <c r="T538" s="11">
        <f>IF($E538="","",IF(COUNTIF($E$2:$E538,$E538)=1,1,0))</f>
        <v>0</v>
      </c>
      <c r="U538" s="11" t="str">
        <f>IF(T538=1,SUM($T$2:T538),"")</f>
        <v/>
      </c>
      <c r="V538" s="11">
        <f>IF(OR($R538="",$R538="-"),"",IF(COUNTIF($R$2:$R538,$R538)=1,1,0))</f>
        <v>0</v>
      </c>
      <c r="W538" s="11" t="str">
        <f>IF(V538=1,SUM($V$2:V538),"")</f>
        <v/>
      </c>
      <c r="X538" s="11" t="str">
        <f t="shared" si="17"/>
        <v>SHOPEE</v>
      </c>
    </row>
    <row r="539" spans="1:24">
      <c r="A539" s="15" t="s">
        <v>79</v>
      </c>
      <c r="B539" s="15" t="s">
        <v>83</v>
      </c>
      <c r="C539" s="15" t="s">
        <v>1242</v>
      </c>
      <c r="D539" s="13">
        <v>46211.724999999999</v>
      </c>
      <c r="E539" s="15" t="s">
        <v>111</v>
      </c>
      <c r="F539" s="15" t="s">
        <v>1243</v>
      </c>
      <c r="G539" s="15" t="s">
        <v>74</v>
      </c>
      <c r="H539" s="15" t="s">
        <v>75</v>
      </c>
      <c r="I539" s="14">
        <v>12000</v>
      </c>
      <c r="J539" s="15" t="s">
        <v>172</v>
      </c>
      <c r="K539" s="15" t="s">
        <v>24</v>
      </c>
      <c r="L539" s="15">
        <v>1</v>
      </c>
      <c r="M539" s="15">
        <v>0.35</v>
      </c>
      <c r="N539" s="15" t="s">
        <v>76</v>
      </c>
      <c r="O539" s="15" t="s">
        <v>76</v>
      </c>
      <c r="P539" s="14">
        <v>8500</v>
      </c>
      <c r="Q539" s="13">
        <v>46211.724999999999</v>
      </c>
      <c r="R539" s="15" t="s">
        <v>193</v>
      </c>
      <c r="S539" s="11" t="str">
        <f t="shared" si="16"/>
        <v>2026-07-08</v>
      </c>
      <c r="T539" s="11">
        <f>IF($E539="","",IF(COUNTIF($E$2:$E539,$E539)=1,1,0))</f>
        <v>0</v>
      </c>
      <c r="U539" s="11" t="str">
        <f>IF(T539=1,SUM($T$2:T539),"")</f>
        <v/>
      </c>
      <c r="V539" s="11">
        <f>IF(OR($R539="",$R539="-"),"",IF(COUNTIF($R$2:$R539,$R539)=1,1,0))</f>
        <v>0</v>
      </c>
      <c r="W539" s="11" t="str">
        <f>IF(V539=1,SUM($V$2:V539),"")</f>
        <v/>
      </c>
      <c r="X539" s="11" t="str">
        <f t="shared" si="17"/>
        <v>SHOPEE</v>
      </c>
    </row>
    <row r="540" spans="1:24">
      <c r="A540" s="15" t="s">
        <v>79</v>
      </c>
      <c r="B540" s="15" t="s">
        <v>83</v>
      </c>
      <c r="C540" s="15" t="s">
        <v>1242</v>
      </c>
      <c r="D540" s="13">
        <v>46211.724999999999</v>
      </c>
      <c r="E540" s="15" t="s">
        <v>111</v>
      </c>
      <c r="F540" s="15" t="s">
        <v>1244</v>
      </c>
      <c r="G540" s="15" t="s">
        <v>74</v>
      </c>
      <c r="H540" s="15" t="s">
        <v>75</v>
      </c>
      <c r="I540" s="14">
        <v>18000</v>
      </c>
      <c r="J540" s="15" t="s">
        <v>286</v>
      </c>
      <c r="K540" s="15" t="s">
        <v>24</v>
      </c>
      <c r="L540" s="15">
        <v>1</v>
      </c>
      <c r="M540" s="15">
        <v>0.65</v>
      </c>
      <c r="N540" s="15" t="s">
        <v>76</v>
      </c>
      <c r="O540" s="15" t="s">
        <v>76</v>
      </c>
      <c r="P540" s="14">
        <v>16000</v>
      </c>
      <c r="Q540" s="13">
        <v>46211.724999999999</v>
      </c>
      <c r="R540" s="15" t="s">
        <v>193</v>
      </c>
      <c r="S540" s="11" t="str">
        <f t="shared" si="16"/>
        <v>2026-07-08</v>
      </c>
      <c r="T540" s="11">
        <f>IF($E540="","",IF(COUNTIF($E$2:$E540,$E540)=1,1,0))</f>
        <v>0</v>
      </c>
      <c r="U540" s="11" t="str">
        <f>IF(T540=1,SUM($T$2:T540),"")</f>
        <v/>
      </c>
      <c r="V540" s="11">
        <f>IF(OR($R540="",$R540="-"),"",IF(COUNTIF($R$2:$R540,$R540)=1,1,0))</f>
        <v>0</v>
      </c>
      <c r="W540" s="11" t="str">
        <f>IF(V540=1,SUM($V$2:V540),"")</f>
        <v/>
      </c>
      <c r="X540" s="11" t="str">
        <f t="shared" si="17"/>
        <v>SHOPEE</v>
      </c>
    </row>
    <row r="541" spans="1:24">
      <c r="A541" s="15" t="s">
        <v>79</v>
      </c>
      <c r="B541" s="15" t="s">
        <v>83</v>
      </c>
      <c r="C541" s="15" t="s">
        <v>1242</v>
      </c>
      <c r="D541" s="13">
        <v>46211.724999999999</v>
      </c>
      <c r="E541" s="15" t="s">
        <v>111</v>
      </c>
      <c r="F541" s="15" t="s">
        <v>1245</v>
      </c>
      <c r="G541" s="15" t="s">
        <v>74</v>
      </c>
      <c r="H541" s="15" t="s">
        <v>75</v>
      </c>
      <c r="I541" s="14">
        <v>12000</v>
      </c>
      <c r="J541" s="15" t="s">
        <v>132</v>
      </c>
      <c r="K541" s="15" t="s">
        <v>24</v>
      </c>
      <c r="L541" s="15">
        <v>1</v>
      </c>
      <c r="M541" s="15">
        <v>0.9</v>
      </c>
      <c r="N541" s="15" t="s">
        <v>76</v>
      </c>
      <c r="O541" s="15" t="s">
        <v>76</v>
      </c>
      <c r="P541" s="14">
        <v>105520</v>
      </c>
      <c r="Q541" s="13">
        <v>46211.724999999999</v>
      </c>
      <c r="R541" s="15" t="s">
        <v>193</v>
      </c>
      <c r="S541" s="11" t="str">
        <f t="shared" si="16"/>
        <v>2026-07-08</v>
      </c>
      <c r="T541" s="11">
        <f>IF($E541="","",IF(COUNTIF($E$2:$E541,$E541)=1,1,0))</f>
        <v>0</v>
      </c>
      <c r="U541" s="11" t="str">
        <f>IF(T541=1,SUM($T$2:T541),"")</f>
        <v/>
      </c>
      <c r="V541" s="11">
        <f>IF(OR($R541="",$R541="-"),"",IF(COUNTIF($R$2:$R541,$R541)=1,1,0))</f>
        <v>0</v>
      </c>
      <c r="W541" s="11" t="str">
        <f>IF(V541=1,SUM($V$2:V541),"")</f>
        <v/>
      </c>
      <c r="X541" s="11" t="str">
        <f t="shared" si="17"/>
        <v>SHOPEE</v>
      </c>
    </row>
    <row r="542" spans="1:24">
      <c r="A542" s="15" t="s">
        <v>79</v>
      </c>
      <c r="B542" s="15" t="s">
        <v>83</v>
      </c>
      <c r="C542" s="15" t="s">
        <v>1242</v>
      </c>
      <c r="D542" s="13">
        <v>46211.724999999999</v>
      </c>
      <c r="E542" s="15" t="s">
        <v>111</v>
      </c>
      <c r="F542" s="15" t="s">
        <v>1246</v>
      </c>
      <c r="G542" s="15" t="s">
        <v>74</v>
      </c>
      <c r="H542" s="15" t="s">
        <v>75</v>
      </c>
      <c r="I542" s="14">
        <v>12000</v>
      </c>
      <c r="J542" s="15" t="s">
        <v>145</v>
      </c>
      <c r="K542" s="15" t="s">
        <v>24</v>
      </c>
      <c r="L542" s="15">
        <v>1</v>
      </c>
      <c r="M542" s="15">
        <v>0.65</v>
      </c>
      <c r="N542" s="15" t="s">
        <v>76</v>
      </c>
      <c r="O542" s="15" t="s">
        <v>76</v>
      </c>
      <c r="P542" s="14">
        <v>16000</v>
      </c>
      <c r="Q542" s="13">
        <v>46211.724999999999</v>
      </c>
      <c r="R542" s="15" t="s">
        <v>193</v>
      </c>
      <c r="S542" s="11" t="str">
        <f t="shared" si="16"/>
        <v>2026-07-08</v>
      </c>
      <c r="T542" s="11">
        <f>IF($E542="","",IF(COUNTIF($E$2:$E542,$E542)=1,1,0))</f>
        <v>0</v>
      </c>
      <c r="U542" s="11" t="str">
        <f>IF(T542=1,SUM($T$2:T542),"")</f>
        <v/>
      </c>
      <c r="V542" s="11">
        <f>IF(OR($R542="",$R542="-"),"",IF(COUNTIF($R$2:$R542,$R542)=1,1,0))</f>
        <v>0</v>
      </c>
      <c r="W542" s="11" t="str">
        <f>IF(V542=1,SUM($V$2:V542),"")</f>
        <v/>
      </c>
      <c r="X542" s="11" t="str">
        <f t="shared" si="17"/>
        <v>SHOPEE</v>
      </c>
    </row>
    <row r="543" spans="1:24">
      <c r="A543" s="15" t="s">
        <v>79</v>
      </c>
      <c r="B543" s="15" t="s">
        <v>83</v>
      </c>
      <c r="C543" s="15" t="s">
        <v>1242</v>
      </c>
      <c r="D543" s="13">
        <v>46211.724999999999</v>
      </c>
      <c r="E543" s="15" t="s">
        <v>111</v>
      </c>
      <c r="F543" s="15" t="s">
        <v>1249</v>
      </c>
      <c r="G543" s="15" t="s">
        <v>74</v>
      </c>
      <c r="H543" s="15" t="s">
        <v>75</v>
      </c>
      <c r="I543" s="14">
        <v>24000</v>
      </c>
      <c r="J543" s="15" t="s">
        <v>1250</v>
      </c>
      <c r="K543" s="15" t="s">
        <v>24</v>
      </c>
      <c r="L543" s="15">
        <v>1</v>
      </c>
      <c r="M543" s="15">
        <v>0.65</v>
      </c>
      <c r="N543" s="15" t="s">
        <v>76</v>
      </c>
      <c r="O543" s="15" t="s">
        <v>76</v>
      </c>
      <c r="P543" s="14">
        <v>16000</v>
      </c>
      <c r="Q543" s="13">
        <v>46211.724999999999</v>
      </c>
      <c r="R543" s="15" t="s">
        <v>193</v>
      </c>
      <c r="S543" s="11" t="str">
        <f t="shared" si="16"/>
        <v>2026-07-08</v>
      </c>
      <c r="T543" s="11">
        <f>IF($E543="","",IF(COUNTIF($E$2:$E543,$E543)=1,1,0))</f>
        <v>0</v>
      </c>
      <c r="U543" s="11" t="str">
        <f>IF(T543=1,SUM($T$2:T543),"")</f>
        <v/>
      </c>
      <c r="V543" s="11">
        <f>IF(OR($R543="",$R543="-"),"",IF(COUNTIF($R$2:$R543,$R543)=1,1,0))</f>
        <v>0</v>
      </c>
      <c r="W543" s="11" t="str">
        <f>IF(V543=1,SUM($V$2:V543),"")</f>
        <v/>
      </c>
      <c r="X543" s="11" t="str">
        <f t="shared" si="17"/>
        <v>SHOPEE</v>
      </c>
    </row>
    <row r="544" spans="1:24">
      <c r="A544" s="15" t="s">
        <v>79</v>
      </c>
      <c r="B544" s="15" t="s">
        <v>83</v>
      </c>
      <c r="C544" s="15" t="s">
        <v>1251</v>
      </c>
      <c r="D544" s="13">
        <v>46211.706944444442</v>
      </c>
      <c r="E544" s="15" t="s">
        <v>111</v>
      </c>
      <c r="F544" s="15" t="s">
        <v>1252</v>
      </c>
      <c r="G544" s="15" t="s">
        <v>74</v>
      </c>
      <c r="H544" s="15" t="s">
        <v>75</v>
      </c>
      <c r="I544" s="14">
        <v>62000</v>
      </c>
      <c r="J544" s="15" t="s">
        <v>122</v>
      </c>
      <c r="K544" s="15" t="s">
        <v>24</v>
      </c>
      <c r="L544" s="15">
        <v>1</v>
      </c>
      <c r="M544" s="15">
        <v>2</v>
      </c>
      <c r="N544" s="15" t="s">
        <v>76</v>
      </c>
      <c r="O544" s="15" t="s">
        <v>76</v>
      </c>
      <c r="P544" s="14">
        <v>3300000</v>
      </c>
      <c r="Q544" s="13">
        <v>46211.706944444442</v>
      </c>
      <c r="R544" s="15" t="s">
        <v>86</v>
      </c>
      <c r="S544" s="11" t="str">
        <f t="shared" si="16"/>
        <v>2026-07-08</v>
      </c>
      <c r="T544" s="11">
        <f>IF($E544="","",IF(COUNTIF($E$2:$E544,$E544)=1,1,0))</f>
        <v>0</v>
      </c>
      <c r="U544" s="11" t="str">
        <f>IF(T544=1,SUM($T$2:T544),"")</f>
        <v/>
      </c>
      <c r="V544" s="11">
        <f>IF(OR($R544="",$R544="-"),"",IF(COUNTIF($R$2:$R544,$R544)=1,1,0))</f>
        <v>0</v>
      </c>
      <c r="W544" s="11" t="str">
        <f>IF(V544=1,SUM($V$2:V544),"")</f>
        <v/>
      </c>
      <c r="X544" s="11" t="str">
        <f t="shared" si="17"/>
        <v>SHOPEE</v>
      </c>
    </row>
    <row r="545" spans="1:24">
      <c r="A545" s="15" t="s">
        <v>79</v>
      </c>
      <c r="B545" s="15" t="s">
        <v>83</v>
      </c>
      <c r="C545" s="15" t="s">
        <v>1253</v>
      </c>
      <c r="D545" s="13">
        <v>46211.700694444444</v>
      </c>
      <c r="E545" s="15" t="s">
        <v>111</v>
      </c>
      <c r="F545" s="15" t="s">
        <v>1254</v>
      </c>
      <c r="G545" s="15" t="s">
        <v>74</v>
      </c>
      <c r="H545" s="15" t="s">
        <v>75</v>
      </c>
      <c r="I545" s="14">
        <v>21000</v>
      </c>
      <c r="J545" s="15" t="s">
        <v>271</v>
      </c>
      <c r="K545" s="15" t="s">
        <v>24</v>
      </c>
      <c r="L545" s="15">
        <v>1</v>
      </c>
      <c r="M545" s="15">
        <v>1</v>
      </c>
      <c r="N545" s="15" t="s">
        <v>76</v>
      </c>
      <c r="O545" s="15" t="s">
        <v>76</v>
      </c>
      <c r="P545" s="14">
        <v>900000</v>
      </c>
      <c r="Q545" s="13">
        <v>46211.701388888891</v>
      </c>
      <c r="R545" s="15" t="s">
        <v>86</v>
      </c>
      <c r="S545" s="11" t="str">
        <f t="shared" si="16"/>
        <v>2026-07-08</v>
      </c>
      <c r="T545" s="11">
        <f>IF($E545="","",IF(COUNTIF($E$2:$E545,$E545)=1,1,0))</f>
        <v>0</v>
      </c>
      <c r="U545" s="11" t="str">
        <f>IF(T545=1,SUM($T$2:T545),"")</f>
        <v/>
      </c>
      <c r="V545" s="11">
        <f>IF(OR($R545="",$R545="-"),"",IF(COUNTIF($R$2:$R545,$R545)=1,1,0))</f>
        <v>0</v>
      </c>
      <c r="W545" s="11" t="str">
        <f>IF(V545=1,SUM($V$2:V545),"")</f>
        <v/>
      </c>
      <c r="X545" s="11" t="str">
        <f t="shared" si="17"/>
        <v>SHOPEE</v>
      </c>
    </row>
    <row r="546" spans="1:24">
      <c r="A546" s="15" t="s">
        <v>79</v>
      </c>
      <c r="B546" s="15" t="s">
        <v>83</v>
      </c>
      <c r="C546" s="15" t="s">
        <v>1255</v>
      </c>
      <c r="D546" s="13">
        <v>46211.685416666667</v>
      </c>
      <c r="E546" s="15" t="s">
        <v>265</v>
      </c>
      <c r="F546" s="15" t="s">
        <v>1256</v>
      </c>
      <c r="G546" s="15" t="s">
        <v>74</v>
      </c>
      <c r="H546" s="15" t="s">
        <v>75</v>
      </c>
      <c r="I546" s="14">
        <v>12000</v>
      </c>
      <c r="J546" s="15" t="s">
        <v>257</v>
      </c>
      <c r="K546" s="15" t="s">
        <v>24</v>
      </c>
      <c r="L546" s="15">
        <v>2</v>
      </c>
      <c r="M546" s="15">
        <v>0.85</v>
      </c>
      <c r="N546" s="15" t="s">
        <v>76</v>
      </c>
      <c r="O546" s="15" t="s">
        <v>76</v>
      </c>
      <c r="P546" s="14">
        <v>94000</v>
      </c>
      <c r="Q546" s="13">
        <v>46211.686111111114</v>
      </c>
      <c r="R546" s="15" t="s">
        <v>109</v>
      </c>
      <c r="S546" s="11" t="str">
        <f t="shared" si="16"/>
        <v>2026-07-08</v>
      </c>
      <c r="T546" s="11">
        <f>IF($E546="","",IF(COUNTIF($E$2:$E546,$E546)=1,1,0))</f>
        <v>0</v>
      </c>
      <c r="U546" s="11" t="str">
        <f>IF(T546=1,SUM($T$2:T546),"")</f>
        <v/>
      </c>
      <c r="V546" s="11">
        <f>IF(OR($R546="",$R546="-"),"",IF(COUNTIF($R$2:$R546,$R546)=1,1,0))</f>
        <v>0</v>
      </c>
      <c r="W546" s="11" t="str">
        <f>IF(V546=1,SUM($V$2:V546),"")</f>
        <v/>
      </c>
      <c r="X546" s="11" t="str">
        <f t="shared" si="17"/>
        <v>SHOPEE</v>
      </c>
    </row>
    <row r="547" spans="1:24">
      <c r="A547" s="15" t="s">
        <v>79</v>
      </c>
      <c r="B547" s="15" t="s">
        <v>83</v>
      </c>
      <c r="C547" s="15" t="s">
        <v>1257</v>
      </c>
      <c r="D547" s="13">
        <v>46211.590277777781</v>
      </c>
      <c r="E547" s="15" t="s">
        <v>111</v>
      </c>
      <c r="F547" s="15" t="s">
        <v>1258</v>
      </c>
      <c r="G547" s="15" t="s">
        <v>74</v>
      </c>
      <c r="H547" s="15" t="s">
        <v>75</v>
      </c>
      <c r="I547" s="14">
        <v>34000</v>
      </c>
      <c r="J547" s="15" t="s">
        <v>328</v>
      </c>
      <c r="K547" s="15" t="s">
        <v>24</v>
      </c>
      <c r="L547" s="15">
        <v>1</v>
      </c>
      <c r="M547" s="15">
        <v>0.5</v>
      </c>
      <c r="N547" s="15" t="s">
        <v>76</v>
      </c>
      <c r="O547" s="15" t="s">
        <v>76</v>
      </c>
      <c r="P547" s="14">
        <v>600000</v>
      </c>
      <c r="Q547" s="13">
        <v>46211.590277777781</v>
      </c>
      <c r="R547" s="15" t="s">
        <v>298</v>
      </c>
      <c r="S547" s="11" t="str">
        <f t="shared" si="16"/>
        <v>2026-07-08</v>
      </c>
      <c r="T547" s="11">
        <f>IF($E547="","",IF(COUNTIF($E$2:$E547,$E547)=1,1,0))</f>
        <v>0</v>
      </c>
      <c r="U547" s="11" t="str">
        <f>IF(T547=1,SUM($T$2:T547),"")</f>
        <v/>
      </c>
      <c r="V547" s="11">
        <f>IF(OR($R547="",$R547="-"),"",IF(COUNTIF($R$2:$R547,$R547)=1,1,0))</f>
        <v>0</v>
      </c>
      <c r="W547" s="11" t="str">
        <f>IF(V547=1,SUM($V$2:V547),"")</f>
        <v/>
      </c>
      <c r="X547" s="11" t="str">
        <f t="shared" si="17"/>
        <v>SHOPEE</v>
      </c>
    </row>
    <row r="548" spans="1:24">
      <c r="A548" s="15" t="s">
        <v>79</v>
      </c>
      <c r="B548" s="15" t="s">
        <v>83</v>
      </c>
      <c r="C548" s="15" t="s">
        <v>1259</v>
      </c>
      <c r="D548" s="13">
        <v>46211.511111111111</v>
      </c>
      <c r="E548" s="15" t="s">
        <v>111</v>
      </c>
      <c r="F548" s="15" t="s">
        <v>1260</v>
      </c>
      <c r="G548" s="15" t="s">
        <v>74</v>
      </c>
      <c r="H548" s="15" t="s">
        <v>75</v>
      </c>
      <c r="I548" s="14">
        <v>53000</v>
      </c>
      <c r="J548" s="15" t="s">
        <v>1167</v>
      </c>
      <c r="K548" s="15" t="s">
        <v>24</v>
      </c>
      <c r="L548" s="15">
        <v>1</v>
      </c>
      <c r="M548" s="15">
        <v>1.2</v>
      </c>
      <c r="N548" s="15" t="s">
        <v>76</v>
      </c>
      <c r="O548" s="15" t="s">
        <v>76</v>
      </c>
      <c r="P548" s="14">
        <v>1512000</v>
      </c>
      <c r="Q548" s="13">
        <v>46211.511805555558</v>
      </c>
      <c r="R548" s="15" t="s">
        <v>1261</v>
      </c>
      <c r="S548" s="11" t="str">
        <f t="shared" si="16"/>
        <v>2026-07-08</v>
      </c>
      <c r="T548" s="11">
        <f>IF($E548="","",IF(COUNTIF($E$2:$E548,$E548)=1,1,0))</f>
        <v>0</v>
      </c>
      <c r="U548" s="11" t="str">
        <f>IF(T548=1,SUM($T$2:T548),"")</f>
        <v/>
      </c>
      <c r="V548" s="11">
        <f>IF(OR($R548="",$R548="-"),"",IF(COUNTIF($R$2:$R548,$R548)=1,1,0))</f>
        <v>1</v>
      </c>
      <c r="W548" s="11">
        <f>IF(V548=1,SUM($V$2:V548),"")</f>
        <v>188</v>
      </c>
      <c r="X548" s="11" t="str">
        <f t="shared" si="17"/>
        <v>SHOPEE</v>
      </c>
    </row>
    <row r="549" spans="1:24">
      <c r="A549" s="15" t="s">
        <v>79</v>
      </c>
      <c r="B549" s="15" t="s">
        <v>83</v>
      </c>
      <c r="C549" s="15" t="s">
        <v>1262</v>
      </c>
      <c r="D549" s="13">
        <v>46211.359722222223</v>
      </c>
      <c r="E549" s="15" t="s">
        <v>73</v>
      </c>
      <c r="F549" s="15" t="s">
        <v>1263</v>
      </c>
      <c r="G549" s="15" t="s">
        <v>74</v>
      </c>
      <c r="H549" s="15" t="s">
        <v>75</v>
      </c>
      <c r="I549" s="14">
        <v>12000</v>
      </c>
      <c r="J549" s="15" t="s">
        <v>97</v>
      </c>
      <c r="K549" s="15" t="s">
        <v>24</v>
      </c>
      <c r="L549" s="15">
        <v>1</v>
      </c>
      <c r="M549" s="15">
        <v>0.6</v>
      </c>
      <c r="N549" s="15" t="s">
        <v>76</v>
      </c>
      <c r="O549" s="15" t="s">
        <v>76</v>
      </c>
      <c r="P549" s="14">
        <v>119000</v>
      </c>
      <c r="Q549" s="13">
        <v>46211.359722222223</v>
      </c>
      <c r="R549" s="15" t="s">
        <v>1264</v>
      </c>
      <c r="S549" s="11" t="str">
        <f t="shared" si="16"/>
        <v>2026-07-08</v>
      </c>
      <c r="T549" s="11">
        <f>IF($E549="","",IF(COUNTIF($E$2:$E549,$E549)=1,1,0))</f>
        <v>0</v>
      </c>
      <c r="U549" s="11" t="str">
        <f>IF(T549=1,SUM($T$2:T549),"")</f>
        <v/>
      </c>
      <c r="V549" s="11">
        <f>IF(OR($R549="",$R549="-"),"",IF(COUNTIF($R$2:$R549,$R549)=1,1,0))</f>
        <v>1</v>
      </c>
      <c r="W549" s="11">
        <f>IF(V549=1,SUM($V$2:V549),"")</f>
        <v>189</v>
      </c>
      <c r="X549" s="11" t="str">
        <f t="shared" si="17"/>
        <v>SHOPEE</v>
      </c>
    </row>
    <row r="550" spans="1:24">
      <c r="A550" s="15" t="s">
        <v>79</v>
      </c>
      <c r="B550" s="15" t="s">
        <v>83</v>
      </c>
      <c r="C550" s="15" t="s">
        <v>1265</v>
      </c>
      <c r="D550" s="13">
        <v>46211.359722222223</v>
      </c>
      <c r="E550" s="15" t="s">
        <v>73</v>
      </c>
      <c r="F550" s="15" t="s">
        <v>1266</v>
      </c>
      <c r="G550" s="15" t="s">
        <v>74</v>
      </c>
      <c r="H550" s="15" t="s">
        <v>75</v>
      </c>
      <c r="I550" s="14">
        <v>32000</v>
      </c>
      <c r="J550" s="15" t="s">
        <v>1267</v>
      </c>
      <c r="K550" s="15" t="s">
        <v>27</v>
      </c>
      <c r="L550" s="15">
        <v>6</v>
      </c>
      <c r="M550" s="15">
        <v>0.06</v>
      </c>
      <c r="N550" s="15" t="s">
        <v>76</v>
      </c>
      <c r="O550" s="15" t="s">
        <v>76</v>
      </c>
      <c r="P550" s="14">
        <v>108000</v>
      </c>
      <c r="Q550" s="13">
        <v>46211.359722222223</v>
      </c>
      <c r="R550" s="15" t="s">
        <v>385</v>
      </c>
      <c r="S550" s="11" t="str">
        <f t="shared" si="16"/>
        <v>2026-07-08</v>
      </c>
      <c r="T550" s="11">
        <f>IF($E550="","",IF(COUNTIF($E$2:$E550,$E550)=1,1,0))</f>
        <v>0</v>
      </c>
      <c r="U550" s="11" t="str">
        <f>IF(T550=1,SUM($T$2:T550),"")</f>
        <v/>
      </c>
      <c r="V550" s="11">
        <f>IF(OR($R550="",$R550="-"),"",IF(COUNTIF($R$2:$R550,$R550)=1,1,0))</f>
        <v>0</v>
      </c>
      <c r="W550" s="11" t="str">
        <f>IF(V550=1,SUM($V$2:V550),"")</f>
        <v/>
      </c>
      <c r="X550" s="11" t="str">
        <f t="shared" si="17"/>
        <v>SHOPEE</v>
      </c>
    </row>
    <row r="551" spans="1:24">
      <c r="A551" s="15" t="s">
        <v>79</v>
      </c>
      <c r="B551" s="15" t="s">
        <v>83</v>
      </c>
      <c r="C551" s="15" t="s">
        <v>1268</v>
      </c>
      <c r="D551" s="13">
        <v>46211.335416666669</v>
      </c>
      <c r="E551" s="15" t="s">
        <v>73</v>
      </c>
      <c r="F551" s="15" t="s">
        <v>1269</v>
      </c>
      <c r="G551" s="15" t="s">
        <v>74</v>
      </c>
      <c r="H551" s="15" t="s">
        <v>75</v>
      </c>
      <c r="I551" s="14">
        <v>26000</v>
      </c>
      <c r="J551" s="15" t="s">
        <v>1270</v>
      </c>
      <c r="K551" s="15" t="s">
        <v>24</v>
      </c>
      <c r="L551" s="15">
        <v>1</v>
      </c>
      <c r="M551" s="15">
        <v>0.5</v>
      </c>
      <c r="N551" s="15" t="s">
        <v>76</v>
      </c>
      <c r="O551" s="15" t="s">
        <v>76</v>
      </c>
      <c r="P551" s="15">
        <v>99</v>
      </c>
      <c r="Q551" s="13">
        <v>46211.335416666669</v>
      </c>
      <c r="R551" s="15" t="s">
        <v>189</v>
      </c>
      <c r="S551" s="11" t="str">
        <f t="shared" si="16"/>
        <v>2026-07-08</v>
      </c>
      <c r="T551" s="11">
        <f>IF($E551="","",IF(COUNTIF($E$2:$E551,$E551)=1,1,0))</f>
        <v>0</v>
      </c>
      <c r="U551" s="11" t="str">
        <f>IF(T551=1,SUM($T$2:T551),"")</f>
        <v/>
      </c>
      <c r="V551" s="11">
        <f>IF(OR($R551="",$R551="-"),"",IF(COUNTIF($R$2:$R551,$R551)=1,1,0))</f>
        <v>0</v>
      </c>
      <c r="W551" s="11" t="str">
        <f>IF(V551=1,SUM($V$2:V551),"")</f>
        <v/>
      </c>
      <c r="X551" s="11" t="str">
        <f t="shared" si="17"/>
        <v>SHOPEE</v>
      </c>
    </row>
    <row r="552" spans="1:24">
      <c r="A552" s="15" t="s">
        <v>249</v>
      </c>
      <c r="B552" s="15" t="s">
        <v>250</v>
      </c>
      <c r="C552" s="15" t="s">
        <v>1271</v>
      </c>
      <c r="D552" s="13">
        <v>46210.856944444444</v>
      </c>
      <c r="E552" s="15" t="s">
        <v>73</v>
      </c>
      <c r="F552" s="15" t="s">
        <v>1272</v>
      </c>
      <c r="G552" s="15" t="s">
        <v>74</v>
      </c>
      <c r="H552" s="15" t="s">
        <v>75</v>
      </c>
      <c r="I552" s="14">
        <v>24000</v>
      </c>
      <c r="J552" s="15" t="s">
        <v>282</v>
      </c>
      <c r="K552" s="15" t="s">
        <v>24</v>
      </c>
      <c r="L552" s="15">
        <v>1</v>
      </c>
      <c r="M552" s="15">
        <v>0.5</v>
      </c>
      <c r="N552" s="15" t="s">
        <v>76</v>
      </c>
      <c r="O552" s="15" t="s">
        <v>76</v>
      </c>
      <c r="P552" s="14">
        <v>3299000</v>
      </c>
      <c r="Q552" s="13">
        <v>46210.856944444444</v>
      </c>
      <c r="R552" s="15" t="s">
        <v>251</v>
      </c>
      <c r="S552" s="11" t="str">
        <f t="shared" si="16"/>
        <v>2026-07-07</v>
      </c>
      <c r="T552" s="11">
        <f>IF($E552="","",IF(COUNTIF($E$2:$E552,$E552)=1,1,0))</f>
        <v>0</v>
      </c>
      <c r="U552" s="11" t="str">
        <f>IF(T552=1,SUM($T$2:T552),"")</f>
        <v/>
      </c>
      <c r="V552" s="11">
        <f>IF(OR($R552="",$R552="-"),"",IF(COUNTIF($R$2:$R552,$R552)=1,1,0))</f>
        <v>0</v>
      </c>
      <c r="W552" s="11" t="str">
        <f>IF(V552=1,SUM($V$2:V552),"")</f>
        <v/>
      </c>
      <c r="X552" s="11" t="str">
        <f t="shared" si="17"/>
        <v>TOKOPEDIA</v>
      </c>
    </row>
    <row r="553" spans="1:24">
      <c r="A553" s="15" t="s">
        <v>79</v>
      </c>
      <c r="B553" s="15" t="s">
        <v>80</v>
      </c>
      <c r="C553" s="15" t="s">
        <v>1273</v>
      </c>
      <c r="D553" s="13">
        <v>46210.850694444445</v>
      </c>
      <c r="E553" s="15" t="s">
        <v>73</v>
      </c>
      <c r="F553" s="15" t="s">
        <v>1274</v>
      </c>
      <c r="G553" s="15" t="s">
        <v>74</v>
      </c>
      <c r="H553" s="15" t="s">
        <v>75</v>
      </c>
      <c r="I553" s="14">
        <v>96000</v>
      </c>
      <c r="J553" s="15" t="s">
        <v>1275</v>
      </c>
      <c r="K553" s="15" t="s">
        <v>24</v>
      </c>
      <c r="L553" s="15">
        <v>1</v>
      </c>
      <c r="M553" s="15">
        <v>7.8</v>
      </c>
      <c r="N553" s="15" t="s">
        <v>76</v>
      </c>
      <c r="O553" s="15" t="s">
        <v>76</v>
      </c>
      <c r="P553" s="14">
        <v>319300</v>
      </c>
      <c r="Q553" s="13">
        <v>46210.850694444445</v>
      </c>
      <c r="R553" s="15" t="s">
        <v>1276</v>
      </c>
      <c r="S553" s="11" t="str">
        <f t="shared" si="16"/>
        <v>2026-07-07</v>
      </c>
      <c r="T553" s="11">
        <f>IF($E553="","",IF(COUNTIF($E$2:$E553,$E553)=1,1,0))</f>
        <v>0</v>
      </c>
      <c r="U553" s="11" t="str">
        <f>IF(T553=1,SUM($T$2:T553),"")</f>
        <v/>
      </c>
      <c r="V553" s="11">
        <f>IF(OR($R553="",$R553="-"),"",IF(COUNTIF($R$2:$R553,$R553)=1,1,0))</f>
        <v>1</v>
      </c>
      <c r="W553" s="11">
        <f>IF(V553=1,SUM($V$2:V553),"")</f>
        <v>190</v>
      </c>
      <c r="X553" s="11" t="str">
        <f t="shared" si="17"/>
        <v>SHOPEE</v>
      </c>
    </row>
    <row r="554" spans="1:24">
      <c r="A554" s="15" t="s">
        <v>79</v>
      </c>
      <c r="B554" s="15" t="s">
        <v>83</v>
      </c>
      <c r="C554" s="15" t="s">
        <v>1277</v>
      </c>
      <c r="D554" s="13">
        <v>46210.8</v>
      </c>
      <c r="E554" s="15" t="s">
        <v>73</v>
      </c>
      <c r="F554" s="15" t="s">
        <v>1278</v>
      </c>
      <c r="G554" s="15" t="s">
        <v>74</v>
      </c>
      <c r="H554" s="15" t="s">
        <v>75</v>
      </c>
      <c r="I554" s="14">
        <v>21000</v>
      </c>
      <c r="J554" s="15" t="s">
        <v>331</v>
      </c>
      <c r="K554" s="15" t="s">
        <v>24</v>
      </c>
      <c r="L554" s="15">
        <v>3</v>
      </c>
      <c r="M554" s="15">
        <v>1.2</v>
      </c>
      <c r="N554" s="15" t="s">
        <v>76</v>
      </c>
      <c r="O554" s="15" t="s">
        <v>76</v>
      </c>
      <c r="P554" s="14">
        <v>455100</v>
      </c>
      <c r="Q554" s="13">
        <v>46210.8</v>
      </c>
      <c r="R554" s="15" t="s">
        <v>1279</v>
      </c>
      <c r="S554" s="11" t="str">
        <f t="shared" si="16"/>
        <v>2026-07-07</v>
      </c>
      <c r="T554" s="11">
        <f>IF($E554="","",IF(COUNTIF($E$2:$E554,$E554)=1,1,0))</f>
        <v>0</v>
      </c>
      <c r="U554" s="11" t="str">
        <f>IF(T554=1,SUM($T$2:T554),"")</f>
        <v/>
      </c>
      <c r="V554" s="11">
        <f>IF(OR($R554="",$R554="-"),"",IF(COUNTIF($R$2:$R554,$R554)=1,1,0))</f>
        <v>1</v>
      </c>
      <c r="W554" s="11">
        <f>IF(V554=1,SUM($V$2:V554),"")</f>
        <v>191</v>
      </c>
      <c r="X554" s="11" t="str">
        <f t="shared" si="17"/>
        <v>SHOPEE</v>
      </c>
    </row>
    <row r="555" spans="1:24">
      <c r="A555" s="15" t="s">
        <v>79</v>
      </c>
      <c r="B555" s="15" t="s">
        <v>83</v>
      </c>
      <c r="C555" s="15" t="s">
        <v>1280</v>
      </c>
      <c r="D555" s="13">
        <v>46210.786805555559</v>
      </c>
      <c r="E555" s="15" t="s">
        <v>265</v>
      </c>
      <c r="F555" s="15" t="s">
        <v>1281</v>
      </c>
      <c r="G555" s="15" t="s">
        <v>74</v>
      </c>
      <c r="H555" s="15" t="s">
        <v>75</v>
      </c>
      <c r="I555" s="14">
        <v>12000</v>
      </c>
      <c r="J555" s="15" t="s">
        <v>112</v>
      </c>
      <c r="K555" s="15" t="s">
        <v>24</v>
      </c>
      <c r="L555" s="15">
        <v>1</v>
      </c>
      <c r="M555" s="15">
        <v>1.3</v>
      </c>
      <c r="N555" s="15" t="s">
        <v>76</v>
      </c>
      <c r="O555" s="15" t="s">
        <v>76</v>
      </c>
      <c r="P555" s="14">
        <v>219999</v>
      </c>
      <c r="Q555" s="13">
        <v>46210.786805555559</v>
      </c>
      <c r="R555" s="15" t="s">
        <v>233</v>
      </c>
      <c r="S555" s="11" t="str">
        <f t="shared" si="16"/>
        <v>2026-07-07</v>
      </c>
      <c r="T555" s="11">
        <f>IF($E555="","",IF(COUNTIF($E$2:$E555,$E555)=1,1,0))</f>
        <v>0</v>
      </c>
      <c r="U555" s="11" t="str">
        <f>IF(T555=1,SUM($T$2:T555),"")</f>
        <v/>
      </c>
      <c r="V555" s="11">
        <f>IF(OR($R555="",$R555="-"),"",IF(COUNTIF($R$2:$R555,$R555)=1,1,0))</f>
        <v>1</v>
      </c>
      <c r="W555" s="11">
        <f>IF(V555=1,SUM($V$2:V555),"")</f>
        <v>192</v>
      </c>
      <c r="X555" s="11" t="str">
        <f t="shared" si="17"/>
        <v>SHOPEE</v>
      </c>
    </row>
    <row r="556" spans="1:24">
      <c r="A556" s="15" t="s">
        <v>79</v>
      </c>
      <c r="B556" s="15" t="s">
        <v>83</v>
      </c>
      <c r="C556" s="15" t="s">
        <v>1282</v>
      </c>
      <c r="D556" s="13">
        <v>46210.785416666666</v>
      </c>
      <c r="E556" s="15" t="s">
        <v>265</v>
      </c>
      <c r="F556" s="15" t="s">
        <v>1293</v>
      </c>
      <c r="G556" s="15" t="s">
        <v>74</v>
      </c>
      <c r="H556" s="15" t="s">
        <v>75</v>
      </c>
      <c r="I556" s="14">
        <v>12000</v>
      </c>
      <c r="J556" s="15" t="s">
        <v>208</v>
      </c>
      <c r="K556" s="15" t="s">
        <v>24</v>
      </c>
      <c r="L556" s="15">
        <v>5</v>
      </c>
      <c r="M556" s="15">
        <v>1.05</v>
      </c>
      <c r="N556" s="15" t="s">
        <v>76</v>
      </c>
      <c r="O556" s="15" t="s">
        <v>76</v>
      </c>
      <c r="P556" s="14">
        <v>621000</v>
      </c>
      <c r="Q556" s="13">
        <v>46210.786111111112</v>
      </c>
      <c r="R556" s="15" t="s">
        <v>109</v>
      </c>
      <c r="S556" s="11" t="str">
        <f t="shared" si="16"/>
        <v>2026-07-07</v>
      </c>
      <c r="T556" s="11">
        <f>IF($E556="","",IF(COUNTIF($E$2:$E556,$E556)=1,1,0))</f>
        <v>0</v>
      </c>
      <c r="U556" s="11" t="str">
        <f>IF(T556=1,SUM($T$2:T556),"")</f>
        <v/>
      </c>
      <c r="V556" s="11">
        <f>IF(OR($R556="",$R556="-"),"",IF(COUNTIF($R$2:$R556,$R556)=1,1,0))</f>
        <v>0</v>
      </c>
      <c r="W556" s="11" t="str">
        <f>IF(V556=1,SUM($V$2:V556),"")</f>
        <v/>
      </c>
      <c r="X556" s="11" t="str">
        <f t="shared" si="17"/>
        <v>SHOPEE</v>
      </c>
    </row>
    <row r="557" spans="1:24">
      <c r="A557" s="15" t="s">
        <v>79</v>
      </c>
      <c r="B557" s="15" t="s">
        <v>83</v>
      </c>
      <c r="C557" s="15" t="s">
        <v>1282</v>
      </c>
      <c r="D557" s="13">
        <v>46210.785416666666</v>
      </c>
      <c r="E557" s="15" t="s">
        <v>265</v>
      </c>
      <c r="F557" s="15" t="s">
        <v>1292</v>
      </c>
      <c r="G557" s="15" t="s">
        <v>74</v>
      </c>
      <c r="H557" s="15" t="s">
        <v>75</v>
      </c>
      <c r="I557" s="14">
        <v>39000</v>
      </c>
      <c r="J557" s="15" t="s">
        <v>271</v>
      </c>
      <c r="K557" s="15" t="s">
        <v>26</v>
      </c>
      <c r="L557" s="15">
        <v>1</v>
      </c>
      <c r="M557" s="15">
        <v>5.04</v>
      </c>
      <c r="N557" s="15" t="s">
        <v>76</v>
      </c>
      <c r="O557" s="15" t="s">
        <v>76</v>
      </c>
      <c r="P557" s="14">
        <v>798000</v>
      </c>
      <c r="Q557" s="13">
        <v>46210.786111111112</v>
      </c>
      <c r="R557" s="15" t="s">
        <v>143</v>
      </c>
      <c r="S557" s="11" t="str">
        <f t="shared" si="16"/>
        <v>2026-07-07</v>
      </c>
      <c r="T557" s="11">
        <f>IF($E557="","",IF(COUNTIF($E$2:$E557,$E557)=1,1,0))</f>
        <v>0</v>
      </c>
      <c r="U557" s="11" t="str">
        <f>IF(T557=1,SUM($T$2:T557),"")</f>
        <v/>
      </c>
      <c r="V557" s="11">
        <f>IF(OR($R557="",$R557="-"),"",IF(COUNTIF($R$2:$R557,$R557)=1,1,0))</f>
        <v>0</v>
      </c>
      <c r="W557" s="11" t="str">
        <f>IF(V557=1,SUM($V$2:V557),"")</f>
        <v/>
      </c>
      <c r="X557" s="11" t="str">
        <f t="shared" si="17"/>
        <v>SHOPEE</v>
      </c>
    </row>
    <row r="558" spans="1:24">
      <c r="A558" s="15" t="s">
        <v>79</v>
      </c>
      <c r="B558" s="15" t="s">
        <v>83</v>
      </c>
      <c r="C558" s="15" t="s">
        <v>1282</v>
      </c>
      <c r="D558" s="13">
        <v>46210.785416666666</v>
      </c>
      <c r="E558" s="15" t="s">
        <v>265</v>
      </c>
      <c r="F558" s="15" t="s">
        <v>1291</v>
      </c>
      <c r="G558" s="15" t="s">
        <v>74</v>
      </c>
      <c r="H558" s="15" t="s">
        <v>75</v>
      </c>
      <c r="I558" s="14">
        <v>27000</v>
      </c>
      <c r="J558" s="15" t="s">
        <v>121</v>
      </c>
      <c r="K558" s="15" t="s">
        <v>26</v>
      </c>
      <c r="L558" s="15">
        <v>1</v>
      </c>
      <c r="M558" s="15">
        <v>3.9</v>
      </c>
      <c r="N558" s="15" t="s">
        <v>76</v>
      </c>
      <c r="O558" s="15" t="s">
        <v>76</v>
      </c>
      <c r="P558" s="14">
        <v>1835000</v>
      </c>
      <c r="Q558" s="13">
        <v>46210.786111111112</v>
      </c>
      <c r="R558" s="15" t="s">
        <v>143</v>
      </c>
      <c r="S558" s="11" t="str">
        <f t="shared" si="16"/>
        <v>2026-07-07</v>
      </c>
      <c r="T558" s="11">
        <f>IF($E558="","",IF(COUNTIF($E$2:$E558,$E558)=1,1,0))</f>
        <v>0</v>
      </c>
      <c r="U558" s="11" t="str">
        <f>IF(T558=1,SUM($T$2:T558),"")</f>
        <v/>
      </c>
      <c r="V558" s="11">
        <f>IF(OR($R558="",$R558="-"),"",IF(COUNTIF($R$2:$R558,$R558)=1,1,0))</f>
        <v>0</v>
      </c>
      <c r="W558" s="11" t="str">
        <f>IF(V558=1,SUM($V$2:V558),"")</f>
        <v/>
      </c>
      <c r="X558" s="11" t="str">
        <f t="shared" si="17"/>
        <v>SHOPEE</v>
      </c>
    </row>
    <row r="559" spans="1:24">
      <c r="A559" s="15" t="s">
        <v>79</v>
      </c>
      <c r="B559" s="15" t="s">
        <v>83</v>
      </c>
      <c r="C559" s="15" t="s">
        <v>1282</v>
      </c>
      <c r="D559" s="13">
        <v>46210.785416666666</v>
      </c>
      <c r="E559" s="15" t="s">
        <v>265</v>
      </c>
      <c r="F559" s="15" t="s">
        <v>1294</v>
      </c>
      <c r="G559" s="15" t="s">
        <v>74</v>
      </c>
      <c r="H559" s="15" t="s">
        <v>75</v>
      </c>
      <c r="I559" s="14">
        <v>27000</v>
      </c>
      <c r="J559" s="15" t="s">
        <v>121</v>
      </c>
      <c r="K559" s="15" t="s">
        <v>26</v>
      </c>
      <c r="L559" s="15">
        <v>1</v>
      </c>
      <c r="M559" s="15">
        <v>3.9</v>
      </c>
      <c r="N559" s="15" t="s">
        <v>76</v>
      </c>
      <c r="O559" s="15" t="s">
        <v>76</v>
      </c>
      <c r="P559" s="14">
        <v>1835000</v>
      </c>
      <c r="Q559" s="13">
        <v>46210.786111111112</v>
      </c>
      <c r="R559" s="15" t="s">
        <v>143</v>
      </c>
      <c r="S559" s="11" t="str">
        <f t="shared" si="16"/>
        <v>2026-07-07</v>
      </c>
      <c r="T559" s="11">
        <f>IF($E559="","",IF(COUNTIF($E$2:$E559,$E559)=1,1,0))</f>
        <v>0</v>
      </c>
      <c r="U559" s="11" t="str">
        <f>IF(T559=1,SUM($T$2:T559),"")</f>
        <v/>
      </c>
      <c r="V559" s="11">
        <f>IF(OR($R559="",$R559="-"),"",IF(COUNTIF($R$2:$R559,$R559)=1,1,0))</f>
        <v>0</v>
      </c>
      <c r="W559" s="11" t="str">
        <f>IF(V559=1,SUM($V$2:V559),"")</f>
        <v/>
      </c>
      <c r="X559" s="11" t="str">
        <f t="shared" si="17"/>
        <v>SHOPEE</v>
      </c>
    </row>
    <row r="560" spans="1:24">
      <c r="A560" s="15" t="s">
        <v>79</v>
      </c>
      <c r="B560" s="15" t="s">
        <v>83</v>
      </c>
      <c r="C560" s="15" t="s">
        <v>1282</v>
      </c>
      <c r="D560" s="13">
        <v>46210.785416666666</v>
      </c>
      <c r="E560" s="15" t="s">
        <v>265</v>
      </c>
      <c r="F560" s="15" t="s">
        <v>1283</v>
      </c>
      <c r="G560" s="15" t="s">
        <v>74</v>
      </c>
      <c r="H560" s="15" t="s">
        <v>75</v>
      </c>
      <c r="I560" s="14">
        <v>27000</v>
      </c>
      <c r="J560" s="15" t="s">
        <v>245</v>
      </c>
      <c r="K560" s="15" t="s">
        <v>26</v>
      </c>
      <c r="L560" s="15">
        <v>1</v>
      </c>
      <c r="M560" s="15">
        <v>4</v>
      </c>
      <c r="N560" s="15" t="s">
        <v>76</v>
      </c>
      <c r="O560" s="15" t="s">
        <v>76</v>
      </c>
      <c r="P560" s="14">
        <v>216000</v>
      </c>
      <c r="Q560" s="13">
        <v>46210.786111111112</v>
      </c>
      <c r="R560" s="15" t="s">
        <v>143</v>
      </c>
      <c r="S560" s="11" t="str">
        <f t="shared" si="16"/>
        <v>2026-07-07</v>
      </c>
      <c r="T560" s="11">
        <f>IF($E560="","",IF(COUNTIF($E$2:$E560,$E560)=1,1,0))</f>
        <v>0</v>
      </c>
      <c r="U560" s="11" t="str">
        <f>IF(T560=1,SUM($T$2:T560),"")</f>
        <v/>
      </c>
      <c r="V560" s="11">
        <f>IF(OR($R560="",$R560="-"),"",IF(COUNTIF($R$2:$R560,$R560)=1,1,0))</f>
        <v>0</v>
      </c>
      <c r="W560" s="11" t="str">
        <f>IF(V560=1,SUM($V$2:V560),"")</f>
        <v/>
      </c>
      <c r="X560" s="11" t="str">
        <f t="shared" si="17"/>
        <v>SHOPEE</v>
      </c>
    </row>
    <row r="561" spans="1:24">
      <c r="A561" s="15" t="s">
        <v>79</v>
      </c>
      <c r="B561" s="15" t="s">
        <v>83</v>
      </c>
      <c r="C561" s="15" t="s">
        <v>1282</v>
      </c>
      <c r="D561" s="13">
        <v>46210.785416666666</v>
      </c>
      <c r="E561" s="15" t="s">
        <v>265</v>
      </c>
      <c r="F561" s="15" t="s">
        <v>1284</v>
      </c>
      <c r="G561" s="15" t="s">
        <v>74</v>
      </c>
      <c r="H561" s="15" t="s">
        <v>75</v>
      </c>
      <c r="I561" s="14">
        <v>23000</v>
      </c>
      <c r="J561" s="15" t="s">
        <v>223</v>
      </c>
      <c r="K561" s="15" t="s">
        <v>24</v>
      </c>
      <c r="L561" s="15">
        <v>1</v>
      </c>
      <c r="M561" s="15">
        <v>0.72</v>
      </c>
      <c r="N561" s="15" t="s">
        <v>76</v>
      </c>
      <c r="O561" s="15" t="s">
        <v>76</v>
      </c>
      <c r="P561" s="14">
        <v>114000</v>
      </c>
      <c r="Q561" s="13">
        <v>46210.786111111112</v>
      </c>
      <c r="R561" s="15" t="s">
        <v>109</v>
      </c>
      <c r="S561" s="11" t="str">
        <f t="shared" si="16"/>
        <v>2026-07-07</v>
      </c>
      <c r="T561" s="11">
        <f>IF($E561="","",IF(COUNTIF($E$2:$E561,$E561)=1,1,0))</f>
        <v>0</v>
      </c>
      <c r="U561" s="11" t="str">
        <f>IF(T561=1,SUM($T$2:T561),"")</f>
        <v/>
      </c>
      <c r="V561" s="11">
        <f>IF(OR($R561="",$R561="-"),"",IF(COUNTIF($R$2:$R561,$R561)=1,1,0))</f>
        <v>0</v>
      </c>
      <c r="W561" s="11" t="str">
        <f>IF(V561=1,SUM($V$2:V561),"")</f>
        <v/>
      </c>
      <c r="X561" s="11" t="str">
        <f t="shared" si="17"/>
        <v>SHOPEE</v>
      </c>
    </row>
    <row r="562" spans="1:24">
      <c r="A562" s="15" t="s">
        <v>79</v>
      </c>
      <c r="B562" s="15" t="s">
        <v>83</v>
      </c>
      <c r="C562" s="15" t="s">
        <v>1282</v>
      </c>
      <c r="D562" s="13">
        <v>46210.785416666666</v>
      </c>
      <c r="E562" s="15" t="s">
        <v>265</v>
      </c>
      <c r="F562" s="15" t="s">
        <v>1285</v>
      </c>
      <c r="G562" s="15" t="s">
        <v>74</v>
      </c>
      <c r="H562" s="15" t="s">
        <v>75</v>
      </c>
      <c r="I562" s="14">
        <v>48000</v>
      </c>
      <c r="J562" s="15" t="s">
        <v>89</v>
      </c>
      <c r="K562" s="15" t="s">
        <v>24</v>
      </c>
      <c r="L562" s="15">
        <v>2</v>
      </c>
      <c r="M562" s="15">
        <v>3.52</v>
      </c>
      <c r="N562" s="15" t="s">
        <v>76</v>
      </c>
      <c r="O562" s="15" t="s">
        <v>76</v>
      </c>
      <c r="P562" s="14">
        <v>558000</v>
      </c>
      <c r="Q562" s="13">
        <v>46210.786111111112</v>
      </c>
      <c r="R562" s="15" t="s">
        <v>109</v>
      </c>
      <c r="S562" s="11" t="str">
        <f t="shared" si="16"/>
        <v>2026-07-07</v>
      </c>
      <c r="T562" s="11">
        <f>IF($E562="","",IF(COUNTIF($E$2:$E562,$E562)=1,1,0))</f>
        <v>0</v>
      </c>
      <c r="U562" s="11" t="str">
        <f>IF(T562=1,SUM($T$2:T562),"")</f>
        <v/>
      </c>
      <c r="V562" s="11">
        <f>IF(OR($R562="",$R562="-"),"",IF(COUNTIF($R$2:$R562,$R562)=1,1,0))</f>
        <v>0</v>
      </c>
      <c r="W562" s="11" t="str">
        <f>IF(V562=1,SUM($V$2:V562),"")</f>
        <v/>
      </c>
      <c r="X562" s="11" t="str">
        <f t="shared" si="17"/>
        <v>SHOPEE</v>
      </c>
    </row>
    <row r="563" spans="1:24">
      <c r="A563" s="15" t="s">
        <v>79</v>
      </c>
      <c r="B563" s="15" t="s">
        <v>83</v>
      </c>
      <c r="C563" s="15" t="s">
        <v>1286</v>
      </c>
      <c r="D563" s="13">
        <v>46210.785416666666</v>
      </c>
      <c r="E563" s="15" t="s">
        <v>265</v>
      </c>
      <c r="F563" s="15" t="s">
        <v>1287</v>
      </c>
      <c r="G563" s="15" t="s">
        <v>74</v>
      </c>
      <c r="H563" s="15" t="s">
        <v>75</v>
      </c>
      <c r="I563" s="14">
        <v>45000</v>
      </c>
      <c r="J563" s="15" t="s">
        <v>202</v>
      </c>
      <c r="K563" s="15" t="s">
        <v>26</v>
      </c>
      <c r="L563" s="15">
        <v>1</v>
      </c>
      <c r="M563" s="15">
        <v>9</v>
      </c>
      <c r="N563" s="15" t="s">
        <v>76</v>
      </c>
      <c r="O563" s="15" t="s">
        <v>76</v>
      </c>
      <c r="P563" s="14">
        <v>227800</v>
      </c>
      <c r="Q563" s="13">
        <v>46210.785416666666</v>
      </c>
      <c r="R563" s="15" t="s">
        <v>79</v>
      </c>
      <c r="S563" s="11" t="str">
        <f t="shared" si="16"/>
        <v>2026-07-07</v>
      </c>
      <c r="T563" s="11">
        <f>IF($E563="","",IF(COUNTIF($E$2:$E563,$E563)=1,1,0))</f>
        <v>0</v>
      </c>
      <c r="U563" s="11" t="str">
        <f>IF(T563=1,SUM($T$2:T563),"")</f>
        <v/>
      </c>
      <c r="V563" s="11">
        <f>IF(OR($R563="",$R563="-"),"",IF(COUNTIF($R$2:$R563,$R563)=1,1,0))</f>
        <v>0</v>
      </c>
      <c r="W563" s="11" t="str">
        <f>IF(V563=1,SUM($V$2:V563),"")</f>
        <v/>
      </c>
      <c r="X563" s="11" t="str">
        <f t="shared" si="17"/>
        <v>SHOPEE</v>
      </c>
    </row>
    <row r="564" spans="1:24">
      <c r="A564" s="15" t="s">
        <v>79</v>
      </c>
      <c r="B564" s="15" t="s">
        <v>83</v>
      </c>
      <c r="C564" s="15" t="s">
        <v>1286</v>
      </c>
      <c r="D564" s="13">
        <v>46210.785416666666</v>
      </c>
      <c r="E564" s="15" t="s">
        <v>265</v>
      </c>
      <c r="F564" s="15" t="s">
        <v>1288</v>
      </c>
      <c r="G564" s="15" t="s">
        <v>74</v>
      </c>
      <c r="H564" s="15" t="s">
        <v>75</v>
      </c>
      <c r="I564" s="14">
        <v>12000</v>
      </c>
      <c r="J564" s="15" t="s">
        <v>167</v>
      </c>
      <c r="K564" s="15" t="s">
        <v>24</v>
      </c>
      <c r="L564" s="15">
        <v>1</v>
      </c>
      <c r="M564" s="15">
        <v>1</v>
      </c>
      <c r="N564" s="15" t="s">
        <v>76</v>
      </c>
      <c r="O564" s="15" t="s">
        <v>76</v>
      </c>
      <c r="P564" s="14">
        <v>30900</v>
      </c>
      <c r="Q564" s="13">
        <v>46210.785416666666</v>
      </c>
      <c r="R564" s="15" t="s">
        <v>133</v>
      </c>
      <c r="S564" s="11" t="str">
        <f t="shared" si="16"/>
        <v>2026-07-07</v>
      </c>
      <c r="T564" s="11">
        <f>IF($E564="","",IF(COUNTIF($E$2:$E564,$E564)=1,1,0))</f>
        <v>0</v>
      </c>
      <c r="U564" s="11" t="str">
        <f>IF(T564=1,SUM($T$2:T564),"")</f>
        <v/>
      </c>
      <c r="V564" s="11">
        <f>IF(OR($R564="",$R564="-"),"",IF(COUNTIF($R$2:$R564,$R564)=1,1,0))</f>
        <v>0</v>
      </c>
      <c r="W564" s="11" t="str">
        <f>IF(V564=1,SUM($V$2:V564),"")</f>
        <v/>
      </c>
      <c r="X564" s="11" t="str">
        <f t="shared" si="17"/>
        <v>SHOPEE</v>
      </c>
    </row>
    <row r="565" spans="1:24">
      <c r="A565" s="15" t="s">
        <v>79</v>
      </c>
      <c r="B565" s="15" t="s">
        <v>83</v>
      </c>
      <c r="C565" s="15" t="s">
        <v>1286</v>
      </c>
      <c r="D565" s="13">
        <v>46210.785416666666</v>
      </c>
      <c r="E565" s="15" t="s">
        <v>265</v>
      </c>
      <c r="F565" s="15" t="s">
        <v>1289</v>
      </c>
      <c r="G565" s="15" t="s">
        <v>74</v>
      </c>
      <c r="H565" s="15" t="s">
        <v>75</v>
      </c>
      <c r="I565" s="14">
        <v>12000</v>
      </c>
      <c r="J565" s="15" t="s">
        <v>881</v>
      </c>
      <c r="K565" s="15" t="s">
        <v>24</v>
      </c>
      <c r="L565" s="15">
        <v>1</v>
      </c>
      <c r="M565" s="15">
        <v>0.67</v>
      </c>
      <c r="N565" s="15" t="s">
        <v>76</v>
      </c>
      <c r="O565" s="15" t="s">
        <v>76</v>
      </c>
      <c r="P565" s="14">
        <v>95000</v>
      </c>
      <c r="Q565" s="13">
        <v>46210.785416666666</v>
      </c>
      <c r="R565" s="15" t="s">
        <v>133</v>
      </c>
      <c r="S565" s="11" t="str">
        <f t="shared" si="16"/>
        <v>2026-07-07</v>
      </c>
      <c r="T565" s="11">
        <f>IF($E565="","",IF(COUNTIF($E$2:$E565,$E565)=1,1,0))</f>
        <v>0</v>
      </c>
      <c r="U565" s="11" t="str">
        <f>IF(T565=1,SUM($T$2:T565),"")</f>
        <v/>
      </c>
      <c r="V565" s="11">
        <f>IF(OR($R565="",$R565="-"),"",IF(COUNTIF($R$2:$R565,$R565)=1,1,0))</f>
        <v>0</v>
      </c>
      <c r="W565" s="11" t="str">
        <f>IF(V565=1,SUM($V$2:V565),"")</f>
        <v/>
      </c>
      <c r="X565" s="11" t="str">
        <f t="shared" si="17"/>
        <v>SHOPEE</v>
      </c>
    </row>
    <row r="566" spans="1:24">
      <c r="A566" s="15" t="s">
        <v>79</v>
      </c>
      <c r="B566" s="15" t="s">
        <v>83</v>
      </c>
      <c r="C566" s="15" t="s">
        <v>1286</v>
      </c>
      <c r="D566" s="13">
        <v>46210.785416666666</v>
      </c>
      <c r="E566" s="15" t="s">
        <v>265</v>
      </c>
      <c r="F566" s="15" t="s">
        <v>1290</v>
      </c>
      <c r="G566" s="15" t="s">
        <v>74</v>
      </c>
      <c r="H566" s="15" t="s">
        <v>75</v>
      </c>
      <c r="I566" s="14">
        <v>24000</v>
      </c>
      <c r="J566" s="15" t="s">
        <v>229</v>
      </c>
      <c r="K566" s="15" t="s">
        <v>24</v>
      </c>
      <c r="L566" s="15">
        <v>40</v>
      </c>
      <c r="M566" s="15">
        <v>2.29</v>
      </c>
      <c r="N566" s="15" t="s">
        <v>76</v>
      </c>
      <c r="O566" s="15" t="s">
        <v>76</v>
      </c>
      <c r="P566" s="14">
        <v>39600</v>
      </c>
      <c r="Q566" s="13">
        <v>46210.785416666666</v>
      </c>
      <c r="R566" s="15" t="s">
        <v>133</v>
      </c>
      <c r="S566" s="11" t="str">
        <f t="shared" si="16"/>
        <v>2026-07-07</v>
      </c>
      <c r="T566" s="11">
        <f>IF($E566="","",IF(COUNTIF($E$2:$E566,$E566)=1,1,0))</f>
        <v>0</v>
      </c>
      <c r="U566" s="11" t="str">
        <f>IF(T566=1,SUM($T$2:T566),"")</f>
        <v/>
      </c>
      <c r="V566" s="11">
        <f>IF(OR($R566="",$R566="-"),"",IF(COUNTIF($R$2:$R566,$R566)=1,1,0))</f>
        <v>0</v>
      </c>
      <c r="W566" s="11" t="str">
        <f>IF(V566=1,SUM($V$2:V566),"")</f>
        <v/>
      </c>
      <c r="X566" s="11" t="str">
        <f t="shared" si="17"/>
        <v>SHOPEE</v>
      </c>
    </row>
    <row r="567" spans="1:24">
      <c r="A567" s="15" t="s">
        <v>79</v>
      </c>
      <c r="B567" s="15" t="s">
        <v>83</v>
      </c>
      <c r="C567" s="15" t="s">
        <v>1295</v>
      </c>
      <c r="D567" s="13">
        <v>46210.784722222219</v>
      </c>
      <c r="E567" s="15" t="s">
        <v>265</v>
      </c>
      <c r="F567" s="15" t="s">
        <v>1298</v>
      </c>
      <c r="G567" s="15" t="s">
        <v>74</v>
      </c>
      <c r="H567" s="15" t="s">
        <v>75</v>
      </c>
      <c r="I567" s="14">
        <v>12000</v>
      </c>
      <c r="J567" s="15" t="s">
        <v>97</v>
      </c>
      <c r="K567" s="15" t="s">
        <v>24</v>
      </c>
      <c r="L567" s="15">
        <v>7</v>
      </c>
      <c r="M567" s="15">
        <v>0.7</v>
      </c>
      <c r="N567" s="15" t="s">
        <v>76</v>
      </c>
      <c r="O567" s="15" t="s">
        <v>76</v>
      </c>
      <c r="P567" s="14">
        <v>135361</v>
      </c>
      <c r="Q567" s="13">
        <v>46210.785416666666</v>
      </c>
      <c r="R567" s="15" t="s">
        <v>118</v>
      </c>
      <c r="S567" s="11" t="str">
        <f t="shared" si="16"/>
        <v>2026-07-07</v>
      </c>
      <c r="T567" s="11">
        <f>IF($E567="","",IF(COUNTIF($E$2:$E567,$E567)=1,1,0))</f>
        <v>0</v>
      </c>
      <c r="U567" s="11" t="str">
        <f>IF(T567=1,SUM($T$2:T567),"")</f>
        <v/>
      </c>
      <c r="V567" s="11">
        <f>IF(OR($R567="",$R567="-"),"",IF(COUNTIF($R$2:$R567,$R567)=1,1,0))</f>
        <v>0</v>
      </c>
      <c r="W567" s="11" t="str">
        <f>IF(V567=1,SUM($V$2:V567),"")</f>
        <v/>
      </c>
      <c r="X567" s="11" t="str">
        <f t="shared" si="17"/>
        <v>SHOPEE</v>
      </c>
    </row>
    <row r="568" spans="1:24">
      <c r="A568" s="15" t="s">
        <v>79</v>
      </c>
      <c r="B568" s="15" t="s">
        <v>83</v>
      </c>
      <c r="C568" s="15" t="s">
        <v>1295</v>
      </c>
      <c r="D568" s="13">
        <v>46210.784722222219</v>
      </c>
      <c r="E568" s="15" t="s">
        <v>265</v>
      </c>
      <c r="F568" s="15" t="s">
        <v>1296</v>
      </c>
      <c r="G568" s="15" t="s">
        <v>74</v>
      </c>
      <c r="H568" s="15" t="s">
        <v>75</v>
      </c>
      <c r="I568" s="14">
        <v>94000</v>
      </c>
      <c r="J568" s="15" t="s">
        <v>1297</v>
      </c>
      <c r="K568" s="15" t="s">
        <v>24</v>
      </c>
      <c r="L568" s="15">
        <v>6</v>
      </c>
      <c r="M568" s="15">
        <v>0.6</v>
      </c>
      <c r="N568" s="15" t="s">
        <v>76</v>
      </c>
      <c r="O568" s="15" t="s">
        <v>76</v>
      </c>
      <c r="P568" s="14">
        <v>180000</v>
      </c>
      <c r="Q568" s="13">
        <v>46210.785416666666</v>
      </c>
      <c r="R568" s="15" t="s">
        <v>118</v>
      </c>
      <c r="S568" s="11" t="str">
        <f t="shared" si="16"/>
        <v>2026-07-07</v>
      </c>
      <c r="T568" s="11">
        <f>IF($E568="","",IF(COUNTIF($E$2:$E568,$E568)=1,1,0))</f>
        <v>0</v>
      </c>
      <c r="U568" s="11" t="str">
        <f>IF(T568=1,SUM($T$2:T568),"")</f>
        <v/>
      </c>
      <c r="V568" s="11">
        <f>IF(OR($R568="",$R568="-"),"",IF(COUNTIF($R$2:$R568,$R568)=1,1,0))</f>
        <v>0</v>
      </c>
      <c r="W568" s="11" t="str">
        <f>IF(V568=1,SUM($V$2:V568),"")</f>
        <v/>
      </c>
      <c r="X568" s="11" t="str">
        <f t="shared" si="17"/>
        <v>SHOPEE</v>
      </c>
    </row>
    <row r="569" spans="1:24">
      <c r="A569" s="15" t="s">
        <v>79</v>
      </c>
      <c r="B569" s="15" t="s">
        <v>83</v>
      </c>
      <c r="C569" s="15" t="s">
        <v>1295</v>
      </c>
      <c r="D569" s="13">
        <v>46210.784722222219</v>
      </c>
      <c r="E569" s="15" t="s">
        <v>265</v>
      </c>
      <c r="F569" s="15" t="s">
        <v>1299</v>
      </c>
      <c r="G569" s="15" t="s">
        <v>74</v>
      </c>
      <c r="H569" s="15" t="s">
        <v>75</v>
      </c>
      <c r="I569" s="14">
        <v>126000</v>
      </c>
      <c r="J569" s="15" t="s">
        <v>341</v>
      </c>
      <c r="K569" s="15" t="s">
        <v>24</v>
      </c>
      <c r="L569" s="15">
        <v>18</v>
      </c>
      <c r="M569" s="15">
        <v>1.8</v>
      </c>
      <c r="N569" s="15" t="s">
        <v>76</v>
      </c>
      <c r="O569" s="15" t="s">
        <v>76</v>
      </c>
      <c r="P569" s="14">
        <v>225444</v>
      </c>
      <c r="Q569" s="13">
        <v>46210.785416666666</v>
      </c>
      <c r="R569" s="15" t="s">
        <v>118</v>
      </c>
      <c r="S569" s="11" t="str">
        <f t="shared" si="16"/>
        <v>2026-07-07</v>
      </c>
      <c r="T569" s="11">
        <f>IF($E569="","",IF(COUNTIF($E$2:$E569,$E569)=1,1,0))</f>
        <v>0</v>
      </c>
      <c r="U569" s="11" t="str">
        <f>IF(T569=1,SUM($T$2:T569),"")</f>
        <v/>
      </c>
      <c r="V569" s="11">
        <f>IF(OR($R569="",$R569="-"),"",IF(COUNTIF($R$2:$R569,$R569)=1,1,0))</f>
        <v>0</v>
      </c>
      <c r="W569" s="11" t="str">
        <f>IF(V569=1,SUM($V$2:V569),"")</f>
        <v/>
      </c>
      <c r="X569" s="11" t="str">
        <f t="shared" si="17"/>
        <v>SHOPEE</v>
      </c>
    </row>
    <row r="570" spans="1:24">
      <c r="A570" s="15" t="s">
        <v>79</v>
      </c>
      <c r="B570" s="15" t="s">
        <v>83</v>
      </c>
      <c r="C570" s="15" t="s">
        <v>1295</v>
      </c>
      <c r="D570" s="13">
        <v>46210.784722222219</v>
      </c>
      <c r="E570" s="15" t="s">
        <v>265</v>
      </c>
      <c r="F570" s="15" t="s">
        <v>1300</v>
      </c>
      <c r="G570" s="15" t="s">
        <v>74</v>
      </c>
      <c r="H570" s="15" t="s">
        <v>75</v>
      </c>
      <c r="I570" s="14">
        <v>29000</v>
      </c>
      <c r="J570" s="15" t="s">
        <v>1301</v>
      </c>
      <c r="K570" s="15" t="s">
        <v>24</v>
      </c>
      <c r="L570" s="15">
        <v>6</v>
      </c>
      <c r="M570" s="15">
        <v>0.6</v>
      </c>
      <c r="N570" s="15" t="s">
        <v>76</v>
      </c>
      <c r="O570" s="15" t="s">
        <v>76</v>
      </c>
      <c r="P570" s="14">
        <v>180000</v>
      </c>
      <c r="Q570" s="13">
        <v>46210.785416666666</v>
      </c>
      <c r="R570" s="15" t="s">
        <v>118</v>
      </c>
      <c r="S570" s="11" t="str">
        <f t="shared" si="16"/>
        <v>2026-07-07</v>
      </c>
      <c r="T570" s="11">
        <f>IF($E570="","",IF(COUNTIF($E$2:$E570,$E570)=1,1,0))</f>
        <v>0</v>
      </c>
      <c r="U570" s="11" t="str">
        <f>IF(T570=1,SUM($T$2:T570),"")</f>
        <v/>
      </c>
      <c r="V570" s="11">
        <f>IF(OR($R570="",$R570="-"),"",IF(COUNTIF($R$2:$R570,$R570)=1,1,0))</f>
        <v>0</v>
      </c>
      <c r="W570" s="11" t="str">
        <f>IF(V570=1,SUM($V$2:V570),"")</f>
        <v/>
      </c>
      <c r="X570" s="11" t="str">
        <f t="shared" si="17"/>
        <v>SHOPEE</v>
      </c>
    </row>
    <row r="571" spans="1:24">
      <c r="A571" s="15" t="s">
        <v>79</v>
      </c>
      <c r="B571" s="15" t="s">
        <v>83</v>
      </c>
      <c r="C571" s="15" t="s">
        <v>1302</v>
      </c>
      <c r="D571" s="13">
        <v>46210.73541666667</v>
      </c>
      <c r="E571" s="15" t="s">
        <v>265</v>
      </c>
      <c r="F571" s="15" t="s">
        <v>1303</v>
      </c>
      <c r="G571" s="15" t="s">
        <v>74</v>
      </c>
      <c r="H571" s="15" t="s">
        <v>75</v>
      </c>
      <c r="I571" s="14">
        <v>12000</v>
      </c>
      <c r="J571" s="15" t="s">
        <v>167</v>
      </c>
      <c r="K571" s="15" t="s">
        <v>24</v>
      </c>
      <c r="L571" s="15">
        <v>1</v>
      </c>
      <c r="M571" s="15">
        <v>0.09</v>
      </c>
      <c r="N571" s="15" t="s">
        <v>76</v>
      </c>
      <c r="O571" s="15" t="s">
        <v>76</v>
      </c>
      <c r="P571" s="14">
        <v>15499</v>
      </c>
      <c r="Q571" s="13">
        <v>46210.736111111109</v>
      </c>
      <c r="R571" s="15" t="s">
        <v>104</v>
      </c>
      <c r="S571" s="11" t="str">
        <f t="shared" si="16"/>
        <v>2026-07-07</v>
      </c>
      <c r="T571" s="11">
        <f>IF($E571="","",IF(COUNTIF($E$2:$E571,$E571)=1,1,0))</f>
        <v>0</v>
      </c>
      <c r="U571" s="11" t="str">
        <f>IF(T571=1,SUM($T$2:T571),"")</f>
        <v/>
      </c>
      <c r="V571" s="11">
        <f>IF(OR($R571="",$R571="-"),"",IF(COUNTIF($R$2:$R571,$R571)=1,1,0))</f>
        <v>1</v>
      </c>
      <c r="W571" s="11">
        <f>IF(V571=1,SUM($V$2:V571),"")</f>
        <v>193</v>
      </c>
      <c r="X571" s="11" t="str">
        <f t="shared" si="17"/>
        <v>SHOPEE</v>
      </c>
    </row>
    <row r="572" spans="1:24">
      <c r="A572" s="15" t="s">
        <v>79</v>
      </c>
      <c r="B572" s="15" t="s">
        <v>83</v>
      </c>
      <c r="C572" s="15" t="s">
        <v>1302</v>
      </c>
      <c r="D572" s="13">
        <v>46210.73541666667</v>
      </c>
      <c r="E572" s="15" t="s">
        <v>265</v>
      </c>
      <c r="F572" s="15" t="s">
        <v>1304</v>
      </c>
      <c r="G572" s="15" t="s">
        <v>74</v>
      </c>
      <c r="H572" s="15" t="s">
        <v>75</v>
      </c>
      <c r="I572" s="14">
        <v>24000</v>
      </c>
      <c r="J572" s="15" t="s">
        <v>241</v>
      </c>
      <c r="K572" s="15" t="s">
        <v>24</v>
      </c>
      <c r="L572" s="15">
        <v>20</v>
      </c>
      <c r="M572" s="15">
        <v>2.2599999999999998</v>
      </c>
      <c r="N572" s="15" t="s">
        <v>76</v>
      </c>
      <c r="O572" s="15" t="s">
        <v>76</v>
      </c>
      <c r="P572" s="14">
        <v>290145</v>
      </c>
      <c r="Q572" s="13">
        <v>46210.736111111109</v>
      </c>
      <c r="R572" s="15" t="s">
        <v>104</v>
      </c>
      <c r="S572" s="11" t="str">
        <f t="shared" si="16"/>
        <v>2026-07-07</v>
      </c>
      <c r="T572" s="11">
        <f>IF($E572="","",IF(COUNTIF($E$2:$E572,$E572)=1,1,0))</f>
        <v>0</v>
      </c>
      <c r="U572" s="11" t="str">
        <f>IF(T572=1,SUM($T$2:T572),"")</f>
        <v/>
      </c>
      <c r="V572" s="11">
        <f>IF(OR($R572="",$R572="-"),"",IF(COUNTIF($R$2:$R572,$R572)=1,1,0))</f>
        <v>0</v>
      </c>
      <c r="W572" s="11" t="str">
        <f>IF(V572=1,SUM($V$2:V572),"")</f>
        <v/>
      </c>
      <c r="X572" s="11" t="str">
        <f t="shared" si="17"/>
        <v>SHOPEE</v>
      </c>
    </row>
    <row r="573" spans="1:24">
      <c r="A573" s="15" t="s">
        <v>79</v>
      </c>
      <c r="B573" s="15" t="s">
        <v>83</v>
      </c>
      <c r="C573" s="15" t="s">
        <v>1302</v>
      </c>
      <c r="D573" s="13">
        <v>46210.73541666667</v>
      </c>
      <c r="E573" s="15" t="s">
        <v>265</v>
      </c>
      <c r="F573" s="15" t="s">
        <v>1305</v>
      </c>
      <c r="G573" s="15" t="s">
        <v>74</v>
      </c>
      <c r="H573" s="15" t="s">
        <v>75</v>
      </c>
      <c r="I573" s="14">
        <v>12000</v>
      </c>
      <c r="J573" s="15" t="s">
        <v>146</v>
      </c>
      <c r="K573" s="15" t="s">
        <v>24</v>
      </c>
      <c r="L573" s="15">
        <v>2</v>
      </c>
      <c r="M573" s="15">
        <v>0.1</v>
      </c>
      <c r="N573" s="15" t="s">
        <v>76</v>
      </c>
      <c r="O573" s="15" t="s">
        <v>76</v>
      </c>
      <c r="P573" s="14">
        <v>41998</v>
      </c>
      <c r="Q573" s="13">
        <v>46210.736111111109</v>
      </c>
      <c r="R573" s="15" t="s">
        <v>104</v>
      </c>
      <c r="S573" s="11" t="str">
        <f t="shared" si="16"/>
        <v>2026-07-07</v>
      </c>
      <c r="T573" s="11">
        <f>IF($E573="","",IF(COUNTIF($E$2:$E573,$E573)=1,1,0))</f>
        <v>0</v>
      </c>
      <c r="U573" s="11" t="str">
        <f>IF(T573=1,SUM($T$2:T573),"")</f>
        <v/>
      </c>
      <c r="V573" s="11">
        <f>IF(OR($R573="",$R573="-"),"",IF(COUNTIF($R$2:$R573,$R573)=1,1,0))</f>
        <v>0</v>
      </c>
      <c r="W573" s="11" t="str">
        <f>IF(V573=1,SUM($V$2:V573),"")</f>
        <v/>
      </c>
      <c r="X573" s="11" t="str">
        <f t="shared" si="17"/>
        <v>SHOPEE</v>
      </c>
    </row>
    <row r="574" spans="1:24">
      <c r="A574" s="15" t="s">
        <v>79</v>
      </c>
      <c r="B574" s="15" t="s">
        <v>83</v>
      </c>
      <c r="C574" s="15" t="s">
        <v>1306</v>
      </c>
      <c r="D574" s="13">
        <v>46210.719444444447</v>
      </c>
      <c r="E574" s="15" t="s">
        <v>73</v>
      </c>
      <c r="F574" s="15" t="s">
        <v>1307</v>
      </c>
      <c r="G574" s="15" t="s">
        <v>74</v>
      </c>
      <c r="H574" s="15" t="s">
        <v>75</v>
      </c>
      <c r="I574" s="14">
        <v>29000</v>
      </c>
      <c r="J574" s="15" t="s">
        <v>1308</v>
      </c>
      <c r="K574" s="15" t="s">
        <v>24</v>
      </c>
      <c r="L574" s="15">
        <v>1</v>
      </c>
      <c r="M574" s="15">
        <v>1</v>
      </c>
      <c r="N574" s="15" t="s">
        <v>76</v>
      </c>
      <c r="O574" s="15" t="s">
        <v>76</v>
      </c>
      <c r="P574" s="14">
        <v>90000</v>
      </c>
      <c r="Q574" s="13">
        <v>46210.719444444447</v>
      </c>
      <c r="R574" s="15" t="s">
        <v>1309</v>
      </c>
      <c r="S574" s="11" t="str">
        <f t="shared" si="16"/>
        <v>2026-07-07</v>
      </c>
      <c r="T574" s="11">
        <f>IF($E574="","",IF(COUNTIF($E$2:$E574,$E574)=1,1,0))</f>
        <v>0</v>
      </c>
      <c r="U574" s="11" t="str">
        <f>IF(T574=1,SUM($T$2:T574),"")</f>
        <v/>
      </c>
      <c r="V574" s="11">
        <f>IF(OR($R574="",$R574="-"),"",IF(COUNTIF($R$2:$R574,$R574)=1,1,0))</f>
        <v>1</v>
      </c>
      <c r="W574" s="11">
        <f>IF(V574=1,SUM($V$2:V574),"")</f>
        <v>194</v>
      </c>
      <c r="X574" s="11" t="str">
        <f t="shared" si="17"/>
        <v>SHOPEE</v>
      </c>
    </row>
    <row r="575" spans="1:24">
      <c r="A575" s="15" t="s">
        <v>79</v>
      </c>
      <c r="B575" s="15" t="s">
        <v>83</v>
      </c>
      <c r="C575" s="15" t="s">
        <v>1310</v>
      </c>
      <c r="D575" s="13">
        <v>46210.697222222225</v>
      </c>
      <c r="E575" s="15" t="s">
        <v>73</v>
      </c>
      <c r="F575" s="15" t="s">
        <v>1311</v>
      </c>
      <c r="G575" s="15" t="s">
        <v>74</v>
      </c>
      <c r="H575" s="15" t="s">
        <v>75</v>
      </c>
      <c r="I575" s="14">
        <v>12000</v>
      </c>
      <c r="J575" s="15" t="s">
        <v>313</v>
      </c>
      <c r="K575" s="15" t="s">
        <v>24</v>
      </c>
      <c r="L575" s="15">
        <v>1</v>
      </c>
      <c r="M575" s="15">
        <v>0.2</v>
      </c>
      <c r="N575" s="15" t="s">
        <v>76</v>
      </c>
      <c r="O575" s="15" t="s">
        <v>76</v>
      </c>
      <c r="P575" s="14">
        <v>81000</v>
      </c>
      <c r="Q575" s="13">
        <v>46210.697916666664</v>
      </c>
      <c r="R575" s="15" t="s">
        <v>91</v>
      </c>
      <c r="S575" s="11" t="str">
        <f t="shared" si="16"/>
        <v>2026-07-07</v>
      </c>
      <c r="T575" s="11">
        <f>IF($E575="","",IF(COUNTIF($E$2:$E575,$E575)=1,1,0))</f>
        <v>0</v>
      </c>
      <c r="U575" s="11" t="str">
        <f>IF(T575=1,SUM($T$2:T575),"")</f>
        <v/>
      </c>
      <c r="V575" s="11">
        <f>IF(OR($R575="",$R575="-"),"",IF(COUNTIF($R$2:$R575,$R575)=1,1,0))</f>
        <v>0</v>
      </c>
      <c r="W575" s="11" t="str">
        <f>IF(V575=1,SUM($V$2:V575),"")</f>
        <v/>
      </c>
      <c r="X575" s="11" t="str">
        <f t="shared" si="17"/>
        <v>SHOPEE</v>
      </c>
    </row>
    <row r="576" spans="1:24">
      <c r="A576" s="15" t="s">
        <v>79</v>
      </c>
      <c r="B576" s="15" t="s">
        <v>83</v>
      </c>
      <c r="C576" s="15" t="s">
        <v>1310</v>
      </c>
      <c r="D576" s="13">
        <v>46210.697222222225</v>
      </c>
      <c r="E576" s="15" t="s">
        <v>73</v>
      </c>
      <c r="F576" s="15" t="s">
        <v>1312</v>
      </c>
      <c r="G576" s="15" t="s">
        <v>74</v>
      </c>
      <c r="H576" s="15" t="s">
        <v>75</v>
      </c>
      <c r="I576" s="14">
        <v>12000</v>
      </c>
      <c r="J576" s="15" t="s">
        <v>93</v>
      </c>
      <c r="K576" s="15" t="s">
        <v>24</v>
      </c>
      <c r="L576" s="15">
        <v>2</v>
      </c>
      <c r="M576" s="15">
        <v>0.25</v>
      </c>
      <c r="N576" s="15" t="s">
        <v>76</v>
      </c>
      <c r="O576" s="15" t="s">
        <v>76</v>
      </c>
      <c r="P576" s="14">
        <v>46000</v>
      </c>
      <c r="Q576" s="13">
        <v>46210.697916666664</v>
      </c>
      <c r="R576" s="15" t="s">
        <v>91</v>
      </c>
      <c r="S576" s="11" t="str">
        <f t="shared" si="16"/>
        <v>2026-07-07</v>
      </c>
      <c r="T576" s="11">
        <f>IF($E576="","",IF(COUNTIF($E$2:$E576,$E576)=1,1,0))</f>
        <v>0</v>
      </c>
      <c r="U576" s="11" t="str">
        <f>IF(T576=1,SUM($T$2:T576),"")</f>
        <v/>
      </c>
      <c r="V576" s="11">
        <f>IF(OR($R576="",$R576="-"),"",IF(COUNTIF($R$2:$R576,$R576)=1,1,0))</f>
        <v>0</v>
      </c>
      <c r="W576" s="11" t="str">
        <f>IF(V576=1,SUM($V$2:V576),"")</f>
        <v/>
      </c>
      <c r="X576" s="11" t="str">
        <f t="shared" si="17"/>
        <v>SHOPEE</v>
      </c>
    </row>
    <row r="577" spans="1:24">
      <c r="A577" s="15" t="s">
        <v>79</v>
      </c>
      <c r="B577" s="15" t="s">
        <v>83</v>
      </c>
      <c r="C577" s="15" t="s">
        <v>1313</v>
      </c>
      <c r="D577" s="13">
        <v>46210.696527777778</v>
      </c>
      <c r="E577" s="15" t="s">
        <v>73</v>
      </c>
      <c r="F577" s="15" t="s">
        <v>1314</v>
      </c>
      <c r="G577" s="15" t="s">
        <v>74</v>
      </c>
      <c r="H577" s="15" t="s">
        <v>75</v>
      </c>
      <c r="I577" s="14">
        <v>12000</v>
      </c>
      <c r="J577" s="15" t="s">
        <v>149</v>
      </c>
      <c r="K577" s="15" t="s">
        <v>24</v>
      </c>
      <c r="L577" s="15">
        <v>1</v>
      </c>
      <c r="M577" s="15">
        <v>0.7</v>
      </c>
      <c r="N577" s="15" t="s">
        <v>76</v>
      </c>
      <c r="O577" s="15" t="s">
        <v>76</v>
      </c>
      <c r="P577" s="14">
        <v>33000</v>
      </c>
      <c r="Q577" s="13">
        <v>46210.697222222225</v>
      </c>
      <c r="R577" s="15" t="s">
        <v>147</v>
      </c>
      <c r="S577" s="11" t="str">
        <f t="shared" si="16"/>
        <v>2026-07-07</v>
      </c>
      <c r="T577" s="11">
        <f>IF($E577="","",IF(COUNTIF($E$2:$E577,$E577)=1,1,0))</f>
        <v>0</v>
      </c>
      <c r="U577" s="11" t="str">
        <f>IF(T577=1,SUM($T$2:T577),"")</f>
        <v/>
      </c>
      <c r="V577" s="11">
        <f>IF(OR($R577="",$R577="-"),"",IF(COUNTIF($R$2:$R577,$R577)=1,1,0))</f>
        <v>0</v>
      </c>
      <c r="W577" s="11" t="str">
        <f>IF(V577=1,SUM($V$2:V577),"")</f>
        <v/>
      </c>
      <c r="X577" s="11" t="str">
        <f t="shared" si="17"/>
        <v>SHOPEE</v>
      </c>
    </row>
    <row r="578" spans="1:24">
      <c r="A578" s="15" t="s">
        <v>79</v>
      </c>
      <c r="B578" s="15" t="s">
        <v>83</v>
      </c>
      <c r="C578" s="15" t="s">
        <v>1313</v>
      </c>
      <c r="D578" s="13">
        <v>46210.696527777778</v>
      </c>
      <c r="E578" s="15" t="s">
        <v>73</v>
      </c>
      <c r="F578" s="15" t="s">
        <v>1315</v>
      </c>
      <c r="G578" s="15" t="s">
        <v>74</v>
      </c>
      <c r="H578" s="15" t="s">
        <v>75</v>
      </c>
      <c r="I578" s="14">
        <v>20000</v>
      </c>
      <c r="J578" s="15" t="s">
        <v>920</v>
      </c>
      <c r="K578" s="15" t="s">
        <v>24</v>
      </c>
      <c r="L578" s="15">
        <v>2</v>
      </c>
      <c r="M578" s="15">
        <v>2</v>
      </c>
      <c r="N578" s="15" t="s">
        <v>76</v>
      </c>
      <c r="O578" s="15" t="s">
        <v>76</v>
      </c>
      <c r="P578" s="14">
        <v>70000</v>
      </c>
      <c r="Q578" s="13">
        <v>46210.697222222225</v>
      </c>
      <c r="R578" s="15" t="s">
        <v>79</v>
      </c>
      <c r="S578" s="11" t="str">
        <f t="shared" ref="S578:S641" si="18">IF(Q578="","",TEXT(Q578,"yyyy-mm-dd"))</f>
        <v>2026-07-07</v>
      </c>
      <c r="T578" s="11">
        <f>IF($E578="","",IF(COUNTIF($E$2:$E578,$E578)=1,1,0))</f>
        <v>0</v>
      </c>
      <c r="U578" s="11" t="str">
        <f>IF(T578=1,SUM($T$2:T578),"")</f>
        <v/>
      </c>
      <c r="V578" s="11">
        <f>IF(OR($R578="",$R578="-"),"",IF(COUNTIF($R$2:$R578,$R578)=1,1,0))</f>
        <v>0</v>
      </c>
      <c r="W578" s="11" t="str">
        <f>IF(V578=1,SUM($V$2:V578),"")</f>
        <v/>
      </c>
      <c r="X578" s="11" t="str">
        <f t="shared" ref="X578:X641" si="19">IF(ISNUMBER(SEARCH("SHOPEE",B578)),"SHOPEE",IF(ISNUMBER(SEARCH("TOKOPEDIA",B578)),"TOKOPEDIA",IF(ISNUMBER(SEARCH("LASTANA",B578)),"LASTANA EXPRESS",IF(ISNUMBER(SEARCH("FASHION MARKETPLACE",B578)),"FASHION MARKETPLACE",IF(ISNUMBER(SEARCH("GLOBAL DIGITAL NIAGA",B578)),"GLOBAL DIGITAL NIAGA",IF(ISNUMBER(SEARCH("TOKGISTIC",B578)),"TOKGISTIC",IF(ISNUMBER(SEARCH("TOCO RAMAI",B578)),"TOCO RAMAI DIGITAL",B578)))))))</f>
        <v>SHOPEE</v>
      </c>
    </row>
    <row r="579" spans="1:24">
      <c r="A579" s="15" t="s">
        <v>79</v>
      </c>
      <c r="B579" s="15" t="s">
        <v>83</v>
      </c>
      <c r="C579" s="15" t="s">
        <v>1313</v>
      </c>
      <c r="D579" s="13">
        <v>46210.696527777778</v>
      </c>
      <c r="E579" s="15" t="s">
        <v>73</v>
      </c>
      <c r="F579" s="15" t="s">
        <v>1317</v>
      </c>
      <c r="G579" s="15" t="s">
        <v>74</v>
      </c>
      <c r="H579" s="15" t="s">
        <v>75</v>
      </c>
      <c r="I579" s="14">
        <v>12000</v>
      </c>
      <c r="J579" s="15" t="s">
        <v>777</v>
      </c>
      <c r="K579" s="15" t="s">
        <v>24</v>
      </c>
      <c r="L579" s="15">
        <v>1</v>
      </c>
      <c r="M579" s="15">
        <v>0.7</v>
      </c>
      <c r="N579" s="15" t="s">
        <v>76</v>
      </c>
      <c r="O579" s="15" t="s">
        <v>76</v>
      </c>
      <c r="P579" s="14">
        <v>33000</v>
      </c>
      <c r="Q579" s="13">
        <v>46210.697222222225</v>
      </c>
      <c r="R579" s="15" t="s">
        <v>147</v>
      </c>
      <c r="S579" s="11" t="str">
        <f t="shared" si="18"/>
        <v>2026-07-07</v>
      </c>
      <c r="T579" s="11">
        <f>IF($E579="","",IF(COUNTIF($E$2:$E579,$E579)=1,1,0))</f>
        <v>0</v>
      </c>
      <c r="U579" s="11" t="str">
        <f>IF(T579=1,SUM($T$2:T579),"")</f>
        <v/>
      </c>
      <c r="V579" s="11">
        <f>IF(OR($R579="",$R579="-"),"",IF(COUNTIF($R$2:$R579,$R579)=1,1,0))</f>
        <v>0</v>
      </c>
      <c r="W579" s="11" t="str">
        <f>IF(V579=1,SUM($V$2:V579),"")</f>
        <v/>
      </c>
      <c r="X579" s="11" t="str">
        <f t="shared" si="19"/>
        <v>SHOPEE</v>
      </c>
    </row>
    <row r="580" spans="1:24">
      <c r="A580" s="15" t="s">
        <v>79</v>
      </c>
      <c r="B580" s="15" t="s">
        <v>83</v>
      </c>
      <c r="C580" s="15" t="s">
        <v>1313</v>
      </c>
      <c r="D580" s="13">
        <v>46210.696527777778</v>
      </c>
      <c r="E580" s="15" t="s">
        <v>73</v>
      </c>
      <c r="F580" s="15" t="s">
        <v>1316</v>
      </c>
      <c r="G580" s="15" t="s">
        <v>74</v>
      </c>
      <c r="H580" s="15" t="s">
        <v>75</v>
      </c>
      <c r="I580" s="14">
        <v>19000</v>
      </c>
      <c r="J580" s="15" t="s">
        <v>190</v>
      </c>
      <c r="K580" s="15" t="s">
        <v>24</v>
      </c>
      <c r="L580" s="15">
        <v>1</v>
      </c>
      <c r="M580" s="15">
        <v>0.94</v>
      </c>
      <c r="N580" s="15" t="s">
        <v>76</v>
      </c>
      <c r="O580" s="15" t="s">
        <v>76</v>
      </c>
      <c r="P580" s="14">
        <v>18000</v>
      </c>
      <c r="Q580" s="13">
        <v>46210.697222222225</v>
      </c>
      <c r="R580" s="15" t="s">
        <v>147</v>
      </c>
      <c r="S580" s="11" t="str">
        <f t="shared" si="18"/>
        <v>2026-07-07</v>
      </c>
      <c r="T580" s="11">
        <f>IF($E580="","",IF(COUNTIF($E$2:$E580,$E580)=1,1,0))</f>
        <v>0</v>
      </c>
      <c r="U580" s="11" t="str">
        <f>IF(T580=1,SUM($T$2:T580),"")</f>
        <v/>
      </c>
      <c r="V580" s="11">
        <f>IF(OR($R580="",$R580="-"),"",IF(COUNTIF($R$2:$R580,$R580)=1,1,0))</f>
        <v>0</v>
      </c>
      <c r="W580" s="11" t="str">
        <f>IF(V580=1,SUM($V$2:V580),"")</f>
        <v/>
      </c>
      <c r="X580" s="11" t="str">
        <f t="shared" si="19"/>
        <v>SHOPEE</v>
      </c>
    </row>
    <row r="581" spans="1:24">
      <c r="A581" s="15" t="s">
        <v>79</v>
      </c>
      <c r="B581" s="15" t="s">
        <v>83</v>
      </c>
      <c r="C581" s="15" t="s">
        <v>1318</v>
      </c>
      <c r="D581" s="13">
        <v>46210.690972222219</v>
      </c>
      <c r="E581" s="15" t="s">
        <v>73</v>
      </c>
      <c r="F581" s="15" t="s">
        <v>1319</v>
      </c>
      <c r="G581" s="15" t="s">
        <v>74</v>
      </c>
      <c r="H581" s="15" t="s">
        <v>75</v>
      </c>
      <c r="I581" s="14">
        <v>45000</v>
      </c>
      <c r="J581" s="15" t="s">
        <v>1320</v>
      </c>
      <c r="K581" s="15" t="s">
        <v>24</v>
      </c>
      <c r="L581" s="15">
        <v>1</v>
      </c>
      <c r="M581" s="15">
        <v>1</v>
      </c>
      <c r="N581" s="15" t="s">
        <v>76</v>
      </c>
      <c r="O581" s="15" t="s">
        <v>76</v>
      </c>
      <c r="P581" s="14">
        <v>510000</v>
      </c>
      <c r="Q581" s="13">
        <v>46210.690972222219</v>
      </c>
      <c r="R581" s="15" t="s">
        <v>182</v>
      </c>
      <c r="S581" s="11" t="str">
        <f t="shared" si="18"/>
        <v>2026-07-07</v>
      </c>
      <c r="T581" s="11">
        <f>IF($E581="","",IF(COUNTIF($E$2:$E581,$E581)=1,1,0))</f>
        <v>0</v>
      </c>
      <c r="U581" s="11" t="str">
        <f>IF(T581=1,SUM($T$2:T581),"")</f>
        <v/>
      </c>
      <c r="V581" s="11">
        <f>IF(OR($R581="",$R581="-"),"",IF(COUNTIF($R$2:$R581,$R581)=1,1,0))</f>
        <v>1</v>
      </c>
      <c r="W581" s="11">
        <f>IF(V581=1,SUM($V$2:V581),"")</f>
        <v>195</v>
      </c>
      <c r="X581" s="11" t="str">
        <f t="shared" si="19"/>
        <v>SHOPEE</v>
      </c>
    </row>
    <row r="582" spans="1:24">
      <c r="A582" s="15" t="s">
        <v>79</v>
      </c>
      <c r="B582" s="15" t="s">
        <v>83</v>
      </c>
      <c r="C582" s="15" t="s">
        <v>1321</v>
      </c>
      <c r="D582" s="13">
        <v>46210.688888888886</v>
      </c>
      <c r="E582" s="15" t="s">
        <v>73</v>
      </c>
      <c r="F582" s="15" t="s">
        <v>1322</v>
      </c>
      <c r="G582" s="15" t="s">
        <v>74</v>
      </c>
      <c r="H582" s="15" t="s">
        <v>75</v>
      </c>
      <c r="I582" s="14">
        <v>29000</v>
      </c>
      <c r="J582" s="15" t="s">
        <v>137</v>
      </c>
      <c r="K582" s="15" t="s">
        <v>27</v>
      </c>
      <c r="L582" s="15">
        <v>2</v>
      </c>
      <c r="M582" s="15">
        <v>0.22</v>
      </c>
      <c r="N582" s="15" t="s">
        <v>76</v>
      </c>
      <c r="O582" s="15" t="s">
        <v>76</v>
      </c>
      <c r="P582" s="14">
        <v>184022</v>
      </c>
      <c r="Q582" s="13">
        <v>46210.688888888886</v>
      </c>
      <c r="R582" s="15" t="s">
        <v>138</v>
      </c>
      <c r="S582" s="11" t="str">
        <f t="shared" si="18"/>
        <v>2026-07-07</v>
      </c>
      <c r="T582" s="11">
        <f>IF($E582="","",IF(COUNTIF($E$2:$E582,$E582)=1,1,0))</f>
        <v>0</v>
      </c>
      <c r="U582" s="11" t="str">
        <f>IF(T582=1,SUM($T$2:T582),"")</f>
        <v/>
      </c>
      <c r="V582" s="11">
        <f>IF(OR($R582="",$R582="-"),"",IF(COUNTIF($R$2:$R582,$R582)=1,1,0))</f>
        <v>0</v>
      </c>
      <c r="W582" s="11" t="str">
        <f>IF(V582=1,SUM($V$2:V582),"")</f>
        <v/>
      </c>
      <c r="X582" s="11" t="str">
        <f t="shared" si="19"/>
        <v>SHOPEE</v>
      </c>
    </row>
    <row r="583" spans="1:24">
      <c r="A583" s="15" t="s">
        <v>79</v>
      </c>
      <c r="B583" s="15" t="s">
        <v>83</v>
      </c>
      <c r="C583" s="15" t="s">
        <v>1321</v>
      </c>
      <c r="D583" s="13">
        <v>46210.688888888886</v>
      </c>
      <c r="E583" s="15" t="s">
        <v>73</v>
      </c>
      <c r="F583" s="15" t="s">
        <v>1323</v>
      </c>
      <c r="G583" s="15" t="s">
        <v>74</v>
      </c>
      <c r="H583" s="15" t="s">
        <v>75</v>
      </c>
      <c r="I583" s="14">
        <v>40000</v>
      </c>
      <c r="J583" s="15" t="s">
        <v>1324</v>
      </c>
      <c r="K583" s="15" t="s">
        <v>27</v>
      </c>
      <c r="L583" s="15">
        <v>1</v>
      </c>
      <c r="M583" s="15">
        <v>0.2</v>
      </c>
      <c r="N583" s="15" t="s">
        <v>76</v>
      </c>
      <c r="O583" s="15" t="s">
        <v>76</v>
      </c>
      <c r="P583" s="14">
        <v>443492</v>
      </c>
      <c r="Q583" s="13">
        <v>46210.688888888886</v>
      </c>
      <c r="R583" s="15" t="s">
        <v>138</v>
      </c>
      <c r="S583" s="11" t="str">
        <f t="shared" si="18"/>
        <v>2026-07-07</v>
      </c>
      <c r="T583" s="11">
        <f>IF($E583="","",IF(COUNTIF($E$2:$E583,$E583)=1,1,0))</f>
        <v>0</v>
      </c>
      <c r="U583" s="11" t="str">
        <f>IF(T583=1,SUM($T$2:T583),"")</f>
        <v/>
      </c>
      <c r="V583" s="11">
        <f>IF(OR($R583="",$R583="-"),"",IF(COUNTIF($R$2:$R583,$R583)=1,1,0))</f>
        <v>0</v>
      </c>
      <c r="W583" s="11" t="str">
        <f>IF(V583=1,SUM($V$2:V583),"")</f>
        <v/>
      </c>
      <c r="X583" s="11" t="str">
        <f t="shared" si="19"/>
        <v>SHOPEE</v>
      </c>
    </row>
    <row r="584" spans="1:24">
      <c r="A584" s="15" t="s">
        <v>79</v>
      </c>
      <c r="B584" s="15" t="s">
        <v>83</v>
      </c>
      <c r="C584" s="15" t="s">
        <v>1325</v>
      </c>
      <c r="D584" s="13">
        <v>46210.614583333336</v>
      </c>
      <c r="E584" s="15" t="s">
        <v>265</v>
      </c>
      <c r="F584" s="15" t="s">
        <v>1326</v>
      </c>
      <c r="G584" s="15" t="s">
        <v>74</v>
      </c>
      <c r="H584" s="15" t="s">
        <v>75</v>
      </c>
      <c r="I584" s="14">
        <v>18000</v>
      </c>
      <c r="J584" s="15" t="s">
        <v>244</v>
      </c>
      <c r="K584" s="15" t="s">
        <v>25</v>
      </c>
      <c r="L584" s="15">
        <v>3</v>
      </c>
      <c r="M584" s="15">
        <v>0.84</v>
      </c>
      <c r="N584" s="15" t="s">
        <v>76</v>
      </c>
      <c r="O584" s="15" t="s">
        <v>76</v>
      </c>
      <c r="P584" s="14">
        <v>534000</v>
      </c>
      <c r="Q584" s="13">
        <v>46210.614583333336</v>
      </c>
      <c r="R584" s="15" t="s">
        <v>276</v>
      </c>
      <c r="S584" s="11" t="str">
        <f t="shared" si="18"/>
        <v>2026-07-07</v>
      </c>
      <c r="T584" s="11">
        <f>IF($E584="","",IF(COUNTIF($E$2:$E584,$E584)=1,1,0))</f>
        <v>0</v>
      </c>
      <c r="U584" s="11" t="str">
        <f>IF(T584=1,SUM($T$2:T584),"")</f>
        <v/>
      </c>
      <c r="V584" s="11">
        <f>IF(OR($R584="",$R584="-"),"",IF(COUNTIF($R$2:$R584,$R584)=1,1,0))</f>
        <v>0</v>
      </c>
      <c r="W584" s="11" t="str">
        <f>IF(V584=1,SUM($V$2:V584),"")</f>
        <v/>
      </c>
      <c r="X584" s="11" t="str">
        <f t="shared" si="19"/>
        <v>SHOPEE</v>
      </c>
    </row>
    <row r="585" spans="1:24">
      <c r="A585" s="15" t="s">
        <v>79</v>
      </c>
      <c r="B585" s="15" t="s">
        <v>80</v>
      </c>
      <c r="C585" s="15" t="s">
        <v>1327</v>
      </c>
      <c r="D585" s="13">
        <v>46210.599305555559</v>
      </c>
      <c r="E585" s="15" t="s">
        <v>73</v>
      </c>
      <c r="F585" s="15" t="s">
        <v>1328</v>
      </c>
      <c r="G585" s="15" t="s">
        <v>74</v>
      </c>
      <c r="H585" s="15" t="s">
        <v>75</v>
      </c>
      <c r="I585" s="14">
        <v>24000</v>
      </c>
      <c r="J585" s="15" t="s">
        <v>148</v>
      </c>
      <c r="K585" s="15" t="s">
        <v>24</v>
      </c>
      <c r="L585" s="15">
        <v>1</v>
      </c>
      <c r="M585" s="15">
        <v>1</v>
      </c>
      <c r="N585" s="15" t="s">
        <v>76</v>
      </c>
      <c r="O585" s="15" t="s">
        <v>76</v>
      </c>
      <c r="P585" s="14">
        <v>79853</v>
      </c>
      <c r="Q585" s="13">
        <v>46210.599305555559</v>
      </c>
      <c r="R585" s="15" t="s">
        <v>340</v>
      </c>
      <c r="S585" s="11" t="str">
        <f t="shared" si="18"/>
        <v>2026-07-07</v>
      </c>
      <c r="T585" s="11">
        <f>IF($E585="","",IF(COUNTIF($E$2:$E585,$E585)=1,1,0))</f>
        <v>0</v>
      </c>
      <c r="U585" s="11" t="str">
        <f>IF(T585=1,SUM($T$2:T585),"")</f>
        <v/>
      </c>
      <c r="V585" s="11">
        <f>IF(OR($R585="",$R585="-"),"",IF(COUNTIF($R$2:$R585,$R585)=1,1,0))</f>
        <v>1</v>
      </c>
      <c r="W585" s="11">
        <f>IF(V585=1,SUM($V$2:V585),"")</f>
        <v>196</v>
      </c>
      <c r="X585" s="11" t="str">
        <f t="shared" si="19"/>
        <v>SHOPEE</v>
      </c>
    </row>
    <row r="586" spans="1:24">
      <c r="A586" s="15" t="s">
        <v>1329</v>
      </c>
      <c r="B586" s="15" t="s">
        <v>191</v>
      </c>
      <c r="C586" s="15" t="s">
        <v>1330</v>
      </c>
      <c r="D586" s="13">
        <v>46210.424305555556</v>
      </c>
      <c r="E586" s="15" t="s">
        <v>111</v>
      </c>
      <c r="F586" s="15" t="s">
        <v>1331</v>
      </c>
      <c r="G586" s="15" t="s">
        <v>74</v>
      </c>
      <c r="H586" s="15" t="s">
        <v>75</v>
      </c>
      <c r="I586" s="14">
        <v>21000</v>
      </c>
      <c r="J586" s="15" t="s">
        <v>1332</v>
      </c>
      <c r="K586" s="15" t="s">
        <v>24</v>
      </c>
      <c r="L586" s="15">
        <v>1</v>
      </c>
      <c r="M586" s="15">
        <v>1.3</v>
      </c>
      <c r="N586" s="15" t="s">
        <v>76</v>
      </c>
      <c r="O586" s="15" t="s">
        <v>76</v>
      </c>
      <c r="P586" s="14">
        <v>190000</v>
      </c>
      <c r="Q586" s="13">
        <v>46210.424305555556</v>
      </c>
      <c r="R586" s="15" t="s">
        <v>1333</v>
      </c>
      <c r="S586" s="11" t="str">
        <f t="shared" si="18"/>
        <v>2026-07-07</v>
      </c>
      <c r="T586" s="11">
        <f>IF($E586="","",IF(COUNTIF($E$2:$E586,$E586)=1,1,0))</f>
        <v>0</v>
      </c>
      <c r="U586" s="11" t="str">
        <f>IF(T586=1,SUM($T$2:T586),"")</f>
        <v/>
      </c>
      <c r="V586" s="11">
        <f>IF(OR($R586="",$R586="-"),"",IF(COUNTIF($R$2:$R586,$R586)=1,1,0))</f>
        <v>1</v>
      </c>
      <c r="W586" s="11">
        <f>IF(V586=1,SUM($V$2:V586),"")</f>
        <v>197</v>
      </c>
      <c r="X586" s="11" t="str">
        <f t="shared" si="19"/>
        <v>TOKGISTIC</v>
      </c>
    </row>
    <row r="587" spans="1:24">
      <c r="A587" s="15" t="s">
        <v>79</v>
      </c>
      <c r="B587" s="15" t="s">
        <v>83</v>
      </c>
      <c r="C587" s="15" t="s">
        <v>1334</v>
      </c>
      <c r="D587" s="13">
        <v>46209.906944444447</v>
      </c>
      <c r="E587" s="15" t="s">
        <v>73</v>
      </c>
      <c r="F587" s="15" t="s">
        <v>1335</v>
      </c>
      <c r="G587" s="15" t="s">
        <v>74</v>
      </c>
      <c r="H587" s="15" t="s">
        <v>75</v>
      </c>
      <c r="I587" s="14">
        <v>18000</v>
      </c>
      <c r="J587" s="15" t="s">
        <v>228</v>
      </c>
      <c r="K587" s="15" t="s">
        <v>25</v>
      </c>
      <c r="L587" s="15">
        <v>1</v>
      </c>
      <c r="M587" s="15">
        <v>0.1</v>
      </c>
      <c r="N587" s="15" t="s">
        <v>76</v>
      </c>
      <c r="O587" s="15" t="s">
        <v>76</v>
      </c>
      <c r="P587" s="14">
        <v>70000</v>
      </c>
      <c r="Q587" s="13">
        <v>46209.906944444447</v>
      </c>
      <c r="R587" s="15" t="s">
        <v>1336</v>
      </c>
      <c r="S587" s="11" t="str">
        <f t="shared" si="18"/>
        <v>2026-07-06</v>
      </c>
      <c r="T587" s="11">
        <f>IF($E587="","",IF(COUNTIF($E$2:$E587,$E587)=1,1,0))</f>
        <v>0</v>
      </c>
      <c r="U587" s="11" t="str">
        <f>IF(T587=1,SUM($T$2:T587),"")</f>
        <v/>
      </c>
      <c r="V587" s="11">
        <f>IF(OR($R587="",$R587="-"),"",IF(COUNTIF($R$2:$R587,$R587)=1,1,0))</f>
        <v>1</v>
      </c>
      <c r="W587" s="11">
        <f>IF(V587=1,SUM($V$2:V587),"")</f>
        <v>198</v>
      </c>
      <c r="X587" s="11" t="str">
        <f t="shared" si="19"/>
        <v>SHOPEE</v>
      </c>
    </row>
    <row r="588" spans="1:24">
      <c r="A588" s="15" t="s">
        <v>79</v>
      </c>
      <c r="B588" s="15" t="s">
        <v>83</v>
      </c>
      <c r="C588" s="15" t="s">
        <v>1337</v>
      </c>
      <c r="D588" s="13">
        <v>46209.85</v>
      </c>
      <c r="E588" s="15" t="s">
        <v>111</v>
      </c>
      <c r="F588" s="15" t="s">
        <v>1338</v>
      </c>
      <c r="G588" s="15" t="s">
        <v>74</v>
      </c>
      <c r="H588" s="15" t="s">
        <v>75</v>
      </c>
      <c r="I588" s="14">
        <v>12000</v>
      </c>
      <c r="J588" s="15" t="s">
        <v>194</v>
      </c>
      <c r="K588" s="15" t="s">
        <v>24</v>
      </c>
      <c r="L588" s="15">
        <v>1</v>
      </c>
      <c r="M588" s="15">
        <v>0.26</v>
      </c>
      <c r="N588" s="15" t="s">
        <v>76</v>
      </c>
      <c r="O588" s="15" t="s">
        <v>76</v>
      </c>
      <c r="P588" s="14">
        <v>62400</v>
      </c>
      <c r="Q588" s="13">
        <v>46209.85</v>
      </c>
      <c r="R588" s="15" t="s">
        <v>170</v>
      </c>
      <c r="S588" s="11" t="str">
        <f t="shared" si="18"/>
        <v>2026-07-06</v>
      </c>
      <c r="T588" s="11">
        <f>IF($E588="","",IF(COUNTIF($E$2:$E588,$E588)=1,1,0))</f>
        <v>0</v>
      </c>
      <c r="U588" s="11" t="str">
        <f>IF(T588=1,SUM($T$2:T588),"")</f>
        <v/>
      </c>
      <c r="V588" s="11">
        <f>IF(OR($R588="",$R588="-"),"",IF(COUNTIF($R$2:$R588,$R588)=1,1,0))</f>
        <v>0</v>
      </c>
      <c r="W588" s="11" t="str">
        <f>IF(V588=1,SUM($V$2:V588),"")</f>
        <v/>
      </c>
      <c r="X588" s="11" t="str">
        <f t="shared" si="19"/>
        <v>SHOPEE</v>
      </c>
    </row>
    <row r="589" spans="1:24">
      <c r="A589" s="15" t="s">
        <v>79</v>
      </c>
      <c r="B589" s="15" t="s">
        <v>83</v>
      </c>
      <c r="C589" s="15" t="s">
        <v>1339</v>
      </c>
      <c r="D589" s="13">
        <v>46209.738194444442</v>
      </c>
      <c r="E589" s="15" t="s">
        <v>73</v>
      </c>
      <c r="F589" s="15" t="s">
        <v>1340</v>
      </c>
      <c r="G589" s="15" t="s">
        <v>74</v>
      </c>
      <c r="H589" s="15" t="s">
        <v>75</v>
      </c>
      <c r="I589" s="14">
        <v>12000</v>
      </c>
      <c r="J589" s="15" t="s">
        <v>101</v>
      </c>
      <c r="K589" s="15" t="s">
        <v>24</v>
      </c>
      <c r="L589" s="15">
        <v>1</v>
      </c>
      <c r="M589" s="15">
        <v>0.17</v>
      </c>
      <c r="N589" s="15" t="s">
        <v>76</v>
      </c>
      <c r="O589" s="15" t="s">
        <v>76</v>
      </c>
      <c r="P589" s="14">
        <v>90000</v>
      </c>
      <c r="Q589" s="13">
        <v>46209.738888888889</v>
      </c>
      <c r="R589" s="15" t="s">
        <v>154</v>
      </c>
      <c r="S589" s="11" t="str">
        <f t="shared" si="18"/>
        <v>2026-07-06</v>
      </c>
      <c r="T589" s="11">
        <f>IF($E589="","",IF(COUNTIF($E$2:$E589,$E589)=1,1,0))</f>
        <v>0</v>
      </c>
      <c r="U589" s="11" t="str">
        <f>IF(T589=1,SUM($T$2:T589),"")</f>
        <v/>
      </c>
      <c r="V589" s="11">
        <f>IF(OR($R589="",$R589="-"),"",IF(COUNTIF($R$2:$R589,$R589)=1,1,0))</f>
        <v>1</v>
      </c>
      <c r="W589" s="11">
        <f>IF(V589=1,SUM($V$2:V589),"")</f>
        <v>199</v>
      </c>
      <c r="X589" s="11" t="str">
        <f t="shared" si="19"/>
        <v>SHOPEE</v>
      </c>
    </row>
    <row r="590" spans="1:24">
      <c r="A590" s="15" t="s">
        <v>79</v>
      </c>
      <c r="B590" s="15" t="s">
        <v>83</v>
      </c>
      <c r="C590" s="15" t="s">
        <v>1341</v>
      </c>
      <c r="D590" s="13">
        <v>46209.734027777777</v>
      </c>
      <c r="E590" s="15" t="s">
        <v>73</v>
      </c>
      <c r="F590" s="15" t="s">
        <v>1342</v>
      </c>
      <c r="G590" s="15" t="s">
        <v>74</v>
      </c>
      <c r="H590" s="15" t="s">
        <v>75</v>
      </c>
      <c r="I590" s="14">
        <v>12000</v>
      </c>
      <c r="J590" s="15" t="s">
        <v>1343</v>
      </c>
      <c r="K590" s="15" t="s">
        <v>24</v>
      </c>
      <c r="L590" s="15">
        <v>1</v>
      </c>
      <c r="M590" s="15">
        <v>1</v>
      </c>
      <c r="N590" s="15" t="s">
        <v>76</v>
      </c>
      <c r="O590" s="15" t="s">
        <v>76</v>
      </c>
      <c r="P590" s="14">
        <v>2793000</v>
      </c>
      <c r="Q590" s="13">
        <v>46209.734027777777</v>
      </c>
      <c r="R590" s="15" t="s">
        <v>296</v>
      </c>
      <c r="S590" s="11" t="str">
        <f t="shared" si="18"/>
        <v>2026-07-06</v>
      </c>
      <c r="T590" s="11">
        <f>IF($E590="","",IF(COUNTIF($E$2:$E590,$E590)=1,1,0))</f>
        <v>0</v>
      </c>
      <c r="U590" s="11" t="str">
        <f>IF(T590=1,SUM($T$2:T590),"")</f>
        <v/>
      </c>
      <c r="V590" s="11">
        <f>IF(OR($R590="",$R590="-"),"",IF(COUNTIF($R$2:$R590,$R590)=1,1,0))</f>
        <v>0</v>
      </c>
      <c r="W590" s="11" t="str">
        <f>IF(V590=1,SUM($V$2:V590),"")</f>
        <v/>
      </c>
      <c r="X590" s="11" t="str">
        <f t="shared" si="19"/>
        <v>SHOPEE</v>
      </c>
    </row>
    <row r="591" spans="1:24">
      <c r="A591" s="15" t="s">
        <v>79</v>
      </c>
      <c r="B591" s="15" t="s">
        <v>83</v>
      </c>
      <c r="C591" s="15" t="s">
        <v>1344</v>
      </c>
      <c r="D591" s="13">
        <v>46209.73333333333</v>
      </c>
      <c r="E591" s="15" t="s">
        <v>73</v>
      </c>
      <c r="F591" s="15" t="s">
        <v>1345</v>
      </c>
      <c r="G591" s="15" t="s">
        <v>74</v>
      </c>
      <c r="H591" s="15" t="s">
        <v>75</v>
      </c>
      <c r="I591" s="14">
        <v>12000</v>
      </c>
      <c r="J591" s="15" t="s">
        <v>301</v>
      </c>
      <c r="K591" s="15" t="s">
        <v>24</v>
      </c>
      <c r="L591" s="15">
        <v>3</v>
      </c>
      <c r="M591" s="15">
        <v>0.38</v>
      </c>
      <c r="N591" s="15" t="s">
        <v>76</v>
      </c>
      <c r="O591" s="15" t="s">
        <v>76</v>
      </c>
      <c r="P591" s="14">
        <v>37500</v>
      </c>
      <c r="Q591" s="13">
        <v>46209.73333333333</v>
      </c>
      <c r="R591" s="15" t="s">
        <v>91</v>
      </c>
      <c r="S591" s="11" t="str">
        <f t="shared" si="18"/>
        <v>2026-07-06</v>
      </c>
      <c r="T591" s="11">
        <f>IF($E591="","",IF(COUNTIF($E$2:$E591,$E591)=1,1,0))</f>
        <v>0</v>
      </c>
      <c r="U591" s="11" t="str">
        <f>IF(T591=1,SUM($T$2:T591),"")</f>
        <v/>
      </c>
      <c r="V591" s="11">
        <f>IF(OR($R591="",$R591="-"),"",IF(COUNTIF($R$2:$R591,$R591)=1,1,0))</f>
        <v>0</v>
      </c>
      <c r="W591" s="11" t="str">
        <f>IF(V591=1,SUM($V$2:V591),"")</f>
        <v/>
      </c>
      <c r="X591" s="11" t="str">
        <f t="shared" si="19"/>
        <v>SHOPEE</v>
      </c>
    </row>
    <row r="592" spans="1:24">
      <c r="A592" s="15" t="s">
        <v>79</v>
      </c>
      <c r="B592" s="15" t="s">
        <v>83</v>
      </c>
      <c r="C592" s="15" t="s">
        <v>1346</v>
      </c>
      <c r="D592" s="13">
        <v>46209.702777777777</v>
      </c>
      <c r="E592" s="15" t="s">
        <v>73</v>
      </c>
      <c r="F592" s="15" t="s">
        <v>1347</v>
      </c>
      <c r="G592" s="15" t="s">
        <v>74</v>
      </c>
      <c r="H592" s="15" t="s">
        <v>75</v>
      </c>
      <c r="I592" s="14">
        <v>12000</v>
      </c>
      <c r="J592" s="15" t="s">
        <v>214</v>
      </c>
      <c r="K592" s="15" t="s">
        <v>24</v>
      </c>
      <c r="L592" s="15">
        <v>1</v>
      </c>
      <c r="M592" s="15">
        <v>1</v>
      </c>
      <c r="N592" s="15" t="s">
        <v>76</v>
      </c>
      <c r="O592" s="15" t="s">
        <v>76</v>
      </c>
      <c r="P592" s="14">
        <v>1140000</v>
      </c>
      <c r="Q592" s="13">
        <v>46209.702777777777</v>
      </c>
      <c r="R592" s="15" t="s">
        <v>86</v>
      </c>
      <c r="S592" s="11" t="str">
        <f t="shared" si="18"/>
        <v>2026-07-06</v>
      </c>
      <c r="T592" s="11">
        <f>IF($E592="","",IF(COUNTIF($E$2:$E592,$E592)=1,1,0))</f>
        <v>0</v>
      </c>
      <c r="U592" s="11" t="str">
        <f>IF(T592=1,SUM($T$2:T592),"")</f>
        <v/>
      </c>
      <c r="V592" s="11">
        <f>IF(OR($R592="",$R592="-"),"",IF(COUNTIF($R$2:$R592,$R592)=1,1,0))</f>
        <v>0</v>
      </c>
      <c r="W592" s="11" t="str">
        <f>IF(V592=1,SUM($V$2:V592),"")</f>
        <v/>
      </c>
      <c r="X592" s="11" t="str">
        <f t="shared" si="19"/>
        <v>SHOPEE</v>
      </c>
    </row>
    <row r="593" spans="1:24">
      <c r="A593" s="15" t="s">
        <v>79</v>
      </c>
      <c r="B593" s="15" t="s">
        <v>83</v>
      </c>
      <c r="C593" s="15" t="s">
        <v>1348</v>
      </c>
      <c r="D593" s="13">
        <v>46209.701388888891</v>
      </c>
      <c r="E593" s="15" t="s">
        <v>73</v>
      </c>
      <c r="F593" s="15" t="s">
        <v>1349</v>
      </c>
      <c r="G593" s="15" t="s">
        <v>74</v>
      </c>
      <c r="H593" s="15" t="s">
        <v>75</v>
      </c>
      <c r="I593" s="14">
        <v>53000</v>
      </c>
      <c r="J593" s="15" t="s">
        <v>178</v>
      </c>
      <c r="K593" s="15" t="s">
        <v>24</v>
      </c>
      <c r="L593" s="15">
        <v>1</v>
      </c>
      <c r="M593" s="15">
        <v>1</v>
      </c>
      <c r="N593" s="15" t="s">
        <v>76</v>
      </c>
      <c r="O593" s="15" t="s">
        <v>76</v>
      </c>
      <c r="P593" s="14">
        <v>1140000</v>
      </c>
      <c r="Q593" s="13">
        <v>46209.701388888891</v>
      </c>
      <c r="R593" s="15" t="s">
        <v>86</v>
      </c>
      <c r="S593" s="11" t="str">
        <f t="shared" si="18"/>
        <v>2026-07-06</v>
      </c>
      <c r="T593" s="11">
        <f>IF($E593="","",IF(COUNTIF($E$2:$E593,$E593)=1,1,0))</f>
        <v>0</v>
      </c>
      <c r="U593" s="11" t="str">
        <f>IF(T593=1,SUM($T$2:T593),"")</f>
        <v/>
      </c>
      <c r="V593" s="11">
        <f>IF(OR($R593="",$R593="-"),"",IF(COUNTIF($R$2:$R593,$R593)=1,1,0))</f>
        <v>0</v>
      </c>
      <c r="W593" s="11" t="str">
        <f>IF(V593=1,SUM($V$2:V593),"")</f>
        <v/>
      </c>
      <c r="X593" s="11" t="str">
        <f t="shared" si="19"/>
        <v>SHOPEE</v>
      </c>
    </row>
    <row r="594" spans="1:24">
      <c r="A594" s="15" t="s">
        <v>79</v>
      </c>
      <c r="B594" s="15" t="s">
        <v>83</v>
      </c>
      <c r="C594" s="15" t="s">
        <v>1348</v>
      </c>
      <c r="D594" s="13">
        <v>46209.701388888891</v>
      </c>
      <c r="E594" s="15" t="s">
        <v>73</v>
      </c>
      <c r="F594" s="15" t="s">
        <v>1350</v>
      </c>
      <c r="G594" s="15" t="s">
        <v>74</v>
      </c>
      <c r="H594" s="15" t="s">
        <v>75</v>
      </c>
      <c r="I594" s="14">
        <v>12000</v>
      </c>
      <c r="J594" s="15" t="s">
        <v>1351</v>
      </c>
      <c r="K594" s="15" t="s">
        <v>24</v>
      </c>
      <c r="L594" s="15">
        <v>1</v>
      </c>
      <c r="M594" s="15">
        <v>1</v>
      </c>
      <c r="N594" s="15" t="s">
        <v>76</v>
      </c>
      <c r="O594" s="15" t="s">
        <v>76</v>
      </c>
      <c r="P594" s="14">
        <v>54000</v>
      </c>
      <c r="Q594" s="13">
        <v>46209.701388888891</v>
      </c>
      <c r="R594" s="15" t="s">
        <v>109</v>
      </c>
      <c r="S594" s="11" t="str">
        <f t="shared" si="18"/>
        <v>2026-07-06</v>
      </c>
      <c r="T594" s="11">
        <f>IF($E594="","",IF(COUNTIF($E$2:$E594,$E594)=1,1,0))</f>
        <v>0</v>
      </c>
      <c r="U594" s="11" t="str">
        <f>IF(T594=1,SUM($T$2:T594),"")</f>
        <v/>
      </c>
      <c r="V594" s="11">
        <f>IF(OR($R594="",$R594="-"),"",IF(COUNTIF($R$2:$R594,$R594)=1,1,0))</f>
        <v>0</v>
      </c>
      <c r="W594" s="11" t="str">
        <f>IF(V594=1,SUM($V$2:V594),"")</f>
        <v/>
      </c>
      <c r="X594" s="11" t="str">
        <f t="shared" si="19"/>
        <v>SHOPEE</v>
      </c>
    </row>
    <row r="595" spans="1:24">
      <c r="A595" s="15" t="s">
        <v>79</v>
      </c>
      <c r="B595" s="15" t="s">
        <v>83</v>
      </c>
      <c r="C595" s="15" t="s">
        <v>1348</v>
      </c>
      <c r="D595" s="13">
        <v>46209.701388888891</v>
      </c>
      <c r="E595" s="15" t="s">
        <v>73</v>
      </c>
      <c r="F595" s="15" t="s">
        <v>1352</v>
      </c>
      <c r="G595" s="15" t="s">
        <v>74</v>
      </c>
      <c r="H595" s="15" t="s">
        <v>75</v>
      </c>
      <c r="I595" s="14">
        <v>12000</v>
      </c>
      <c r="J595" s="15" t="s">
        <v>305</v>
      </c>
      <c r="K595" s="15" t="s">
        <v>24</v>
      </c>
      <c r="L595" s="15">
        <v>1</v>
      </c>
      <c r="M595" s="15">
        <v>0.72</v>
      </c>
      <c r="N595" s="15" t="s">
        <v>76</v>
      </c>
      <c r="O595" s="15" t="s">
        <v>76</v>
      </c>
      <c r="P595" s="14">
        <v>114000</v>
      </c>
      <c r="Q595" s="13">
        <v>46209.701388888891</v>
      </c>
      <c r="R595" s="15" t="s">
        <v>109</v>
      </c>
      <c r="S595" s="11" t="str">
        <f t="shared" si="18"/>
        <v>2026-07-06</v>
      </c>
      <c r="T595" s="11">
        <f>IF($E595="","",IF(COUNTIF($E$2:$E595,$E595)=1,1,0))</f>
        <v>0</v>
      </c>
      <c r="U595" s="11" t="str">
        <f>IF(T595=1,SUM($T$2:T595),"")</f>
        <v/>
      </c>
      <c r="V595" s="11">
        <f>IF(OR($R595="",$R595="-"),"",IF(COUNTIF($R$2:$R595,$R595)=1,1,0))</f>
        <v>0</v>
      </c>
      <c r="W595" s="11" t="str">
        <f>IF(V595=1,SUM($V$2:V595),"")</f>
        <v/>
      </c>
      <c r="X595" s="11" t="str">
        <f t="shared" si="19"/>
        <v>SHOPEE</v>
      </c>
    </row>
    <row r="596" spans="1:24">
      <c r="A596" s="15" t="s">
        <v>79</v>
      </c>
      <c r="B596" s="15" t="s">
        <v>83</v>
      </c>
      <c r="C596" s="15" t="s">
        <v>1348</v>
      </c>
      <c r="D596" s="13">
        <v>46209.701388888891</v>
      </c>
      <c r="E596" s="15" t="s">
        <v>73</v>
      </c>
      <c r="F596" s="15" t="s">
        <v>1353</v>
      </c>
      <c r="G596" s="15" t="s">
        <v>74</v>
      </c>
      <c r="H596" s="15" t="s">
        <v>75</v>
      </c>
      <c r="I596" s="14">
        <v>6000</v>
      </c>
      <c r="J596" s="15" t="s">
        <v>315</v>
      </c>
      <c r="K596" s="15" t="s">
        <v>27</v>
      </c>
      <c r="L596" s="15">
        <v>1</v>
      </c>
      <c r="M596" s="15">
        <v>0.45</v>
      </c>
      <c r="N596" s="15" t="s">
        <v>76</v>
      </c>
      <c r="O596" s="15" t="s">
        <v>76</v>
      </c>
      <c r="P596" s="14">
        <v>11390</v>
      </c>
      <c r="Q596" s="13">
        <v>46209.701388888891</v>
      </c>
      <c r="R596" s="15" t="s">
        <v>133</v>
      </c>
      <c r="S596" s="11" t="str">
        <f t="shared" si="18"/>
        <v>2026-07-06</v>
      </c>
      <c r="T596" s="11">
        <f>IF($E596="","",IF(COUNTIF($E$2:$E596,$E596)=1,1,0))</f>
        <v>0</v>
      </c>
      <c r="U596" s="11" t="str">
        <f>IF(T596=1,SUM($T$2:T596),"")</f>
        <v/>
      </c>
      <c r="V596" s="11">
        <f>IF(OR($R596="",$R596="-"),"",IF(COUNTIF($R$2:$R596,$R596)=1,1,0))</f>
        <v>0</v>
      </c>
      <c r="W596" s="11" t="str">
        <f>IF(V596=1,SUM($V$2:V596),"")</f>
        <v/>
      </c>
      <c r="X596" s="11" t="str">
        <f t="shared" si="19"/>
        <v>SHOPEE</v>
      </c>
    </row>
    <row r="597" spans="1:24">
      <c r="A597" s="15" t="s">
        <v>79</v>
      </c>
      <c r="B597" s="15" t="s">
        <v>83</v>
      </c>
      <c r="C597" s="15" t="s">
        <v>1354</v>
      </c>
      <c r="D597" s="13">
        <v>46209.643055555556</v>
      </c>
      <c r="E597" s="15" t="s">
        <v>111</v>
      </c>
      <c r="F597" s="15" t="s">
        <v>1355</v>
      </c>
      <c r="G597" s="15" t="s">
        <v>74</v>
      </c>
      <c r="H597" s="15" t="s">
        <v>75</v>
      </c>
      <c r="I597" s="14">
        <v>29000</v>
      </c>
      <c r="J597" s="15" t="s">
        <v>137</v>
      </c>
      <c r="K597" s="15" t="s">
        <v>27</v>
      </c>
      <c r="L597" s="15">
        <v>1</v>
      </c>
      <c r="M597" s="15">
        <v>0.2</v>
      </c>
      <c r="N597" s="15" t="s">
        <v>76</v>
      </c>
      <c r="O597" s="15" t="s">
        <v>76</v>
      </c>
      <c r="P597" s="14">
        <v>443492</v>
      </c>
      <c r="Q597" s="13">
        <v>46209.643055555556</v>
      </c>
      <c r="R597" s="15" t="s">
        <v>138</v>
      </c>
      <c r="S597" s="11" t="str">
        <f t="shared" si="18"/>
        <v>2026-07-06</v>
      </c>
      <c r="T597" s="11">
        <f>IF($E597="","",IF(COUNTIF($E$2:$E597,$E597)=1,1,0))</f>
        <v>0</v>
      </c>
      <c r="U597" s="11" t="str">
        <f>IF(T597=1,SUM($T$2:T597),"")</f>
        <v/>
      </c>
      <c r="V597" s="11">
        <f>IF(OR($R597="",$R597="-"),"",IF(COUNTIF($R$2:$R597,$R597)=1,1,0))</f>
        <v>0</v>
      </c>
      <c r="W597" s="11" t="str">
        <f>IF(V597=1,SUM($V$2:V597),"")</f>
        <v/>
      </c>
      <c r="X597" s="11" t="str">
        <f t="shared" si="19"/>
        <v>SHOPEE</v>
      </c>
    </row>
    <row r="598" spans="1:24">
      <c r="A598" s="15" t="s">
        <v>79</v>
      </c>
      <c r="B598" s="15" t="s">
        <v>83</v>
      </c>
      <c r="C598" s="15" t="s">
        <v>1354</v>
      </c>
      <c r="D598" s="13">
        <v>46209.643055555556</v>
      </c>
      <c r="E598" s="15" t="s">
        <v>111</v>
      </c>
      <c r="F598" s="15" t="s">
        <v>1356</v>
      </c>
      <c r="G598" s="15" t="s">
        <v>74</v>
      </c>
      <c r="H598" s="15" t="s">
        <v>75</v>
      </c>
      <c r="I598" s="14">
        <v>29000</v>
      </c>
      <c r="J598" s="15" t="s">
        <v>291</v>
      </c>
      <c r="K598" s="15" t="s">
        <v>27</v>
      </c>
      <c r="L598" s="15">
        <v>2</v>
      </c>
      <c r="M598" s="15">
        <v>0.11</v>
      </c>
      <c r="N598" s="15" t="s">
        <v>76</v>
      </c>
      <c r="O598" s="15" t="s">
        <v>76</v>
      </c>
      <c r="P598" s="14">
        <v>215999</v>
      </c>
      <c r="Q598" s="13">
        <v>46209.643055555556</v>
      </c>
      <c r="R598" s="15" t="s">
        <v>138</v>
      </c>
      <c r="S598" s="11" t="str">
        <f t="shared" si="18"/>
        <v>2026-07-06</v>
      </c>
      <c r="T598" s="11">
        <f>IF($E598="","",IF(COUNTIF($E$2:$E598,$E598)=1,1,0))</f>
        <v>0</v>
      </c>
      <c r="U598" s="11" t="str">
        <f>IF(T598=1,SUM($T$2:T598),"")</f>
        <v/>
      </c>
      <c r="V598" s="11">
        <f>IF(OR($R598="",$R598="-"),"",IF(COUNTIF($R$2:$R598,$R598)=1,1,0))</f>
        <v>0</v>
      </c>
      <c r="W598" s="11" t="str">
        <f>IF(V598=1,SUM($V$2:V598),"")</f>
        <v/>
      </c>
      <c r="X598" s="11" t="str">
        <f t="shared" si="19"/>
        <v>SHOPEE</v>
      </c>
    </row>
    <row r="599" spans="1:24">
      <c r="A599" s="15" t="s">
        <v>79</v>
      </c>
      <c r="B599" s="15" t="s">
        <v>83</v>
      </c>
      <c r="C599" s="15" t="s">
        <v>1357</v>
      </c>
      <c r="D599" s="13">
        <v>46209.604861111111</v>
      </c>
      <c r="E599" s="15" t="s">
        <v>111</v>
      </c>
      <c r="F599" s="15" t="s">
        <v>1358</v>
      </c>
      <c r="G599" s="15" t="s">
        <v>74</v>
      </c>
      <c r="H599" s="15" t="s">
        <v>75</v>
      </c>
      <c r="I599" s="14">
        <v>78000</v>
      </c>
      <c r="J599" s="15" t="s">
        <v>225</v>
      </c>
      <c r="K599" s="15" t="s">
        <v>24</v>
      </c>
      <c r="L599" s="15">
        <v>5</v>
      </c>
      <c r="M599" s="15">
        <v>2.5</v>
      </c>
      <c r="N599" s="15" t="s">
        <v>76</v>
      </c>
      <c r="O599" s="15" t="s">
        <v>76</v>
      </c>
      <c r="P599" s="14">
        <v>300000</v>
      </c>
      <c r="Q599" s="13">
        <v>46209.605555555558</v>
      </c>
      <c r="R599" s="15" t="s">
        <v>168</v>
      </c>
      <c r="S599" s="11" t="str">
        <f t="shared" si="18"/>
        <v>2026-07-06</v>
      </c>
      <c r="T599" s="11">
        <f>IF($E599="","",IF(COUNTIF($E$2:$E599,$E599)=1,1,0))</f>
        <v>0</v>
      </c>
      <c r="U599" s="11" t="str">
        <f>IF(T599=1,SUM($T$2:T599),"")</f>
        <v/>
      </c>
      <c r="V599" s="11">
        <f>IF(OR($R599="",$R599="-"),"",IF(COUNTIF($R$2:$R599,$R599)=1,1,0))</f>
        <v>0</v>
      </c>
      <c r="W599" s="11" t="str">
        <f>IF(V599=1,SUM($V$2:V599),"")</f>
        <v/>
      </c>
      <c r="X599" s="11" t="str">
        <f t="shared" si="19"/>
        <v>SHOPEE</v>
      </c>
    </row>
    <row r="600" spans="1:24">
      <c r="A600" s="15" t="s">
        <v>79</v>
      </c>
      <c r="B600" s="15" t="s">
        <v>83</v>
      </c>
      <c r="C600" s="15" t="s">
        <v>1357</v>
      </c>
      <c r="D600" s="13">
        <v>46209.604861111111</v>
      </c>
      <c r="E600" s="15" t="s">
        <v>111</v>
      </c>
      <c r="F600" s="15" t="s">
        <v>1359</v>
      </c>
      <c r="G600" s="15" t="s">
        <v>74</v>
      </c>
      <c r="H600" s="15" t="s">
        <v>75</v>
      </c>
      <c r="I600" s="14">
        <v>12000</v>
      </c>
      <c r="J600" s="15" t="s">
        <v>318</v>
      </c>
      <c r="K600" s="15" t="s">
        <v>24</v>
      </c>
      <c r="L600" s="15">
        <v>2</v>
      </c>
      <c r="M600" s="15">
        <v>1</v>
      </c>
      <c r="N600" s="15" t="s">
        <v>76</v>
      </c>
      <c r="O600" s="15" t="s">
        <v>76</v>
      </c>
      <c r="P600" s="14">
        <v>120000</v>
      </c>
      <c r="Q600" s="13">
        <v>46209.605555555558</v>
      </c>
      <c r="R600" s="15" t="s">
        <v>168</v>
      </c>
      <c r="S600" s="11" t="str">
        <f t="shared" si="18"/>
        <v>2026-07-06</v>
      </c>
      <c r="T600" s="11">
        <f>IF($E600="","",IF(COUNTIF($E$2:$E600,$E600)=1,1,0))</f>
        <v>0</v>
      </c>
      <c r="U600" s="11" t="str">
        <f>IF(T600=1,SUM($T$2:T600),"")</f>
        <v/>
      </c>
      <c r="V600" s="11">
        <f>IF(OR($R600="",$R600="-"),"",IF(COUNTIF($R$2:$R600,$R600)=1,1,0))</f>
        <v>0</v>
      </c>
      <c r="W600" s="11" t="str">
        <f>IF(V600=1,SUM($V$2:V600),"")</f>
        <v/>
      </c>
      <c r="X600" s="11" t="str">
        <f t="shared" si="19"/>
        <v>SHOPEE</v>
      </c>
    </row>
    <row r="601" spans="1:24">
      <c r="A601" s="15" t="s">
        <v>272</v>
      </c>
      <c r="B601" s="15" t="s">
        <v>72</v>
      </c>
      <c r="C601" s="15" t="s">
        <v>1360</v>
      </c>
      <c r="D601" s="13">
        <v>46209.549305555556</v>
      </c>
      <c r="E601" s="15" t="s">
        <v>265</v>
      </c>
      <c r="F601" s="15" t="s">
        <v>1361</v>
      </c>
      <c r="G601" s="15" t="s">
        <v>74</v>
      </c>
      <c r="H601" s="15" t="s">
        <v>75</v>
      </c>
      <c r="I601" s="14">
        <v>21000</v>
      </c>
      <c r="J601" s="15" t="s">
        <v>339</v>
      </c>
      <c r="K601" s="15" t="s">
        <v>24</v>
      </c>
      <c r="L601" s="15">
        <v>1</v>
      </c>
      <c r="M601" s="15">
        <v>1.3</v>
      </c>
      <c r="N601" s="15" t="s">
        <v>76</v>
      </c>
      <c r="O601" s="15" t="s">
        <v>76</v>
      </c>
      <c r="P601" s="14">
        <v>260820</v>
      </c>
      <c r="Q601" s="13">
        <v>46209.549305555556</v>
      </c>
      <c r="R601" s="15" t="s">
        <v>273</v>
      </c>
      <c r="S601" s="11" t="str">
        <f t="shared" si="18"/>
        <v>2026-07-06</v>
      </c>
      <c r="T601" s="11">
        <f>IF($E601="","",IF(COUNTIF($E$2:$E601,$E601)=1,1,0))</f>
        <v>0</v>
      </c>
      <c r="U601" s="11" t="str">
        <f>IF(T601=1,SUM($T$2:T601),"")</f>
        <v/>
      </c>
      <c r="V601" s="11">
        <f>IF(OR($R601="",$R601="-"),"",IF(COUNTIF($R$2:$R601,$R601)=1,1,0))</f>
        <v>1</v>
      </c>
      <c r="W601" s="11">
        <f>IF(V601=1,SUM($V$2:V601),"")</f>
        <v>200</v>
      </c>
      <c r="X601" s="11" t="str">
        <f t="shared" si="19"/>
        <v>TOKOPEDIA</v>
      </c>
    </row>
    <row r="602" spans="1:24">
      <c r="A602" s="15" t="s">
        <v>79</v>
      </c>
      <c r="B602" s="15" t="s">
        <v>83</v>
      </c>
      <c r="C602" s="15" t="s">
        <v>1362</v>
      </c>
      <c r="D602" s="13">
        <v>46209.532638888886</v>
      </c>
      <c r="E602" s="15" t="s">
        <v>265</v>
      </c>
      <c r="F602" s="15" t="s">
        <v>1363</v>
      </c>
      <c r="G602" s="15" t="s">
        <v>74</v>
      </c>
      <c r="H602" s="15" t="s">
        <v>75</v>
      </c>
      <c r="I602" s="14">
        <v>24000</v>
      </c>
      <c r="J602" s="15" t="s">
        <v>1364</v>
      </c>
      <c r="K602" s="15" t="s">
        <v>24</v>
      </c>
      <c r="L602" s="15">
        <v>1</v>
      </c>
      <c r="M602" s="15">
        <v>1</v>
      </c>
      <c r="N602" s="15" t="s">
        <v>76</v>
      </c>
      <c r="O602" s="15" t="s">
        <v>76</v>
      </c>
      <c r="P602" s="15">
        <v>99</v>
      </c>
      <c r="Q602" s="13">
        <v>46209.533333333333</v>
      </c>
      <c r="R602" s="15" t="s">
        <v>964</v>
      </c>
      <c r="S602" s="11" t="str">
        <f t="shared" si="18"/>
        <v>2026-07-06</v>
      </c>
      <c r="T602" s="11">
        <f>IF($E602="","",IF(COUNTIF($E$2:$E602,$E602)=1,1,0))</f>
        <v>0</v>
      </c>
      <c r="U602" s="11" t="str">
        <f>IF(T602=1,SUM($T$2:T602),"")</f>
        <v/>
      </c>
      <c r="V602" s="11">
        <f>IF(OR($R602="",$R602="-"),"",IF(COUNTIF($R$2:$R602,$R602)=1,1,0))</f>
        <v>0</v>
      </c>
      <c r="W602" s="11" t="str">
        <f>IF(V602=1,SUM($V$2:V602),"")</f>
        <v/>
      </c>
      <c r="X602" s="11" t="str">
        <f t="shared" si="19"/>
        <v>SHOPEE</v>
      </c>
    </row>
    <row r="603" spans="1:24">
      <c r="A603" s="15" t="s">
        <v>79</v>
      </c>
      <c r="B603" s="15" t="s">
        <v>80</v>
      </c>
      <c r="C603" s="15" t="s">
        <v>1365</v>
      </c>
      <c r="D603" s="13">
        <v>46209.355555555558</v>
      </c>
      <c r="E603" s="15" t="s">
        <v>95</v>
      </c>
      <c r="F603" s="15" t="s">
        <v>1366</v>
      </c>
      <c r="G603" s="15" t="s">
        <v>74</v>
      </c>
      <c r="H603" s="15" t="s">
        <v>75</v>
      </c>
      <c r="I603" s="14">
        <v>16000</v>
      </c>
      <c r="J603" s="15" t="s">
        <v>842</v>
      </c>
      <c r="K603" s="15" t="s">
        <v>24</v>
      </c>
      <c r="L603" s="15">
        <v>1</v>
      </c>
      <c r="M603" s="15">
        <v>0.5</v>
      </c>
      <c r="N603" s="15" t="s">
        <v>76</v>
      </c>
      <c r="O603" s="15" t="s">
        <v>76</v>
      </c>
      <c r="P603" s="14">
        <v>73450</v>
      </c>
      <c r="Q603" s="13">
        <v>46209.355555555558</v>
      </c>
      <c r="R603" s="15" t="s">
        <v>344</v>
      </c>
      <c r="S603" s="11" t="str">
        <f t="shared" si="18"/>
        <v>2026-07-06</v>
      </c>
      <c r="T603" s="11">
        <f>IF($E603="","",IF(COUNTIF($E$2:$E603,$E603)=1,1,0))</f>
        <v>0</v>
      </c>
      <c r="U603" s="11" t="str">
        <f>IF(T603=1,SUM($T$2:T603),"")</f>
        <v/>
      </c>
      <c r="V603" s="11">
        <f>IF(OR($R603="",$R603="-"),"",IF(COUNTIF($R$2:$R603,$R603)=1,1,0))</f>
        <v>1</v>
      </c>
      <c r="W603" s="11">
        <f>IF(V603=1,SUM($V$2:V603),"")</f>
        <v>201</v>
      </c>
      <c r="X603" s="11" t="str">
        <f t="shared" si="19"/>
        <v>SHOPEE</v>
      </c>
    </row>
    <row r="604" spans="1:24">
      <c r="A604" s="15" t="s">
        <v>79</v>
      </c>
      <c r="B604" s="15" t="s">
        <v>83</v>
      </c>
      <c r="C604" s="15" t="s">
        <v>1367</v>
      </c>
      <c r="D604" s="13">
        <v>46209.354861111111</v>
      </c>
      <c r="E604" s="15" t="s">
        <v>95</v>
      </c>
      <c r="F604" s="15" t="s">
        <v>1368</v>
      </c>
      <c r="G604" s="15" t="s">
        <v>74</v>
      </c>
      <c r="H604" s="15" t="s">
        <v>75</v>
      </c>
      <c r="I604" s="14">
        <v>24000</v>
      </c>
      <c r="J604" s="15" t="s">
        <v>1369</v>
      </c>
      <c r="K604" s="15" t="s">
        <v>24</v>
      </c>
      <c r="L604" s="15">
        <v>1</v>
      </c>
      <c r="M604" s="15">
        <v>1</v>
      </c>
      <c r="N604" s="15" t="s">
        <v>76</v>
      </c>
      <c r="O604" s="15" t="s">
        <v>76</v>
      </c>
      <c r="P604" s="14">
        <v>1998000</v>
      </c>
      <c r="Q604" s="13">
        <v>46209.354861111111</v>
      </c>
      <c r="R604" s="15" t="s">
        <v>141</v>
      </c>
      <c r="S604" s="11" t="str">
        <f t="shared" si="18"/>
        <v>2026-07-06</v>
      </c>
      <c r="T604" s="11">
        <f>IF($E604="","",IF(COUNTIF($E$2:$E604,$E604)=1,1,0))</f>
        <v>0</v>
      </c>
      <c r="U604" s="11" t="str">
        <f>IF(T604=1,SUM($T$2:T604),"")</f>
        <v/>
      </c>
      <c r="V604" s="11">
        <f>IF(OR($R604="",$R604="-"),"",IF(COUNTIF($R$2:$R604,$R604)=1,1,0))</f>
        <v>0</v>
      </c>
      <c r="W604" s="11" t="str">
        <f>IF(V604=1,SUM($V$2:V604),"")</f>
        <v/>
      </c>
      <c r="X604" s="11" t="str">
        <f t="shared" si="19"/>
        <v>SHOPEE</v>
      </c>
    </row>
    <row r="605" spans="1:24">
      <c r="A605" s="15" t="s">
        <v>79</v>
      </c>
      <c r="B605" s="15" t="s">
        <v>83</v>
      </c>
      <c r="C605" s="15" t="s">
        <v>1370</v>
      </c>
      <c r="D605" s="13">
        <v>46209.335416666669</v>
      </c>
      <c r="E605" s="15" t="s">
        <v>95</v>
      </c>
      <c r="F605" s="15" t="s">
        <v>1371</v>
      </c>
      <c r="G605" s="15" t="s">
        <v>74</v>
      </c>
      <c r="H605" s="15" t="s">
        <v>75</v>
      </c>
      <c r="I605" s="14">
        <v>21000</v>
      </c>
      <c r="J605" s="15" t="s">
        <v>260</v>
      </c>
      <c r="K605" s="15" t="s">
        <v>24</v>
      </c>
      <c r="L605" s="15">
        <v>3</v>
      </c>
      <c r="M605" s="15">
        <v>0.15</v>
      </c>
      <c r="N605" s="15" t="s">
        <v>76</v>
      </c>
      <c r="O605" s="15" t="s">
        <v>76</v>
      </c>
      <c r="P605" s="14">
        <v>90000</v>
      </c>
      <c r="Q605" s="13">
        <v>46209.336111111108</v>
      </c>
      <c r="R605" s="15" t="s">
        <v>152</v>
      </c>
      <c r="S605" s="11" t="str">
        <f t="shared" si="18"/>
        <v>2026-07-06</v>
      </c>
      <c r="T605" s="11">
        <f>IF($E605="","",IF(COUNTIF($E$2:$E605,$E605)=1,1,0))</f>
        <v>0</v>
      </c>
      <c r="U605" s="11" t="str">
        <f>IF(T605=1,SUM($T$2:T605),"")</f>
        <v/>
      </c>
      <c r="V605" s="11">
        <f>IF(OR($R605="",$R605="-"),"",IF(COUNTIF($R$2:$R605,$R605)=1,1,0))</f>
        <v>1</v>
      </c>
      <c r="W605" s="11">
        <f>IF(V605=1,SUM($V$2:V605),"")</f>
        <v>202</v>
      </c>
      <c r="X605" s="11" t="str">
        <f t="shared" si="19"/>
        <v>SHOPEE</v>
      </c>
    </row>
    <row r="606" spans="1:24">
      <c r="A606" s="15" t="s">
        <v>79</v>
      </c>
      <c r="B606" s="15" t="s">
        <v>83</v>
      </c>
      <c r="C606" s="15" t="s">
        <v>1370</v>
      </c>
      <c r="D606" s="13">
        <v>46209.335416666669</v>
      </c>
      <c r="E606" s="15" t="s">
        <v>95</v>
      </c>
      <c r="F606" s="15" t="s">
        <v>1372</v>
      </c>
      <c r="G606" s="15" t="s">
        <v>74</v>
      </c>
      <c r="H606" s="15" t="s">
        <v>75</v>
      </c>
      <c r="I606" s="14">
        <v>6000</v>
      </c>
      <c r="J606" s="15" t="s">
        <v>278</v>
      </c>
      <c r="K606" s="15" t="s">
        <v>27</v>
      </c>
      <c r="L606" s="15">
        <v>1</v>
      </c>
      <c r="M606" s="15">
        <v>0.05</v>
      </c>
      <c r="N606" s="15" t="s">
        <v>76</v>
      </c>
      <c r="O606" s="15" t="s">
        <v>76</v>
      </c>
      <c r="P606" s="14">
        <v>30000</v>
      </c>
      <c r="Q606" s="13">
        <v>46209.336111111108</v>
      </c>
      <c r="R606" s="15" t="s">
        <v>152</v>
      </c>
      <c r="S606" s="11" t="str">
        <f t="shared" si="18"/>
        <v>2026-07-06</v>
      </c>
      <c r="T606" s="11">
        <f>IF($E606="","",IF(COUNTIF($E$2:$E606,$E606)=1,1,0))</f>
        <v>0</v>
      </c>
      <c r="U606" s="11" t="str">
        <f>IF(T606=1,SUM($T$2:T606),"")</f>
        <v/>
      </c>
      <c r="V606" s="11">
        <f>IF(OR($R606="",$R606="-"),"",IF(COUNTIF($R$2:$R606,$R606)=1,1,0))</f>
        <v>0</v>
      </c>
      <c r="W606" s="11" t="str">
        <f>IF(V606=1,SUM($V$2:V606),"")</f>
        <v/>
      </c>
      <c r="X606" s="11" t="str">
        <f t="shared" si="19"/>
        <v>SHOPEE</v>
      </c>
    </row>
    <row r="607" spans="1:24">
      <c r="A607" s="15" t="s">
        <v>1373</v>
      </c>
      <c r="B607" s="15" t="s">
        <v>250</v>
      </c>
      <c r="C607" s="15" t="s">
        <v>1374</v>
      </c>
      <c r="D607" s="13">
        <v>46209.29791666667</v>
      </c>
      <c r="E607" s="15" t="s">
        <v>95</v>
      </c>
      <c r="F607" s="15" t="s">
        <v>1375</v>
      </c>
      <c r="G607" s="15" t="s">
        <v>74</v>
      </c>
      <c r="H607" s="15" t="s">
        <v>75</v>
      </c>
      <c r="I607" s="14">
        <v>12000</v>
      </c>
      <c r="J607" s="15" t="s">
        <v>209</v>
      </c>
      <c r="K607" s="15" t="s">
        <v>24</v>
      </c>
      <c r="L607" s="15">
        <v>1</v>
      </c>
      <c r="M607" s="15">
        <v>1</v>
      </c>
      <c r="N607" s="15" t="s">
        <v>76</v>
      </c>
      <c r="O607" s="15" t="s">
        <v>76</v>
      </c>
      <c r="P607" s="14">
        <v>80000</v>
      </c>
      <c r="Q607" s="13">
        <v>46209.29791666667</v>
      </c>
      <c r="R607" s="15" t="s">
        <v>1376</v>
      </c>
      <c r="S607" s="11" t="str">
        <f t="shared" si="18"/>
        <v>2026-07-06</v>
      </c>
      <c r="T607" s="11">
        <f>IF($E607="","",IF(COUNTIF($E$2:$E607,$E607)=1,1,0))</f>
        <v>0</v>
      </c>
      <c r="U607" s="11" t="str">
        <f>IF(T607=1,SUM($T$2:T607),"")</f>
        <v/>
      </c>
      <c r="V607" s="11">
        <f>IF(OR($R607="",$R607="-"),"",IF(COUNTIF($R$2:$R607,$R607)=1,1,0))</f>
        <v>1</v>
      </c>
      <c r="W607" s="11">
        <f>IF(V607=1,SUM($V$2:V607),"")</f>
        <v>203</v>
      </c>
      <c r="X607" s="11" t="str">
        <f t="shared" si="19"/>
        <v>TOKOPEDIA</v>
      </c>
    </row>
    <row r="608" spans="1:24">
      <c r="A608" s="15" t="s">
        <v>79</v>
      </c>
      <c r="B608" s="15" t="s">
        <v>83</v>
      </c>
      <c r="C608" s="15" t="s">
        <v>1377</v>
      </c>
      <c r="D608" s="13">
        <v>46208.713194444441</v>
      </c>
      <c r="E608" s="15" t="s">
        <v>73</v>
      </c>
      <c r="F608" s="15" t="s">
        <v>1378</v>
      </c>
      <c r="G608" s="15" t="s">
        <v>74</v>
      </c>
      <c r="H608" s="15" t="s">
        <v>75</v>
      </c>
      <c r="I608" s="14">
        <v>6000</v>
      </c>
      <c r="J608" s="15" t="s">
        <v>164</v>
      </c>
      <c r="K608" s="15" t="s">
        <v>27</v>
      </c>
      <c r="L608" s="15">
        <v>4</v>
      </c>
      <c r="M608" s="15">
        <v>0.4</v>
      </c>
      <c r="N608" s="15" t="s">
        <v>76</v>
      </c>
      <c r="O608" s="15" t="s">
        <v>76</v>
      </c>
      <c r="P608" s="14">
        <v>28000</v>
      </c>
      <c r="Q608" s="13">
        <v>46208.713888888888</v>
      </c>
      <c r="R608" s="15" t="s">
        <v>173</v>
      </c>
      <c r="S608" s="11" t="str">
        <f t="shared" si="18"/>
        <v>2026-07-05</v>
      </c>
      <c r="T608" s="11">
        <f>IF($E608="","",IF(COUNTIF($E$2:$E608,$E608)=1,1,0))</f>
        <v>0</v>
      </c>
      <c r="U608" s="11" t="str">
        <f>IF(T608=1,SUM($T$2:T608),"")</f>
        <v/>
      </c>
      <c r="V608" s="11">
        <f>IF(OR($R608="",$R608="-"),"",IF(COUNTIF($R$2:$R608,$R608)=1,1,0))</f>
        <v>1</v>
      </c>
      <c r="W608" s="11">
        <f>IF(V608=1,SUM($V$2:V608),"")</f>
        <v>204</v>
      </c>
      <c r="X608" s="11" t="str">
        <f t="shared" si="19"/>
        <v>SHOPEE</v>
      </c>
    </row>
    <row r="609" spans="1:24">
      <c r="A609" s="15" t="s">
        <v>79</v>
      </c>
      <c r="B609" s="15" t="s">
        <v>83</v>
      </c>
      <c r="C609" s="15" t="s">
        <v>1377</v>
      </c>
      <c r="D609" s="13">
        <v>46208.713194444441</v>
      </c>
      <c r="E609" s="15" t="s">
        <v>73</v>
      </c>
      <c r="F609" s="15" t="s">
        <v>1379</v>
      </c>
      <c r="G609" s="15" t="s">
        <v>74</v>
      </c>
      <c r="H609" s="15" t="s">
        <v>75</v>
      </c>
      <c r="I609" s="14">
        <v>12000</v>
      </c>
      <c r="J609" s="15" t="s">
        <v>115</v>
      </c>
      <c r="K609" s="15" t="s">
        <v>24</v>
      </c>
      <c r="L609" s="15">
        <v>1</v>
      </c>
      <c r="M609" s="15">
        <v>1</v>
      </c>
      <c r="N609" s="15" t="s">
        <v>76</v>
      </c>
      <c r="O609" s="15" t="s">
        <v>76</v>
      </c>
      <c r="P609" s="14">
        <v>63000</v>
      </c>
      <c r="Q609" s="13">
        <v>46208.713888888888</v>
      </c>
      <c r="R609" s="15" t="s">
        <v>184</v>
      </c>
      <c r="S609" s="11" t="str">
        <f t="shared" si="18"/>
        <v>2026-07-05</v>
      </c>
      <c r="T609" s="11">
        <f>IF($E609="","",IF(COUNTIF($E$2:$E609,$E609)=1,1,0))</f>
        <v>0</v>
      </c>
      <c r="U609" s="11" t="str">
        <f>IF(T609=1,SUM($T$2:T609),"")</f>
        <v/>
      </c>
      <c r="V609" s="11">
        <f>IF(OR($R609="",$R609="-"),"",IF(COUNTIF($R$2:$R609,$R609)=1,1,0))</f>
        <v>0</v>
      </c>
      <c r="W609" s="11" t="str">
        <f>IF(V609=1,SUM($V$2:V609),"")</f>
        <v/>
      </c>
      <c r="X609" s="11" t="str">
        <f t="shared" si="19"/>
        <v>SHOPEE</v>
      </c>
    </row>
    <row r="610" spans="1:24">
      <c r="A610" s="15" t="s">
        <v>79</v>
      </c>
      <c r="B610" s="15" t="s">
        <v>80</v>
      </c>
      <c r="C610" s="15" t="s">
        <v>1380</v>
      </c>
      <c r="D610" s="13">
        <v>46208.507638888892</v>
      </c>
      <c r="E610" s="15" t="s">
        <v>111</v>
      </c>
      <c r="F610" s="15" t="s">
        <v>1381</v>
      </c>
      <c r="G610" s="15" t="s">
        <v>74</v>
      </c>
      <c r="H610" s="15" t="s">
        <v>75</v>
      </c>
      <c r="I610" s="14">
        <v>12000</v>
      </c>
      <c r="J610" s="15" t="s">
        <v>115</v>
      </c>
      <c r="K610" s="15" t="s">
        <v>24</v>
      </c>
      <c r="L610" s="15">
        <v>1</v>
      </c>
      <c r="M610" s="15">
        <v>0.3</v>
      </c>
      <c r="N610" s="15" t="s">
        <v>76</v>
      </c>
      <c r="O610" s="15" t="s">
        <v>76</v>
      </c>
      <c r="P610" s="14">
        <v>81950</v>
      </c>
      <c r="Q610" s="13">
        <v>46208.507638888892</v>
      </c>
      <c r="R610" s="15" t="s">
        <v>428</v>
      </c>
      <c r="S610" s="11" t="str">
        <f t="shared" si="18"/>
        <v>2026-07-05</v>
      </c>
      <c r="T610" s="11">
        <f>IF($E610="","",IF(COUNTIF($E$2:$E610,$E610)=1,1,0))</f>
        <v>0</v>
      </c>
      <c r="U610" s="11" t="str">
        <f>IF(T610=1,SUM($T$2:T610),"")</f>
        <v/>
      </c>
      <c r="V610" s="11">
        <f>IF(OR($R610="",$R610="-"),"",IF(COUNTIF($R$2:$R610,$R610)=1,1,0))</f>
        <v>0</v>
      </c>
      <c r="W610" s="11" t="str">
        <f>IF(V610=1,SUM($V$2:V610),"")</f>
        <v/>
      </c>
      <c r="X610" s="11" t="str">
        <f t="shared" si="19"/>
        <v>SHOPEE</v>
      </c>
    </row>
    <row r="611" spans="1:24">
      <c r="A611" s="15" t="s">
        <v>79</v>
      </c>
      <c r="B611" s="15" t="s">
        <v>83</v>
      </c>
      <c r="C611" s="15" t="s">
        <v>1382</v>
      </c>
      <c r="D611" s="13">
        <v>46208.464583333334</v>
      </c>
      <c r="E611" s="15" t="s">
        <v>111</v>
      </c>
      <c r="F611" s="15" t="s">
        <v>1383</v>
      </c>
      <c r="G611" s="15" t="s">
        <v>74</v>
      </c>
      <c r="H611" s="15" t="s">
        <v>75</v>
      </c>
      <c r="I611" s="14">
        <v>35000</v>
      </c>
      <c r="J611" s="15" t="s">
        <v>240</v>
      </c>
      <c r="K611" s="15" t="s">
        <v>26</v>
      </c>
      <c r="L611" s="15">
        <v>1</v>
      </c>
      <c r="M611" s="15">
        <v>6</v>
      </c>
      <c r="N611" s="15" t="s">
        <v>76</v>
      </c>
      <c r="O611" s="15" t="s">
        <v>76</v>
      </c>
      <c r="P611" s="14">
        <v>7120000</v>
      </c>
      <c r="Q611" s="13">
        <v>46208.464583333334</v>
      </c>
      <c r="R611" s="15" t="s">
        <v>287</v>
      </c>
      <c r="S611" s="11" t="str">
        <f t="shared" si="18"/>
        <v>2026-07-05</v>
      </c>
      <c r="T611" s="11">
        <f>IF($E611="","",IF(COUNTIF($E$2:$E611,$E611)=1,1,0))</f>
        <v>0</v>
      </c>
      <c r="U611" s="11" t="str">
        <f>IF(T611=1,SUM($T$2:T611),"")</f>
        <v/>
      </c>
      <c r="V611" s="11">
        <f>IF(OR($R611="",$R611="-"),"",IF(COUNTIF($R$2:$R611,$R611)=1,1,0))</f>
        <v>0</v>
      </c>
      <c r="W611" s="11" t="str">
        <f>IF(V611=1,SUM($V$2:V611),"")</f>
        <v/>
      </c>
      <c r="X611" s="11" t="str">
        <f t="shared" si="19"/>
        <v>SHOPEE</v>
      </c>
    </row>
    <row r="612" spans="1:24">
      <c r="A612" s="15" t="s">
        <v>79</v>
      </c>
      <c r="B612" s="15" t="s">
        <v>80</v>
      </c>
      <c r="C612" s="15" t="s">
        <v>1384</v>
      </c>
      <c r="D612" s="13">
        <v>46208.463888888888</v>
      </c>
      <c r="E612" s="15" t="s">
        <v>111</v>
      </c>
      <c r="F612" s="15" t="s">
        <v>1385</v>
      </c>
      <c r="G612" s="15" t="s">
        <v>74</v>
      </c>
      <c r="H612" s="15" t="s">
        <v>75</v>
      </c>
      <c r="I612" s="14">
        <v>12000</v>
      </c>
      <c r="J612" s="15" t="s">
        <v>128</v>
      </c>
      <c r="K612" s="15" t="s">
        <v>24</v>
      </c>
      <c r="L612" s="15">
        <v>1</v>
      </c>
      <c r="M612" s="15">
        <v>0.03</v>
      </c>
      <c r="N612" s="15" t="s">
        <v>76</v>
      </c>
      <c r="O612" s="15" t="s">
        <v>76</v>
      </c>
      <c r="P612" s="14">
        <v>62000</v>
      </c>
      <c r="Q612" s="13">
        <v>46208.463888888888</v>
      </c>
      <c r="R612" s="15" t="s">
        <v>304</v>
      </c>
      <c r="S612" s="11" t="str">
        <f t="shared" si="18"/>
        <v>2026-07-05</v>
      </c>
      <c r="T612" s="11">
        <f>IF($E612="","",IF(COUNTIF($E$2:$E612,$E612)=1,1,0))</f>
        <v>0</v>
      </c>
      <c r="U612" s="11" t="str">
        <f>IF(T612=1,SUM($T$2:T612),"")</f>
        <v/>
      </c>
      <c r="V612" s="11">
        <f>IF(OR($R612="",$R612="-"),"",IF(COUNTIF($R$2:$R612,$R612)=1,1,0))</f>
        <v>0</v>
      </c>
      <c r="W612" s="11" t="str">
        <f>IF(V612=1,SUM($V$2:V612),"")</f>
        <v/>
      </c>
      <c r="X612" s="11" t="str">
        <f t="shared" si="19"/>
        <v>SHOPEE</v>
      </c>
    </row>
    <row r="613" spans="1:24">
      <c r="A613" s="15" t="s">
        <v>79</v>
      </c>
      <c r="B613" s="15" t="s">
        <v>83</v>
      </c>
      <c r="C613" s="15" t="s">
        <v>1386</v>
      </c>
      <c r="D613" s="13">
        <v>46208.455555555556</v>
      </c>
      <c r="E613" s="15" t="s">
        <v>111</v>
      </c>
      <c r="F613" s="15" t="s">
        <v>1387</v>
      </c>
      <c r="G613" s="15" t="s">
        <v>74</v>
      </c>
      <c r="H613" s="15" t="s">
        <v>75</v>
      </c>
      <c r="I613" s="14">
        <v>21000</v>
      </c>
      <c r="J613" s="15" t="s">
        <v>991</v>
      </c>
      <c r="K613" s="15" t="s">
        <v>24</v>
      </c>
      <c r="L613" s="15">
        <v>1</v>
      </c>
      <c r="M613" s="15">
        <v>1</v>
      </c>
      <c r="N613" s="15" t="s">
        <v>76</v>
      </c>
      <c r="O613" s="15" t="s">
        <v>76</v>
      </c>
      <c r="P613" s="15">
        <v>99</v>
      </c>
      <c r="Q613" s="13">
        <v>46208.455555555556</v>
      </c>
      <c r="R613" s="15" t="s">
        <v>189</v>
      </c>
      <c r="S613" s="11" t="str">
        <f t="shared" si="18"/>
        <v>2026-07-05</v>
      </c>
      <c r="T613" s="11">
        <f>IF($E613="","",IF(COUNTIF($E$2:$E613,$E613)=1,1,0))</f>
        <v>0</v>
      </c>
      <c r="U613" s="11" t="str">
        <f>IF(T613=1,SUM($T$2:T613),"")</f>
        <v/>
      </c>
      <c r="V613" s="11">
        <f>IF(OR($R613="",$R613="-"),"",IF(COUNTIF($R$2:$R613,$R613)=1,1,0))</f>
        <v>0</v>
      </c>
      <c r="W613" s="11" t="str">
        <f>IF(V613=1,SUM($V$2:V613),"")</f>
        <v/>
      </c>
      <c r="X613" s="11" t="str">
        <f t="shared" si="19"/>
        <v>SHOPEE</v>
      </c>
    </row>
    <row r="614" spans="1:24">
      <c r="A614" s="15" t="s">
        <v>79</v>
      </c>
      <c r="B614" s="15" t="s">
        <v>80</v>
      </c>
      <c r="C614" s="15" t="s">
        <v>1388</v>
      </c>
      <c r="D614" s="13">
        <v>46208.418055555558</v>
      </c>
      <c r="E614" s="15" t="s">
        <v>111</v>
      </c>
      <c r="F614" s="15" t="s">
        <v>1389</v>
      </c>
      <c r="G614" s="15" t="s">
        <v>74</v>
      </c>
      <c r="H614" s="15" t="s">
        <v>75</v>
      </c>
      <c r="I614" s="14">
        <v>12000</v>
      </c>
      <c r="J614" s="15" t="s">
        <v>169</v>
      </c>
      <c r="K614" s="15" t="s">
        <v>24</v>
      </c>
      <c r="L614" s="15">
        <v>1</v>
      </c>
      <c r="M614" s="15">
        <v>0.03</v>
      </c>
      <c r="N614" s="15" t="s">
        <v>76</v>
      </c>
      <c r="O614" s="15" t="s">
        <v>76</v>
      </c>
      <c r="P614" s="14">
        <v>6999</v>
      </c>
      <c r="Q614" s="13">
        <v>46208.418749999997</v>
      </c>
      <c r="R614" s="15" t="s">
        <v>284</v>
      </c>
      <c r="S614" s="11" t="str">
        <f t="shared" si="18"/>
        <v>2026-07-05</v>
      </c>
      <c r="T614" s="11">
        <f>IF($E614="","",IF(COUNTIF($E$2:$E614,$E614)=1,1,0))</f>
        <v>0</v>
      </c>
      <c r="U614" s="11" t="str">
        <f>IF(T614=1,SUM($T$2:T614),"")</f>
        <v/>
      </c>
      <c r="V614" s="11">
        <f>IF(OR($R614="",$R614="-"),"",IF(COUNTIF($R$2:$R614,$R614)=1,1,0))</f>
        <v>0</v>
      </c>
      <c r="W614" s="11" t="str">
        <f>IF(V614=1,SUM($V$2:V614),"")</f>
        <v/>
      </c>
      <c r="X614" s="11" t="str">
        <f t="shared" si="19"/>
        <v>SHOPEE</v>
      </c>
    </row>
    <row r="615" spans="1:24">
      <c r="A615" s="15" t="s">
        <v>79</v>
      </c>
      <c r="B615" s="15" t="s">
        <v>80</v>
      </c>
      <c r="C615" s="15" t="s">
        <v>1388</v>
      </c>
      <c r="D615" s="13">
        <v>46208.418055555558</v>
      </c>
      <c r="E615" s="15" t="s">
        <v>111</v>
      </c>
      <c r="F615" s="15" t="s">
        <v>1390</v>
      </c>
      <c r="G615" s="15" t="s">
        <v>74</v>
      </c>
      <c r="H615" s="15" t="s">
        <v>75</v>
      </c>
      <c r="I615" s="14">
        <v>12000</v>
      </c>
      <c r="J615" s="15" t="s">
        <v>261</v>
      </c>
      <c r="K615" s="15" t="s">
        <v>24</v>
      </c>
      <c r="L615" s="15">
        <v>2</v>
      </c>
      <c r="M615" s="15">
        <v>0.13</v>
      </c>
      <c r="N615" s="15" t="s">
        <v>76</v>
      </c>
      <c r="O615" s="15" t="s">
        <v>76</v>
      </c>
      <c r="P615" s="14">
        <v>4400</v>
      </c>
      <c r="Q615" s="13">
        <v>46208.418749999997</v>
      </c>
      <c r="R615" s="15" t="s">
        <v>284</v>
      </c>
      <c r="S615" s="11" t="str">
        <f t="shared" si="18"/>
        <v>2026-07-05</v>
      </c>
      <c r="T615" s="11">
        <f>IF($E615="","",IF(COUNTIF($E$2:$E615,$E615)=1,1,0))</f>
        <v>0</v>
      </c>
      <c r="U615" s="11" t="str">
        <f>IF(T615=1,SUM($T$2:T615),"")</f>
        <v/>
      </c>
      <c r="V615" s="11">
        <f>IF(OR($R615="",$R615="-"),"",IF(COUNTIF($R$2:$R615,$R615)=1,1,0))</f>
        <v>0</v>
      </c>
      <c r="W615" s="11" t="str">
        <f>IF(V615=1,SUM($V$2:V615),"")</f>
        <v/>
      </c>
      <c r="X615" s="11" t="str">
        <f t="shared" si="19"/>
        <v>SHOPEE</v>
      </c>
    </row>
    <row r="616" spans="1:24">
      <c r="A616" s="15" t="s">
        <v>79</v>
      </c>
      <c r="B616" s="15" t="s">
        <v>80</v>
      </c>
      <c r="C616" s="15" t="s">
        <v>1388</v>
      </c>
      <c r="D616" s="13">
        <v>46208.418055555558</v>
      </c>
      <c r="E616" s="15" t="s">
        <v>111</v>
      </c>
      <c r="F616" s="15" t="s">
        <v>1391</v>
      </c>
      <c r="G616" s="15" t="s">
        <v>74</v>
      </c>
      <c r="H616" s="15" t="s">
        <v>75</v>
      </c>
      <c r="I616" s="14">
        <v>12000</v>
      </c>
      <c r="J616" s="15" t="s">
        <v>253</v>
      </c>
      <c r="K616" s="15" t="s">
        <v>24</v>
      </c>
      <c r="L616" s="15">
        <v>1</v>
      </c>
      <c r="M616" s="15">
        <v>0.09</v>
      </c>
      <c r="N616" s="15" t="s">
        <v>76</v>
      </c>
      <c r="O616" s="15" t="s">
        <v>76</v>
      </c>
      <c r="P616" s="14">
        <v>38950</v>
      </c>
      <c r="Q616" s="13">
        <v>46208.418749999997</v>
      </c>
      <c r="R616" s="15" t="s">
        <v>284</v>
      </c>
      <c r="S616" s="11" t="str">
        <f t="shared" si="18"/>
        <v>2026-07-05</v>
      </c>
      <c r="T616" s="11">
        <f>IF($E616="","",IF(COUNTIF($E$2:$E616,$E616)=1,1,0))</f>
        <v>0</v>
      </c>
      <c r="U616" s="11" t="str">
        <f>IF(T616=1,SUM($T$2:T616),"")</f>
        <v/>
      </c>
      <c r="V616" s="11">
        <f>IF(OR($R616="",$R616="-"),"",IF(COUNTIF($R$2:$R616,$R616)=1,1,0))</f>
        <v>0</v>
      </c>
      <c r="W616" s="11" t="str">
        <f>IF(V616=1,SUM($V$2:V616),"")</f>
        <v/>
      </c>
      <c r="X616" s="11" t="str">
        <f t="shared" si="19"/>
        <v>SHOPEE</v>
      </c>
    </row>
    <row r="617" spans="1:24">
      <c r="A617" s="15" t="s">
        <v>79</v>
      </c>
      <c r="B617" s="15" t="s">
        <v>83</v>
      </c>
      <c r="C617" s="15" t="s">
        <v>1392</v>
      </c>
      <c r="D617" s="13">
        <v>46207.744444444441</v>
      </c>
      <c r="E617" s="15" t="s">
        <v>73</v>
      </c>
      <c r="F617" s="15" t="s">
        <v>1393</v>
      </c>
      <c r="G617" s="15" t="s">
        <v>74</v>
      </c>
      <c r="H617" s="15" t="s">
        <v>75</v>
      </c>
      <c r="I617" s="14">
        <v>21500</v>
      </c>
      <c r="J617" s="15" t="s">
        <v>1394</v>
      </c>
      <c r="K617" s="15" t="s">
        <v>27</v>
      </c>
      <c r="L617" s="15">
        <v>5</v>
      </c>
      <c r="M617" s="15">
        <v>0.05</v>
      </c>
      <c r="N617" s="15" t="s">
        <v>76</v>
      </c>
      <c r="O617" s="15" t="s">
        <v>76</v>
      </c>
      <c r="P617" s="14">
        <v>19110</v>
      </c>
      <c r="Q617" s="13">
        <v>46207.744444444441</v>
      </c>
      <c r="R617" s="15" t="s">
        <v>131</v>
      </c>
      <c r="S617" s="11" t="str">
        <f t="shared" si="18"/>
        <v>2026-07-04</v>
      </c>
      <c r="T617" s="11">
        <f>IF($E617="","",IF(COUNTIF($E$2:$E617,$E617)=1,1,0))</f>
        <v>0</v>
      </c>
      <c r="U617" s="11" t="str">
        <f>IF(T617=1,SUM($T$2:T617),"")</f>
        <v/>
      </c>
      <c r="V617" s="11">
        <f>IF(OR($R617="",$R617="-"),"",IF(COUNTIF($R$2:$R617,$R617)=1,1,0))</f>
        <v>1</v>
      </c>
      <c r="W617" s="11">
        <f>IF(V617=1,SUM($V$2:V617),"")</f>
        <v>205</v>
      </c>
      <c r="X617" s="11" t="str">
        <f t="shared" si="19"/>
        <v>SHOPEE</v>
      </c>
    </row>
    <row r="618" spans="1:24">
      <c r="A618" s="15" t="s">
        <v>124</v>
      </c>
      <c r="B618" s="15" t="s">
        <v>72</v>
      </c>
      <c r="C618" s="15" t="s">
        <v>1395</v>
      </c>
      <c r="D618" s="13">
        <v>46207.712500000001</v>
      </c>
      <c r="E618" s="15" t="s">
        <v>73</v>
      </c>
      <c r="F618" s="15" t="s">
        <v>1396</v>
      </c>
      <c r="G618" s="15" t="s">
        <v>74</v>
      </c>
      <c r="H618" s="15" t="s">
        <v>75</v>
      </c>
      <c r="I618" s="14">
        <v>12000</v>
      </c>
      <c r="J618" s="15" t="s">
        <v>113</v>
      </c>
      <c r="K618" s="15" t="s">
        <v>24</v>
      </c>
      <c r="L618" s="15">
        <v>1</v>
      </c>
      <c r="M618" s="15">
        <v>0.68</v>
      </c>
      <c r="N618" s="15" t="s">
        <v>76</v>
      </c>
      <c r="O618" s="15" t="s">
        <v>76</v>
      </c>
      <c r="P618" s="14">
        <v>862714</v>
      </c>
      <c r="Q618" s="13">
        <v>46207.712500000001</v>
      </c>
      <c r="R618" s="15" t="s">
        <v>126</v>
      </c>
      <c r="S618" s="11" t="str">
        <f t="shared" si="18"/>
        <v>2026-07-04</v>
      </c>
      <c r="T618" s="11">
        <f>IF($E618="","",IF(COUNTIF($E$2:$E618,$E618)=1,1,0))</f>
        <v>0</v>
      </c>
      <c r="U618" s="11" t="str">
        <f>IF(T618=1,SUM($T$2:T618),"")</f>
        <v/>
      </c>
      <c r="V618" s="11">
        <f>IF(OR($R618="",$R618="-"),"",IF(COUNTIF($R$2:$R618,$R618)=1,1,0))</f>
        <v>0</v>
      </c>
      <c r="W618" s="11" t="str">
        <f>IF(V618=1,SUM($V$2:V618),"")</f>
        <v/>
      </c>
      <c r="X618" s="11" t="str">
        <f t="shared" si="19"/>
        <v>TOKOPEDIA</v>
      </c>
    </row>
    <row r="619" spans="1:24">
      <c r="A619" s="15" t="s">
        <v>79</v>
      </c>
      <c r="B619" s="15" t="s">
        <v>83</v>
      </c>
      <c r="C619" s="15" t="s">
        <v>1397</v>
      </c>
      <c r="D619" s="13">
        <v>46207.676388888889</v>
      </c>
      <c r="E619" s="15" t="s">
        <v>73</v>
      </c>
      <c r="F619" s="15" t="s">
        <v>1398</v>
      </c>
      <c r="G619" s="15" t="s">
        <v>74</v>
      </c>
      <c r="H619" s="15" t="s">
        <v>75</v>
      </c>
      <c r="I619" s="14">
        <v>12000</v>
      </c>
      <c r="J619" s="15" t="s">
        <v>323</v>
      </c>
      <c r="K619" s="15" t="s">
        <v>24</v>
      </c>
      <c r="L619" s="15">
        <v>1</v>
      </c>
      <c r="M619" s="15">
        <v>1</v>
      </c>
      <c r="N619" s="15" t="s">
        <v>76</v>
      </c>
      <c r="O619" s="15" t="s">
        <v>76</v>
      </c>
      <c r="P619" s="14">
        <v>70000</v>
      </c>
      <c r="Q619" s="13">
        <v>46207.676388888889</v>
      </c>
      <c r="R619" s="15" t="s">
        <v>184</v>
      </c>
      <c r="S619" s="11" t="str">
        <f t="shared" si="18"/>
        <v>2026-07-04</v>
      </c>
      <c r="T619" s="11">
        <f>IF($E619="","",IF(COUNTIF($E$2:$E619,$E619)=1,1,0))</f>
        <v>0</v>
      </c>
      <c r="U619" s="11" t="str">
        <f>IF(T619=1,SUM($T$2:T619),"")</f>
        <v/>
      </c>
      <c r="V619" s="11">
        <f>IF(OR($R619="",$R619="-"),"",IF(COUNTIF($R$2:$R619,$R619)=1,1,0))</f>
        <v>0</v>
      </c>
      <c r="W619" s="11" t="str">
        <f>IF(V619=1,SUM($V$2:V619),"")</f>
        <v/>
      </c>
      <c r="X619" s="11" t="str">
        <f t="shared" si="19"/>
        <v>SHOPEE</v>
      </c>
    </row>
    <row r="620" spans="1:24">
      <c r="A620" s="15" t="s">
        <v>79</v>
      </c>
      <c r="B620" s="15" t="s">
        <v>83</v>
      </c>
      <c r="C620" s="15" t="s">
        <v>1399</v>
      </c>
      <c r="D620" s="13">
        <v>46207.668749999997</v>
      </c>
      <c r="E620" s="15" t="s">
        <v>73</v>
      </c>
      <c r="F620" s="15" t="s">
        <v>1400</v>
      </c>
      <c r="G620" s="15" t="s">
        <v>74</v>
      </c>
      <c r="H620" s="15" t="s">
        <v>75</v>
      </c>
      <c r="I620" s="14">
        <v>119000</v>
      </c>
      <c r="J620" s="15" t="s">
        <v>1401</v>
      </c>
      <c r="K620" s="15" t="s">
        <v>24</v>
      </c>
      <c r="L620" s="15">
        <v>75</v>
      </c>
      <c r="M620" s="15">
        <v>0.65</v>
      </c>
      <c r="N620" s="15" t="s">
        <v>76</v>
      </c>
      <c r="O620" s="15" t="s">
        <v>76</v>
      </c>
      <c r="P620" s="14">
        <v>294750</v>
      </c>
      <c r="Q620" s="13">
        <v>46207.668749999997</v>
      </c>
      <c r="R620" s="15" t="s">
        <v>131</v>
      </c>
      <c r="S620" s="11" t="str">
        <f t="shared" si="18"/>
        <v>2026-07-04</v>
      </c>
      <c r="T620" s="11">
        <f>IF($E620="","",IF(COUNTIF($E$2:$E620,$E620)=1,1,0))</f>
        <v>0</v>
      </c>
      <c r="U620" s="11" t="str">
        <f>IF(T620=1,SUM($T$2:T620),"")</f>
        <v/>
      </c>
      <c r="V620" s="11">
        <f>IF(OR($R620="",$R620="-"),"",IF(COUNTIF($R$2:$R620,$R620)=1,1,0))</f>
        <v>0</v>
      </c>
      <c r="W620" s="11" t="str">
        <f>IF(V620=1,SUM($V$2:V620),"")</f>
        <v/>
      </c>
      <c r="X620" s="11" t="str">
        <f t="shared" si="19"/>
        <v>SHOPEE</v>
      </c>
    </row>
    <row r="621" spans="1:24">
      <c r="A621" s="15" t="s">
        <v>79</v>
      </c>
      <c r="B621" s="15" t="s">
        <v>83</v>
      </c>
      <c r="C621" s="15" t="s">
        <v>1402</v>
      </c>
      <c r="D621" s="13">
        <v>46207.668055555558</v>
      </c>
      <c r="E621" s="15" t="s">
        <v>265</v>
      </c>
      <c r="F621" s="15" t="s">
        <v>1408</v>
      </c>
      <c r="G621" s="15" t="s">
        <v>74</v>
      </c>
      <c r="H621" s="15" t="s">
        <v>75</v>
      </c>
      <c r="I621" s="14">
        <v>24000</v>
      </c>
      <c r="J621" s="15" t="s">
        <v>105</v>
      </c>
      <c r="K621" s="15" t="s">
        <v>24</v>
      </c>
      <c r="L621" s="15">
        <v>3</v>
      </c>
      <c r="M621" s="15">
        <v>1.59</v>
      </c>
      <c r="N621" s="15" t="s">
        <v>76</v>
      </c>
      <c r="O621" s="15" t="s">
        <v>76</v>
      </c>
      <c r="P621" s="14">
        <v>241203</v>
      </c>
      <c r="Q621" s="13">
        <v>46207.668749999997</v>
      </c>
      <c r="R621" s="15" t="s">
        <v>109</v>
      </c>
      <c r="S621" s="11" t="str">
        <f t="shared" si="18"/>
        <v>2026-07-04</v>
      </c>
      <c r="T621" s="11">
        <f>IF($E621="","",IF(COUNTIF($E$2:$E621,$E621)=1,1,0))</f>
        <v>0</v>
      </c>
      <c r="U621" s="11" t="str">
        <f>IF(T621=1,SUM($T$2:T621),"")</f>
        <v/>
      </c>
      <c r="V621" s="11">
        <f>IF(OR($R621="",$R621="-"),"",IF(COUNTIF($R$2:$R621,$R621)=1,1,0))</f>
        <v>0</v>
      </c>
      <c r="W621" s="11" t="str">
        <f>IF(V621=1,SUM($V$2:V621),"")</f>
        <v/>
      </c>
      <c r="X621" s="11" t="str">
        <f t="shared" si="19"/>
        <v>SHOPEE</v>
      </c>
    </row>
    <row r="622" spans="1:24">
      <c r="A622" s="15" t="s">
        <v>79</v>
      </c>
      <c r="B622" s="15" t="s">
        <v>83</v>
      </c>
      <c r="C622" s="15" t="s">
        <v>1402</v>
      </c>
      <c r="D622" s="13">
        <v>46207.668055555558</v>
      </c>
      <c r="E622" s="15" t="s">
        <v>265</v>
      </c>
      <c r="F622" s="15" t="s">
        <v>1406</v>
      </c>
      <c r="G622" s="15" t="s">
        <v>74</v>
      </c>
      <c r="H622" s="15" t="s">
        <v>75</v>
      </c>
      <c r="I622" s="14">
        <v>44000</v>
      </c>
      <c r="J622" s="15" t="s">
        <v>1407</v>
      </c>
      <c r="K622" s="15" t="s">
        <v>25</v>
      </c>
      <c r="L622" s="15">
        <v>2</v>
      </c>
      <c r="M622" s="15">
        <v>0.75</v>
      </c>
      <c r="N622" s="15" t="s">
        <v>76</v>
      </c>
      <c r="O622" s="15" t="s">
        <v>76</v>
      </c>
      <c r="P622" s="14">
        <v>126030</v>
      </c>
      <c r="Q622" s="13">
        <v>46207.668749999997</v>
      </c>
      <c r="R622" s="15" t="s">
        <v>143</v>
      </c>
      <c r="S622" s="11" t="str">
        <f t="shared" si="18"/>
        <v>2026-07-04</v>
      </c>
      <c r="T622" s="11">
        <f>IF($E622="","",IF(COUNTIF($E$2:$E622,$E622)=1,1,0))</f>
        <v>0</v>
      </c>
      <c r="U622" s="11" t="str">
        <f>IF(T622=1,SUM($T$2:T622),"")</f>
        <v/>
      </c>
      <c r="V622" s="11">
        <f>IF(OR($R622="",$R622="-"),"",IF(COUNTIF($R$2:$R622,$R622)=1,1,0))</f>
        <v>0</v>
      </c>
      <c r="W622" s="11" t="str">
        <f>IF(V622=1,SUM($V$2:V622),"")</f>
        <v/>
      </c>
      <c r="X622" s="11" t="str">
        <f t="shared" si="19"/>
        <v>SHOPEE</v>
      </c>
    </row>
    <row r="623" spans="1:24">
      <c r="A623" s="15" t="s">
        <v>79</v>
      </c>
      <c r="B623" s="15" t="s">
        <v>83</v>
      </c>
      <c r="C623" s="15" t="s">
        <v>1402</v>
      </c>
      <c r="D623" s="13">
        <v>46207.668055555558</v>
      </c>
      <c r="E623" s="15" t="s">
        <v>265</v>
      </c>
      <c r="F623" s="15" t="s">
        <v>1405</v>
      </c>
      <c r="G623" s="15" t="s">
        <v>74</v>
      </c>
      <c r="H623" s="15" t="s">
        <v>75</v>
      </c>
      <c r="I623" s="14">
        <v>23000</v>
      </c>
      <c r="J623" s="15" t="s">
        <v>223</v>
      </c>
      <c r="K623" s="15" t="s">
        <v>24</v>
      </c>
      <c r="L623" s="15">
        <v>1</v>
      </c>
      <c r="M623" s="15">
        <v>0.72</v>
      </c>
      <c r="N623" s="15" t="s">
        <v>76</v>
      </c>
      <c r="O623" s="15" t="s">
        <v>76</v>
      </c>
      <c r="P623" s="14">
        <v>114000</v>
      </c>
      <c r="Q623" s="13">
        <v>46207.668749999997</v>
      </c>
      <c r="R623" s="15" t="s">
        <v>109</v>
      </c>
      <c r="S623" s="11" t="str">
        <f t="shared" si="18"/>
        <v>2026-07-04</v>
      </c>
      <c r="T623" s="11">
        <f>IF($E623="","",IF(COUNTIF($E$2:$E623,$E623)=1,1,0))</f>
        <v>0</v>
      </c>
      <c r="U623" s="11" t="str">
        <f>IF(T623=1,SUM($T$2:T623),"")</f>
        <v/>
      </c>
      <c r="V623" s="11">
        <f>IF(OR($R623="",$R623="-"),"",IF(COUNTIF($R$2:$R623,$R623)=1,1,0))</f>
        <v>0</v>
      </c>
      <c r="W623" s="11" t="str">
        <f>IF(V623=1,SUM($V$2:V623),"")</f>
        <v/>
      </c>
      <c r="X623" s="11" t="str">
        <f t="shared" si="19"/>
        <v>SHOPEE</v>
      </c>
    </row>
    <row r="624" spans="1:24">
      <c r="A624" s="15" t="s">
        <v>79</v>
      </c>
      <c r="B624" s="15" t="s">
        <v>83</v>
      </c>
      <c r="C624" s="15" t="s">
        <v>1402</v>
      </c>
      <c r="D624" s="13">
        <v>46207.668055555558</v>
      </c>
      <c r="E624" s="15" t="s">
        <v>265</v>
      </c>
      <c r="F624" s="15" t="s">
        <v>1403</v>
      </c>
      <c r="G624" s="15" t="s">
        <v>74</v>
      </c>
      <c r="H624" s="15" t="s">
        <v>75</v>
      </c>
      <c r="I624" s="14">
        <v>21000</v>
      </c>
      <c r="J624" s="15" t="s">
        <v>1404</v>
      </c>
      <c r="K624" s="15" t="s">
        <v>24</v>
      </c>
      <c r="L624" s="15">
        <v>1</v>
      </c>
      <c r="M624" s="15">
        <v>0.08</v>
      </c>
      <c r="N624" s="15" t="s">
        <v>76</v>
      </c>
      <c r="O624" s="15" t="s">
        <v>76</v>
      </c>
      <c r="P624" s="14">
        <v>14999</v>
      </c>
      <c r="Q624" s="13">
        <v>46207.668749999997</v>
      </c>
      <c r="R624" s="15" t="s">
        <v>104</v>
      </c>
      <c r="S624" s="11" t="str">
        <f t="shared" si="18"/>
        <v>2026-07-04</v>
      </c>
      <c r="T624" s="11">
        <f>IF($E624="","",IF(COUNTIF($E$2:$E624,$E624)=1,1,0))</f>
        <v>0</v>
      </c>
      <c r="U624" s="11" t="str">
        <f>IF(T624=1,SUM($T$2:T624),"")</f>
        <v/>
      </c>
      <c r="V624" s="11">
        <f>IF(OR($R624="",$R624="-"),"",IF(COUNTIF($R$2:$R624,$R624)=1,1,0))</f>
        <v>0</v>
      </c>
      <c r="W624" s="11" t="str">
        <f>IF(V624=1,SUM($V$2:V624),"")</f>
        <v/>
      </c>
      <c r="X624" s="11" t="str">
        <f t="shared" si="19"/>
        <v>SHOPEE</v>
      </c>
    </row>
    <row r="625" spans="1:24">
      <c r="A625" s="15" t="s">
        <v>79</v>
      </c>
      <c r="B625" s="15" t="s">
        <v>83</v>
      </c>
      <c r="C625" s="15" t="s">
        <v>1402</v>
      </c>
      <c r="D625" s="13">
        <v>46207.668055555558</v>
      </c>
      <c r="E625" s="15" t="s">
        <v>265</v>
      </c>
      <c r="F625" s="15" t="s">
        <v>1409</v>
      </c>
      <c r="G625" s="15" t="s">
        <v>74</v>
      </c>
      <c r="H625" s="15" t="s">
        <v>75</v>
      </c>
      <c r="I625" s="14">
        <v>24000</v>
      </c>
      <c r="J625" s="15" t="s">
        <v>130</v>
      </c>
      <c r="K625" s="15" t="s">
        <v>24</v>
      </c>
      <c r="L625" s="15">
        <v>4</v>
      </c>
      <c r="M625" s="15">
        <v>1.46</v>
      </c>
      <c r="N625" s="15" t="s">
        <v>76</v>
      </c>
      <c r="O625" s="15" t="s">
        <v>76</v>
      </c>
      <c r="P625" s="14">
        <v>63500</v>
      </c>
      <c r="Q625" s="13">
        <v>46207.668749999997</v>
      </c>
      <c r="R625" s="15" t="s">
        <v>91</v>
      </c>
      <c r="S625" s="11" t="str">
        <f t="shared" si="18"/>
        <v>2026-07-04</v>
      </c>
      <c r="T625" s="11">
        <f>IF($E625="","",IF(COUNTIF($E$2:$E625,$E625)=1,1,0))</f>
        <v>0</v>
      </c>
      <c r="U625" s="11" t="str">
        <f>IF(T625=1,SUM($T$2:T625),"")</f>
        <v/>
      </c>
      <c r="V625" s="11">
        <f>IF(OR($R625="",$R625="-"),"",IF(COUNTIF($R$2:$R625,$R625)=1,1,0))</f>
        <v>0</v>
      </c>
      <c r="W625" s="11" t="str">
        <f>IF(V625=1,SUM($V$2:V625),"")</f>
        <v/>
      </c>
      <c r="X625" s="11" t="str">
        <f t="shared" si="19"/>
        <v>SHOPEE</v>
      </c>
    </row>
    <row r="626" spans="1:24">
      <c r="A626" s="15" t="s">
        <v>79</v>
      </c>
      <c r="B626" s="15" t="s">
        <v>83</v>
      </c>
      <c r="C626" s="15" t="s">
        <v>1402</v>
      </c>
      <c r="D626" s="13">
        <v>46207.668055555558</v>
      </c>
      <c r="E626" s="15" t="s">
        <v>265</v>
      </c>
      <c r="F626" s="15" t="s">
        <v>1412</v>
      </c>
      <c r="G626" s="15" t="s">
        <v>74</v>
      </c>
      <c r="H626" s="15" t="s">
        <v>75</v>
      </c>
      <c r="I626" s="14">
        <v>11000</v>
      </c>
      <c r="J626" s="15" t="s">
        <v>271</v>
      </c>
      <c r="K626" s="15" t="s">
        <v>27</v>
      </c>
      <c r="L626" s="15">
        <v>1</v>
      </c>
      <c r="M626" s="15">
        <v>0.13</v>
      </c>
      <c r="N626" s="15" t="s">
        <v>76</v>
      </c>
      <c r="O626" s="15" t="s">
        <v>76</v>
      </c>
      <c r="P626" s="14">
        <v>23000</v>
      </c>
      <c r="Q626" s="13">
        <v>46207.668749999997</v>
      </c>
      <c r="R626" s="15" t="s">
        <v>91</v>
      </c>
      <c r="S626" s="11" t="str">
        <f t="shared" si="18"/>
        <v>2026-07-04</v>
      </c>
      <c r="T626" s="11">
        <f>IF($E626="","",IF(COUNTIF($E$2:$E626,$E626)=1,1,0))</f>
        <v>0</v>
      </c>
      <c r="U626" s="11" t="str">
        <f>IF(T626=1,SUM($T$2:T626),"")</f>
        <v/>
      </c>
      <c r="V626" s="11">
        <f>IF(OR($R626="",$R626="-"),"",IF(COUNTIF($R$2:$R626,$R626)=1,1,0))</f>
        <v>0</v>
      </c>
      <c r="W626" s="11" t="str">
        <f>IF(V626=1,SUM($V$2:V626),"")</f>
        <v/>
      </c>
      <c r="X626" s="11" t="str">
        <f t="shared" si="19"/>
        <v>SHOPEE</v>
      </c>
    </row>
    <row r="627" spans="1:24">
      <c r="A627" s="15" t="s">
        <v>79</v>
      </c>
      <c r="B627" s="15" t="s">
        <v>83</v>
      </c>
      <c r="C627" s="15" t="s">
        <v>1402</v>
      </c>
      <c r="D627" s="13">
        <v>46207.668055555558</v>
      </c>
      <c r="E627" s="15" t="s">
        <v>265</v>
      </c>
      <c r="F627" s="15" t="s">
        <v>1411</v>
      </c>
      <c r="G627" s="15" t="s">
        <v>74</v>
      </c>
      <c r="H627" s="15" t="s">
        <v>75</v>
      </c>
      <c r="I627" s="14">
        <v>12000</v>
      </c>
      <c r="J627" s="15" t="s">
        <v>275</v>
      </c>
      <c r="K627" s="15" t="s">
        <v>24</v>
      </c>
      <c r="L627" s="15">
        <v>1</v>
      </c>
      <c r="M627" s="15">
        <v>0.11</v>
      </c>
      <c r="N627" s="15" t="s">
        <v>76</v>
      </c>
      <c r="O627" s="15" t="s">
        <v>76</v>
      </c>
      <c r="P627" s="14">
        <v>106296</v>
      </c>
      <c r="Q627" s="13">
        <v>46207.668749999997</v>
      </c>
      <c r="R627" s="15" t="s">
        <v>138</v>
      </c>
      <c r="S627" s="11" t="str">
        <f t="shared" si="18"/>
        <v>2026-07-04</v>
      </c>
      <c r="T627" s="11">
        <f>IF($E627="","",IF(COUNTIF($E$2:$E627,$E627)=1,1,0))</f>
        <v>0</v>
      </c>
      <c r="U627" s="11" t="str">
        <f>IF(T627=1,SUM($T$2:T627),"")</f>
        <v/>
      </c>
      <c r="V627" s="11">
        <f>IF(OR($R627="",$R627="-"),"",IF(COUNTIF($R$2:$R627,$R627)=1,1,0))</f>
        <v>0</v>
      </c>
      <c r="W627" s="11" t="str">
        <f>IF(V627=1,SUM($V$2:V627),"")</f>
        <v/>
      </c>
      <c r="X627" s="11" t="str">
        <f t="shared" si="19"/>
        <v>SHOPEE</v>
      </c>
    </row>
    <row r="628" spans="1:24">
      <c r="A628" s="15" t="s">
        <v>79</v>
      </c>
      <c r="B628" s="15" t="s">
        <v>83</v>
      </c>
      <c r="C628" s="15" t="s">
        <v>1402</v>
      </c>
      <c r="D628" s="13">
        <v>46207.668055555558</v>
      </c>
      <c r="E628" s="15" t="s">
        <v>265</v>
      </c>
      <c r="F628" s="15" t="s">
        <v>1410</v>
      </c>
      <c r="G628" s="15" t="s">
        <v>74</v>
      </c>
      <c r="H628" s="15" t="s">
        <v>75</v>
      </c>
      <c r="I628" s="14">
        <v>29000</v>
      </c>
      <c r="J628" s="15" t="s">
        <v>166</v>
      </c>
      <c r="K628" s="15" t="s">
        <v>27</v>
      </c>
      <c r="L628" s="15">
        <v>2</v>
      </c>
      <c r="M628" s="15">
        <v>0.25</v>
      </c>
      <c r="N628" s="15" t="s">
        <v>76</v>
      </c>
      <c r="O628" s="15" t="s">
        <v>76</v>
      </c>
      <c r="P628" s="14">
        <v>196848</v>
      </c>
      <c r="Q628" s="13">
        <v>46207.668749999997</v>
      </c>
      <c r="R628" s="15" t="s">
        <v>138</v>
      </c>
      <c r="S628" s="11" t="str">
        <f t="shared" si="18"/>
        <v>2026-07-04</v>
      </c>
      <c r="T628" s="11">
        <f>IF($E628="","",IF(COUNTIF($E$2:$E628,$E628)=1,1,0))</f>
        <v>0</v>
      </c>
      <c r="U628" s="11" t="str">
        <f>IF(T628=1,SUM($T$2:T628),"")</f>
        <v/>
      </c>
      <c r="V628" s="11">
        <f>IF(OR($R628="",$R628="-"),"",IF(COUNTIF($R$2:$R628,$R628)=1,1,0))</f>
        <v>0</v>
      </c>
      <c r="W628" s="11" t="str">
        <f>IF(V628=1,SUM($V$2:V628),"")</f>
        <v/>
      </c>
      <c r="X628" s="11" t="str">
        <f t="shared" si="19"/>
        <v>SHOPEE</v>
      </c>
    </row>
    <row r="629" spans="1:24">
      <c r="A629" s="15" t="s">
        <v>79</v>
      </c>
      <c r="B629" s="15" t="s">
        <v>83</v>
      </c>
      <c r="C629" s="15" t="s">
        <v>1413</v>
      </c>
      <c r="D629" s="13">
        <v>46207.606944444444</v>
      </c>
      <c r="E629" s="15" t="s">
        <v>95</v>
      </c>
      <c r="F629" s="15" t="s">
        <v>1414</v>
      </c>
      <c r="G629" s="15" t="s">
        <v>74</v>
      </c>
      <c r="H629" s="15" t="s">
        <v>75</v>
      </c>
      <c r="I629" s="14">
        <v>106000</v>
      </c>
      <c r="J629" s="15" t="s">
        <v>1167</v>
      </c>
      <c r="K629" s="15" t="s">
        <v>24</v>
      </c>
      <c r="L629" s="15">
        <v>1</v>
      </c>
      <c r="M629" s="15">
        <v>1.5</v>
      </c>
      <c r="N629" s="15" t="s">
        <v>76</v>
      </c>
      <c r="O629" s="15" t="s">
        <v>76</v>
      </c>
      <c r="P629" s="14">
        <v>2127500</v>
      </c>
      <c r="Q629" s="13">
        <v>46207.606944444444</v>
      </c>
      <c r="R629" s="15" t="s">
        <v>182</v>
      </c>
      <c r="S629" s="11" t="str">
        <f t="shared" si="18"/>
        <v>2026-07-04</v>
      </c>
      <c r="T629" s="11">
        <f>IF($E629="","",IF(COUNTIF($E$2:$E629,$E629)=1,1,0))</f>
        <v>0</v>
      </c>
      <c r="U629" s="11" t="str">
        <f>IF(T629=1,SUM($T$2:T629),"")</f>
        <v/>
      </c>
      <c r="V629" s="11">
        <f>IF(OR($R629="",$R629="-"),"",IF(COUNTIF($R$2:$R629,$R629)=1,1,0))</f>
        <v>0</v>
      </c>
      <c r="W629" s="11" t="str">
        <f>IF(V629=1,SUM($V$2:V629),"")</f>
        <v/>
      </c>
      <c r="X629" s="11" t="str">
        <f t="shared" si="19"/>
        <v>SHOPEE</v>
      </c>
    </row>
    <row r="630" spans="1:24">
      <c r="A630" s="15" t="s">
        <v>79</v>
      </c>
      <c r="B630" s="15" t="s">
        <v>80</v>
      </c>
      <c r="C630" s="15" t="s">
        <v>1415</v>
      </c>
      <c r="D630" s="13">
        <v>46207.564583333333</v>
      </c>
      <c r="E630" s="15" t="s">
        <v>265</v>
      </c>
      <c r="F630" s="15" t="s">
        <v>1416</v>
      </c>
      <c r="G630" s="15" t="s">
        <v>74</v>
      </c>
      <c r="H630" s="15" t="s">
        <v>75</v>
      </c>
      <c r="I630" s="14">
        <v>12000</v>
      </c>
      <c r="J630" s="15" t="s">
        <v>252</v>
      </c>
      <c r="K630" s="15" t="s">
        <v>24</v>
      </c>
      <c r="L630" s="15">
        <v>1</v>
      </c>
      <c r="M630" s="15">
        <v>0.7</v>
      </c>
      <c r="N630" s="15" t="s">
        <v>76</v>
      </c>
      <c r="O630" s="15" t="s">
        <v>76</v>
      </c>
      <c r="P630" s="14">
        <v>232620</v>
      </c>
      <c r="Q630" s="13">
        <v>46207.56527777778</v>
      </c>
      <c r="R630" s="15" t="s">
        <v>1417</v>
      </c>
      <c r="S630" s="11" t="str">
        <f t="shared" si="18"/>
        <v>2026-07-04</v>
      </c>
      <c r="T630" s="11">
        <f>IF($E630="","",IF(COUNTIF($E$2:$E630,$E630)=1,1,0))</f>
        <v>0</v>
      </c>
      <c r="U630" s="11" t="str">
        <f>IF(T630=1,SUM($T$2:T630),"")</f>
        <v/>
      </c>
      <c r="V630" s="11">
        <f>IF(OR($R630="",$R630="-"),"",IF(COUNTIF($R$2:$R630,$R630)=1,1,0))</f>
        <v>1</v>
      </c>
      <c r="W630" s="11">
        <f>IF(V630=1,SUM($V$2:V630),"")</f>
        <v>206</v>
      </c>
      <c r="X630" s="11" t="str">
        <f t="shared" si="19"/>
        <v>SHOPEE</v>
      </c>
    </row>
    <row r="631" spans="1:24">
      <c r="A631" s="15" t="s">
        <v>79</v>
      </c>
      <c r="B631" s="15" t="s">
        <v>83</v>
      </c>
      <c r="C631" s="15" t="s">
        <v>1418</v>
      </c>
      <c r="D631" s="13">
        <v>46207.46597222222</v>
      </c>
      <c r="E631" s="15" t="s">
        <v>95</v>
      </c>
      <c r="F631" s="15" t="s">
        <v>1419</v>
      </c>
      <c r="G631" s="15" t="s">
        <v>74</v>
      </c>
      <c r="H631" s="15" t="s">
        <v>75</v>
      </c>
      <c r="I631" s="14">
        <v>11000</v>
      </c>
      <c r="J631" s="15" t="s">
        <v>991</v>
      </c>
      <c r="K631" s="15" t="s">
        <v>27</v>
      </c>
      <c r="L631" s="15">
        <v>1</v>
      </c>
      <c r="M631" s="15">
        <v>0.1</v>
      </c>
      <c r="N631" s="15" t="s">
        <v>76</v>
      </c>
      <c r="O631" s="15" t="s">
        <v>76</v>
      </c>
      <c r="P631" s="14">
        <v>73000</v>
      </c>
      <c r="Q631" s="13">
        <v>46207.46597222222</v>
      </c>
      <c r="R631" s="15" t="s">
        <v>298</v>
      </c>
      <c r="S631" s="11" t="str">
        <f t="shared" si="18"/>
        <v>2026-07-04</v>
      </c>
      <c r="T631" s="11">
        <f>IF($E631="","",IF(COUNTIF($E$2:$E631,$E631)=1,1,0))</f>
        <v>0</v>
      </c>
      <c r="U631" s="11" t="str">
        <f>IF(T631=1,SUM($T$2:T631),"")</f>
        <v/>
      </c>
      <c r="V631" s="11">
        <f>IF(OR($R631="",$R631="-"),"",IF(COUNTIF($R$2:$R631,$R631)=1,1,0))</f>
        <v>0</v>
      </c>
      <c r="W631" s="11" t="str">
        <f>IF(V631=1,SUM($V$2:V631),"")</f>
        <v/>
      </c>
      <c r="X631" s="11" t="str">
        <f t="shared" si="19"/>
        <v>SHOPEE</v>
      </c>
    </row>
    <row r="632" spans="1:24">
      <c r="A632" s="15" t="s">
        <v>79</v>
      </c>
      <c r="B632" s="15" t="s">
        <v>83</v>
      </c>
      <c r="C632" s="15" t="s">
        <v>1420</v>
      </c>
      <c r="D632" s="13">
        <v>46207.381249999999</v>
      </c>
      <c r="E632" s="15" t="s">
        <v>95</v>
      </c>
      <c r="F632" s="15" t="s">
        <v>1421</v>
      </c>
      <c r="G632" s="15" t="s">
        <v>74</v>
      </c>
      <c r="H632" s="15" t="s">
        <v>75</v>
      </c>
      <c r="I632" s="14">
        <v>12000</v>
      </c>
      <c r="J632" s="15" t="s">
        <v>267</v>
      </c>
      <c r="K632" s="15" t="s">
        <v>24</v>
      </c>
      <c r="L632" s="15">
        <v>2</v>
      </c>
      <c r="M632" s="15">
        <v>1</v>
      </c>
      <c r="N632" s="15" t="s">
        <v>76</v>
      </c>
      <c r="O632" s="15" t="s">
        <v>76</v>
      </c>
      <c r="P632" s="14">
        <v>190000</v>
      </c>
      <c r="Q632" s="13">
        <v>46207.381944444445</v>
      </c>
      <c r="R632" s="15" t="s">
        <v>268</v>
      </c>
      <c r="S632" s="11" t="str">
        <f t="shared" si="18"/>
        <v>2026-07-04</v>
      </c>
      <c r="T632" s="11">
        <f>IF($E632="","",IF(COUNTIF($E$2:$E632,$E632)=1,1,0))</f>
        <v>0</v>
      </c>
      <c r="U632" s="11" t="str">
        <f>IF(T632=1,SUM($T$2:T632),"")</f>
        <v/>
      </c>
      <c r="V632" s="11">
        <f>IF(OR($R632="",$R632="-"),"",IF(COUNTIF($R$2:$R632,$R632)=1,1,0))</f>
        <v>1</v>
      </c>
      <c r="W632" s="11">
        <f>IF(V632=1,SUM($V$2:V632),"")</f>
        <v>207</v>
      </c>
      <c r="X632" s="11" t="str">
        <f t="shared" si="19"/>
        <v>SHOPEE</v>
      </c>
    </row>
    <row r="633" spans="1:24">
      <c r="A633" s="15" t="s">
        <v>79</v>
      </c>
      <c r="B633" s="15" t="s">
        <v>83</v>
      </c>
      <c r="C633" s="15" t="s">
        <v>1422</v>
      </c>
      <c r="D633" s="13">
        <v>46207.306250000001</v>
      </c>
      <c r="E633" s="15" t="s">
        <v>95</v>
      </c>
      <c r="F633" s="15" t="s">
        <v>1423</v>
      </c>
      <c r="G633" s="15" t="s">
        <v>74</v>
      </c>
      <c r="H633" s="15" t="s">
        <v>75</v>
      </c>
      <c r="I633" s="14">
        <v>24000</v>
      </c>
      <c r="J633" s="15" t="s">
        <v>1424</v>
      </c>
      <c r="K633" s="15" t="s">
        <v>24</v>
      </c>
      <c r="L633" s="15">
        <v>1</v>
      </c>
      <c r="M633" s="15">
        <v>1</v>
      </c>
      <c r="N633" s="15" t="s">
        <v>76</v>
      </c>
      <c r="O633" s="15" t="s">
        <v>76</v>
      </c>
      <c r="P633" s="14">
        <v>10001</v>
      </c>
      <c r="Q633" s="13">
        <v>46207.306944444441</v>
      </c>
      <c r="R633" s="15" t="s">
        <v>197</v>
      </c>
      <c r="S633" s="11" t="str">
        <f t="shared" si="18"/>
        <v>2026-07-04</v>
      </c>
      <c r="T633" s="11">
        <f>IF($E633="","",IF(COUNTIF($E$2:$E633,$E633)=1,1,0))</f>
        <v>0</v>
      </c>
      <c r="U633" s="11" t="str">
        <f>IF(T633=1,SUM($T$2:T633),"")</f>
        <v/>
      </c>
      <c r="V633" s="11">
        <f>IF(OR($R633="",$R633="-"),"",IF(COUNTIF($R$2:$R633,$R633)=1,1,0))</f>
        <v>1</v>
      </c>
      <c r="W633" s="11">
        <f>IF(V633=1,SUM($V$2:V633),"")</f>
        <v>208</v>
      </c>
      <c r="X633" s="11" t="str">
        <f t="shared" si="19"/>
        <v>SHOPEE</v>
      </c>
    </row>
    <row r="634" spans="1:24">
      <c r="A634" s="15" t="s">
        <v>79</v>
      </c>
      <c r="B634" s="15" t="s">
        <v>83</v>
      </c>
      <c r="C634" s="15" t="s">
        <v>1425</v>
      </c>
      <c r="D634" s="13">
        <v>46206.792361111111</v>
      </c>
      <c r="E634" s="15" t="s">
        <v>265</v>
      </c>
      <c r="F634" s="15" t="s">
        <v>1426</v>
      </c>
      <c r="G634" s="15" t="s">
        <v>74</v>
      </c>
      <c r="H634" s="15" t="s">
        <v>75</v>
      </c>
      <c r="I634" s="14">
        <v>12000</v>
      </c>
      <c r="J634" s="15" t="s">
        <v>510</v>
      </c>
      <c r="K634" s="15" t="s">
        <v>24</v>
      </c>
      <c r="L634" s="15">
        <v>5</v>
      </c>
      <c r="M634" s="15">
        <v>0.25</v>
      </c>
      <c r="N634" s="15" t="s">
        <v>76</v>
      </c>
      <c r="O634" s="15" t="s">
        <v>76</v>
      </c>
      <c r="P634" s="14">
        <v>17470</v>
      </c>
      <c r="Q634" s="13">
        <v>46206.792361111111</v>
      </c>
      <c r="R634" s="15" t="s">
        <v>283</v>
      </c>
      <c r="S634" s="11" t="str">
        <f t="shared" si="18"/>
        <v>2026-07-03</v>
      </c>
      <c r="T634" s="11">
        <f>IF($E634="","",IF(COUNTIF($E$2:$E634,$E634)=1,1,0))</f>
        <v>0</v>
      </c>
      <c r="U634" s="11" t="str">
        <f>IF(T634=1,SUM($T$2:T634),"")</f>
        <v/>
      </c>
      <c r="V634" s="11">
        <f>IF(OR($R634="",$R634="-"),"",IF(COUNTIF($R$2:$R634,$R634)=1,1,0))</f>
        <v>1</v>
      </c>
      <c r="W634" s="11">
        <f>IF(V634=1,SUM($V$2:V634),"")</f>
        <v>209</v>
      </c>
      <c r="X634" s="11" t="str">
        <f t="shared" si="19"/>
        <v>SHOPEE</v>
      </c>
    </row>
    <row r="635" spans="1:24">
      <c r="A635" s="15" t="s">
        <v>310</v>
      </c>
      <c r="B635" s="15" t="s">
        <v>72</v>
      </c>
      <c r="C635" s="15" t="s">
        <v>1427</v>
      </c>
      <c r="D635" s="13">
        <v>46206.78402777778</v>
      </c>
      <c r="E635" s="15" t="s">
        <v>95</v>
      </c>
      <c r="F635" s="15" t="s">
        <v>1428</v>
      </c>
      <c r="G635" s="15" t="s">
        <v>74</v>
      </c>
      <c r="H635" s="15" t="s">
        <v>75</v>
      </c>
      <c r="I635" s="14">
        <v>12000</v>
      </c>
      <c r="J635" s="15" t="s">
        <v>113</v>
      </c>
      <c r="K635" s="15" t="s">
        <v>24</v>
      </c>
      <c r="L635" s="15">
        <v>1</v>
      </c>
      <c r="M635" s="15">
        <v>0.3</v>
      </c>
      <c r="N635" s="15" t="s">
        <v>76</v>
      </c>
      <c r="O635" s="15" t="s">
        <v>76</v>
      </c>
      <c r="P635" s="14">
        <v>412500</v>
      </c>
      <c r="Q635" s="13">
        <v>46206.784722222219</v>
      </c>
      <c r="R635" s="15" t="s">
        <v>311</v>
      </c>
      <c r="S635" s="11" t="str">
        <f t="shared" si="18"/>
        <v>2026-07-03</v>
      </c>
      <c r="T635" s="11">
        <f>IF($E635="","",IF(COUNTIF($E$2:$E635,$E635)=1,1,0))</f>
        <v>0</v>
      </c>
      <c r="U635" s="11" t="str">
        <f>IF(T635=1,SUM($T$2:T635),"")</f>
        <v/>
      </c>
      <c r="V635" s="11">
        <f>IF(OR($R635="",$R635="-"),"",IF(COUNTIF($R$2:$R635,$R635)=1,1,0))</f>
        <v>0</v>
      </c>
      <c r="W635" s="11" t="str">
        <f>IF(V635=1,SUM($V$2:V635),"")</f>
        <v/>
      </c>
      <c r="X635" s="11" t="str">
        <f t="shared" si="19"/>
        <v>TOKOPEDIA</v>
      </c>
    </row>
    <row r="636" spans="1:24">
      <c r="A636" s="15" t="s">
        <v>79</v>
      </c>
      <c r="B636" s="15" t="s">
        <v>83</v>
      </c>
      <c r="C636" s="15" t="s">
        <v>1429</v>
      </c>
      <c r="D636" s="13">
        <v>46206.773611111108</v>
      </c>
      <c r="E636" s="15" t="s">
        <v>95</v>
      </c>
      <c r="F636" s="15" t="s">
        <v>1430</v>
      </c>
      <c r="G636" s="15" t="s">
        <v>74</v>
      </c>
      <c r="H636" s="15" t="s">
        <v>75</v>
      </c>
      <c r="I636" s="14">
        <v>29000</v>
      </c>
      <c r="J636" s="15" t="s">
        <v>1431</v>
      </c>
      <c r="K636" s="15" t="s">
        <v>24</v>
      </c>
      <c r="L636" s="15">
        <v>1</v>
      </c>
      <c r="M636" s="15">
        <v>0</v>
      </c>
      <c r="N636" s="15" t="s">
        <v>76</v>
      </c>
      <c r="O636" s="15" t="s">
        <v>76</v>
      </c>
      <c r="P636" s="14">
        <v>1000</v>
      </c>
      <c r="Q636" s="13">
        <v>46206.775000000001</v>
      </c>
      <c r="R636" s="15" t="s">
        <v>1432</v>
      </c>
      <c r="S636" s="11" t="str">
        <f t="shared" si="18"/>
        <v>2026-07-03</v>
      </c>
      <c r="T636" s="11">
        <f>IF($E636="","",IF(COUNTIF($E$2:$E636,$E636)=1,1,0))</f>
        <v>0</v>
      </c>
      <c r="U636" s="11" t="str">
        <f>IF(T636=1,SUM($T$2:T636),"")</f>
        <v/>
      </c>
      <c r="V636" s="11">
        <f>IF(OR($R636="",$R636="-"),"",IF(COUNTIF($R$2:$R636,$R636)=1,1,0))</f>
        <v>1</v>
      </c>
      <c r="W636" s="11">
        <f>IF(V636=1,SUM($V$2:V636),"")</f>
        <v>210</v>
      </c>
      <c r="X636" s="11" t="str">
        <f t="shared" si="19"/>
        <v>SHOPEE</v>
      </c>
    </row>
    <row r="637" spans="1:24">
      <c r="A637" s="15" t="s">
        <v>79</v>
      </c>
      <c r="B637" s="15" t="s">
        <v>83</v>
      </c>
      <c r="C637" s="15" t="s">
        <v>1429</v>
      </c>
      <c r="D637" s="13">
        <v>46206.773611111108</v>
      </c>
      <c r="E637" s="15" t="s">
        <v>95</v>
      </c>
      <c r="F637" s="15" t="s">
        <v>1433</v>
      </c>
      <c r="G637" s="15" t="s">
        <v>74</v>
      </c>
      <c r="H637" s="15" t="s">
        <v>75</v>
      </c>
      <c r="I637" s="14">
        <v>29000</v>
      </c>
      <c r="J637" s="15" t="s">
        <v>1434</v>
      </c>
      <c r="K637" s="15" t="s">
        <v>24</v>
      </c>
      <c r="L637" s="15">
        <v>1</v>
      </c>
      <c r="M637" s="15">
        <v>0</v>
      </c>
      <c r="N637" s="15" t="s">
        <v>76</v>
      </c>
      <c r="O637" s="15" t="s">
        <v>76</v>
      </c>
      <c r="P637" s="14">
        <v>6000</v>
      </c>
      <c r="Q637" s="13">
        <v>46206.775000000001</v>
      </c>
      <c r="R637" s="15" t="s">
        <v>1435</v>
      </c>
      <c r="S637" s="11" t="str">
        <f t="shared" si="18"/>
        <v>2026-07-03</v>
      </c>
      <c r="T637" s="11">
        <f>IF($E637="","",IF(COUNTIF($E$2:$E637,$E637)=1,1,0))</f>
        <v>0</v>
      </c>
      <c r="U637" s="11" t="str">
        <f>IF(T637=1,SUM($T$2:T637),"")</f>
        <v/>
      </c>
      <c r="V637" s="11">
        <f>IF(OR($R637="",$R637="-"),"",IF(COUNTIF($R$2:$R637,$R637)=1,1,0))</f>
        <v>1</v>
      </c>
      <c r="W637" s="11">
        <f>IF(V637=1,SUM($V$2:V637),"")</f>
        <v>211</v>
      </c>
      <c r="X637" s="11" t="str">
        <f t="shared" si="19"/>
        <v>SHOPEE</v>
      </c>
    </row>
    <row r="638" spans="1:24">
      <c r="A638" s="15" t="s">
        <v>79</v>
      </c>
      <c r="B638" s="15" t="s">
        <v>83</v>
      </c>
      <c r="C638" s="15" t="s">
        <v>1429</v>
      </c>
      <c r="D638" s="13">
        <v>46206.773611111108</v>
      </c>
      <c r="E638" s="15" t="s">
        <v>95</v>
      </c>
      <c r="F638" s="15" t="s">
        <v>1436</v>
      </c>
      <c r="G638" s="15" t="s">
        <v>74</v>
      </c>
      <c r="H638" s="15" t="s">
        <v>75</v>
      </c>
      <c r="I638" s="14">
        <v>24000</v>
      </c>
      <c r="J638" s="15" t="s">
        <v>1437</v>
      </c>
      <c r="K638" s="15" t="s">
        <v>24</v>
      </c>
      <c r="L638" s="15">
        <v>1</v>
      </c>
      <c r="M638" s="15">
        <v>0</v>
      </c>
      <c r="N638" s="15" t="s">
        <v>76</v>
      </c>
      <c r="O638" s="15" t="s">
        <v>76</v>
      </c>
      <c r="P638" s="14">
        <v>6000</v>
      </c>
      <c r="Q638" s="13">
        <v>46206.775000000001</v>
      </c>
      <c r="R638" s="15" t="s">
        <v>1435</v>
      </c>
      <c r="S638" s="11" t="str">
        <f t="shared" si="18"/>
        <v>2026-07-03</v>
      </c>
      <c r="T638" s="11">
        <f>IF($E638="","",IF(COUNTIF($E$2:$E638,$E638)=1,1,0))</f>
        <v>0</v>
      </c>
      <c r="U638" s="11" t="str">
        <f>IF(T638=1,SUM($T$2:T638),"")</f>
        <v/>
      </c>
      <c r="V638" s="11">
        <f>IF(OR($R638="",$R638="-"),"",IF(COUNTIF($R$2:$R638,$R638)=1,1,0))</f>
        <v>0</v>
      </c>
      <c r="W638" s="11" t="str">
        <f>IF(V638=1,SUM($V$2:V638),"")</f>
        <v/>
      </c>
      <c r="X638" s="11" t="str">
        <f t="shared" si="19"/>
        <v>SHOPEE</v>
      </c>
    </row>
    <row r="639" spans="1:24">
      <c r="A639" s="15" t="s">
        <v>79</v>
      </c>
      <c r="B639" s="15" t="s">
        <v>83</v>
      </c>
      <c r="C639" s="15" t="s">
        <v>1438</v>
      </c>
      <c r="D639" s="13">
        <v>46206.754861111112</v>
      </c>
      <c r="E639" s="15" t="s">
        <v>95</v>
      </c>
      <c r="F639" s="15" t="s">
        <v>1439</v>
      </c>
      <c r="G639" s="15" t="s">
        <v>74</v>
      </c>
      <c r="H639" s="15" t="s">
        <v>75</v>
      </c>
      <c r="I639" s="14">
        <v>36000</v>
      </c>
      <c r="J639" s="15" t="s">
        <v>146</v>
      </c>
      <c r="K639" s="15" t="s">
        <v>24</v>
      </c>
      <c r="L639" s="15">
        <v>3</v>
      </c>
      <c r="M639" s="15">
        <v>3</v>
      </c>
      <c r="N639" s="15" t="s">
        <v>76</v>
      </c>
      <c r="O639" s="15" t="s">
        <v>76</v>
      </c>
      <c r="P639" s="14">
        <v>110550</v>
      </c>
      <c r="Q639" s="13">
        <v>46206.754861111112</v>
      </c>
      <c r="R639" s="15" t="s">
        <v>109</v>
      </c>
      <c r="S639" s="11" t="str">
        <f t="shared" si="18"/>
        <v>2026-07-03</v>
      </c>
      <c r="T639" s="11">
        <f>IF($E639="","",IF(COUNTIF($E$2:$E639,$E639)=1,1,0))</f>
        <v>0</v>
      </c>
      <c r="U639" s="11" t="str">
        <f>IF(T639=1,SUM($T$2:T639),"")</f>
        <v/>
      </c>
      <c r="V639" s="11">
        <f>IF(OR($R639="",$R639="-"),"",IF(COUNTIF($R$2:$R639,$R639)=1,1,0))</f>
        <v>0</v>
      </c>
      <c r="W639" s="11" t="str">
        <f>IF(V639=1,SUM($V$2:V639),"")</f>
        <v/>
      </c>
      <c r="X639" s="11" t="str">
        <f t="shared" si="19"/>
        <v>SHOPEE</v>
      </c>
    </row>
    <row r="640" spans="1:24">
      <c r="A640" s="15" t="s">
        <v>79</v>
      </c>
      <c r="B640" s="15" t="s">
        <v>83</v>
      </c>
      <c r="C640" s="15" t="s">
        <v>1440</v>
      </c>
      <c r="D640" s="13">
        <v>46206.752083333333</v>
      </c>
      <c r="E640" s="15" t="s">
        <v>95</v>
      </c>
      <c r="F640" s="15" t="s">
        <v>1441</v>
      </c>
      <c r="G640" s="15" t="s">
        <v>74</v>
      </c>
      <c r="H640" s="15" t="s">
        <v>75</v>
      </c>
      <c r="I640" s="14">
        <v>12000</v>
      </c>
      <c r="J640" s="15" t="s">
        <v>84</v>
      </c>
      <c r="K640" s="15" t="s">
        <v>24</v>
      </c>
      <c r="L640" s="15">
        <v>1</v>
      </c>
      <c r="M640" s="15">
        <v>1</v>
      </c>
      <c r="N640" s="15" t="s">
        <v>76</v>
      </c>
      <c r="O640" s="15" t="s">
        <v>76</v>
      </c>
      <c r="P640" s="14">
        <v>10000000</v>
      </c>
      <c r="Q640" s="13">
        <v>46206.752083333333</v>
      </c>
      <c r="R640" s="15" t="s">
        <v>307</v>
      </c>
      <c r="S640" s="11" t="str">
        <f t="shared" si="18"/>
        <v>2026-07-03</v>
      </c>
      <c r="T640" s="11">
        <f>IF($E640="","",IF(COUNTIF($E$2:$E640,$E640)=1,1,0))</f>
        <v>0</v>
      </c>
      <c r="U640" s="11" t="str">
        <f>IF(T640=1,SUM($T$2:T640),"")</f>
        <v/>
      </c>
      <c r="V640" s="11">
        <f>IF(OR($R640="",$R640="-"),"",IF(COUNTIF($R$2:$R640,$R640)=1,1,0))</f>
        <v>1</v>
      </c>
      <c r="W640" s="11">
        <f>IF(V640=1,SUM($V$2:V640),"")</f>
        <v>212</v>
      </c>
      <c r="X640" s="11" t="str">
        <f t="shared" si="19"/>
        <v>SHOPEE</v>
      </c>
    </row>
    <row r="641" spans="1:24">
      <c r="A641" s="15" t="s">
        <v>79</v>
      </c>
      <c r="B641" s="15" t="s">
        <v>80</v>
      </c>
      <c r="C641" s="15" t="s">
        <v>1442</v>
      </c>
      <c r="D641" s="13">
        <v>46206.736111111109</v>
      </c>
      <c r="E641" s="15" t="s">
        <v>265</v>
      </c>
      <c r="F641" s="15" t="s">
        <v>1443</v>
      </c>
      <c r="G641" s="15" t="s">
        <v>74</v>
      </c>
      <c r="H641" s="15" t="s">
        <v>75</v>
      </c>
      <c r="I641" s="14">
        <v>42000</v>
      </c>
      <c r="J641" s="15" t="s">
        <v>312</v>
      </c>
      <c r="K641" s="15" t="s">
        <v>24</v>
      </c>
      <c r="L641" s="15">
        <v>3</v>
      </c>
      <c r="M641" s="15">
        <v>1.73</v>
      </c>
      <c r="N641" s="15" t="s">
        <v>76</v>
      </c>
      <c r="O641" s="15" t="s">
        <v>76</v>
      </c>
      <c r="P641" s="14">
        <v>118000</v>
      </c>
      <c r="Q641" s="13">
        <v>46206.736111111109</v>
      </c>
      <c r="R641" s="15" t="s">
        <v>264</v>
      </c>
      <c r="S641" s="11" t="str">
        <f t="shared" si="18"/>
        <v>2026-07-03</v>
      </c>
      <c r="T641" s="11">
        <f>IF($E641="","",IF(COUNTIF($E$2:$E641,$E641)=1,1,0))</f>
        <v>0</v>
      </c>
      <c r="U641" s="11" t="str">
        <f>IF(T641=1,SUM($T$2:T641),"")</f>
        <v/>
      </c>
      <c r="V641" s="11">
        <f>IF(OR($R641="",$R641="-"),"",IF(COUNTIF($R$2:$R641,$R641)=1,1,0))</f>
        <v>1</v>
      </c>
      <c r="W641" s="11">
        <f>IF(V641=1,SUM($V$2:V641),"")</f>
        <v>213</v>
      </c>
      <c r="X641" s="11" t="str">
        <f t="shared" si="19"/>
        <v>SHOPEE</v>
      </c>
    </row>
    <row r="642" spans="1:24">
      <c r="A642" s="15" t="s">
        <v>79</v>
      </c>
      <c r="B642" s="15" t="s">
        <v>83</v>
      </c>
      <c r="C642" s="15" t="s">
        <v>1444</v>
      </c>
      <c r="D642" s="13">
        <v>46206.719444444447</v>
      </c>
      <c r="E642" s="15" t="s">
        <v>265</v>
      </c>
      <c r="F642" s="15" t="s">
        <v>1445</v>
      </c>
      <c r="G642" s="15" t="s">
        <v>74</v>
      </c>
      <c r="H642" s="15" t="s">
        <v>75</v>
      </c>
      <c r="I642" s="14">
        <v>12000</v>
      </c>
      <c r="J642" s="15" t="s">
        <v>135</v>
      </c>
      <c r="K642" s="15" t="s">
        <v>24</v>
      </c>
      <c r="L642" s="15">
        <v>2</v>
      </c>
      <c r="M642" s="15">
        <v>0.25</v>
      </c>
      <c r="N642" s="15" t="s">
        <v>76</v>
      </c>
      <c r="O642" s="15" t="s">
        <v>76</v>
      </c>
      <c r="P642" s="14">
        <v>46000</v>
      </c>
      <c r="Q642" s="13">
        <v>46206.720138888886</v>
      </c>
      <c r="R642" s="15" t="s">
        <v>91</v>
      </c>
      <c r="S642" s="11" t="str">
        <f t="shared" ref="S642:S674" si="20">IF(Q642="","",TEXT(Q642,"yyyy-mm-dd"))</f>
        <v>2026-07-03</v>
      </c>
      <c r="T642" s="11">
        <f>IF($E642="","",IF(COUNTIF($E$2:$E642,$E642)=1,1,0))</f>
        <v>0</v>
      </c>
      <c r="U642" s="11" t="str">
        <f>IF(T642=1,SUM($T$2:T642),"")</f>
        <v/>
      </c>
      <c r="V642" s="11">
        <f>IF(OR($R642="",$R642="-"),"",IF(COUNTIF($R$2:$R642,$R642)=1,1,0))</f>
        <v>0</v>
      </c>
      <c r="W642" s="11" t="str">
        <f>IF(V642=1,SUM($V$2:V642),"")</f>
        <v/>
      </c>
      <c r="X642" s="11" t="str">
        <f t="shared" ref="X642:X674" si="21">IF(ISNUMBER(SEARCH("SHOPEE",B642)),"SHOPEE",IF(ISNUMBER(SEARCH("TOKOPEDIA",B642)),"TOKOPEDIA",IF(ISNUMBER(SEARCH("LASTANA",B642)),"LASTANA EXPRESS",IF(ISNUMBER(SEARCH("FASHION MARKETPLACE",B642)),"FASHION MARKETPLACE",IF(ISNUMBER(SEARCH("GLOBAL DIGITAL NIAGA",B642)),"GLOBAL DIGITAL NIAGA",IF(ISNUMBER(SEARCH("TOKGISTIC",B642)),"TOKGISTIC",IF(ISNUMBER(SEARCH("TOCO RAMAI",B642)),"TOCO RAMAI DIGITAL",B642)))))))</f>
        <v>SHOPEE</v>
      </c>
    </row>
    <row r="643" spans="1:24">
      <c r="A643" s="15" t="s">
        <v>79</v>
      </c>
      <c r="B643" s="15" t="s">
        <v>83</v>
      </c>
      <c r="C643" s="15" t="s">
        <v>1444</v>
      </c>
      <c r="D643" s="13">
        <v>46206.719444444447</v>
      </c>
      <c r="E643" s="15" t="s">
        <v>265</v>
      </c>
      <c r="F643" s="15" t="s">
        <v>1446</v>
      </c>
      <c r="G643" s="15" t="s">
        <v>74</v>
      </c>
      <c r="H643" s="15" t="s">
        <v>75</v>
      </c>
      <c r="I643" s="14">
        <v>12000</v>
      </c>
      <c r="J643" s="15" t="s">
        <v>115</v>
      </c>
      <c r="K643" s="15" t="s">
        <v>24</v>
      </c>
      <c r="L643" s="15">
        <v>3</v>
      </c>
      <c r="M643" s="15">
        <v>0.4</v>
      </c>
      <c r="N643" s="15" t="s">
        <v>76</v>
      </c>
      <c r="O643" s="15" t="s">
        <v>76</v>
      </c>
      <c r="P643" s="14">
        <v>69000</v>
      </c>
      <c r="Q643" s="13">
        <v>46206.720138888886</v>
      </c>
      <c r="R643" s="15" t="s">
        <v>91</v>
      </c>
      <c r="S643" s="11" t="str">
        <f t="shared" si="20"/>
        <v>2026-07-03</v>
      </c>
      <c r="T643" s="11">
        <f>IF($E643="","",IF(COUNTIF($E$2:$E643,$E643)=1,1,0))</f>
        <v>0</v>
      </c>
      <c r="U643" s="11" t="str">
        <f>IF(T643=1,SUM($T$2:T643),"")</f>
        <v/>
      </c>
      <c r="V643" s="11">
        <f>IF(OR($R643="",$R643="-"),"",IF(COUNTIF($R$2:$R643,$R643)=1,1,0))</f>
        <v>0</v>
      </c>
      <c r="W643" s="11" t="str">
        <f>IF(V643=1,SUM($V$2:V643),"")</f>
        <v/>
      </c>
      <c r="X643" s="11" t="str">
        <f t="shared" si="21"/>
        <v>SHOPEE</v>
      </c>
    </row>
    <row r="644" spans="1:24">
      <c r="A644" s="15" t="s">
        <v>79</v>
      </c>
      <c r="B644" s="15" t="s">
        <v>83</v>
      </c>
      <c r="C644" s="15" t="s">
        <v>1444</v>
      </c>
      <c r="D644" s="13">
        <v>46206.719444444447</v>
      </c>
      <c r="E644" s="15" t="s">
        <v>265</v>
      </c>
      <c r="F644" s="15" t="s">
        <v>1447</v>
      </c>
      <c r="G644" s="15" t="s">
        <v>74</v>
      </c>
      <c r="H644" s="15" t="s">
        <v>75</v>
      </c>
      <c r="I644" s="14">
        <v>12000</v>
      </c>
      <c r="J644" s="15" t="s">
        <v>1448</v>
      </c>
      <c r="K644" s="15" t="s">
        <v>24</v>
      </c>
      <c r="L644" s="15">
        <v>1</v>
      </c>
      <c r="M644" s="15">
        <v>0.2</v>
      </c>
      <c r="N644" s="15" t="s">
        <v>76</v>
      </c>
      <c r="O644" s="15" t="s">
        <v>76</v>
      </c>
      <c r="P644" s="14">
        <v>81000</v>
      </c>
      <c r="Q644" s="13">
        <v>46206.720138888886</v>
      </c>
      <c r="R644" s="15" t="s">
        <v>91</v>
      </c>
      <c r="S644" s="11" t="str">
        <f t="shared" si="20"/>
        <v>2026-07-03</v>
      </c>
      <c r="T644" s="11">
        <f>IF($E644="","",IF(COUNTIF($E$2:$E644,$E644)=1,1,0))</f>
        <v>0</v>
      </c>
      <c r="U644" s="11" t="str">
        <f>IF(T644=1,SUM($T$2:T644),"")</f>
        <v/>
      </c>
      <c r="V644" s="11">
        <f>IF(OR($R644="",$R644="-"),"",IF(COUNTIF($R$2:$R644,$R644)=1,1,0))</f>
        <v>0</v>
      </c>
      <c r="W644" s="11" t="str">
        <f>IF(V644=1,SUM($V$2:V644),"")</f>
        <v/>
      </c>
      <c r="X644" s="11" t="str">
        <f t="shared" si="21"/>
        <v>SHOPEE</v>
      </c>
    </row>
    <row r="645" spans="1:24">
      <c r="A645" s="15" t="s">
        <v>79</v>
      </c>
      <c r="B645" s="15" t="s">
        <v>83</v>
      </c>
      <c r="C645" s="15" t="s">
        <v>1449</v>
      </c>
      <c r="D645" s="13">
        <v>46206.715277777781</v>
      </c>
      <c r="E645" s="15" t="s">
        <v>95</v>
      </c>
      <c r="F645" s="15" t="s">
        <v>1450</v>
      </c>
      <c r="G645" s="15" t="s">
        <v>74</v>
      </c>
      <c r="H645" s="15" t="s">
        <v>75</v>
      </c>
      <c r="I645" s="14">
        <v>42000</v>
      </c>
      <c r="J645" s="15" t="s">
        <v>1451</v>
      </c>
      <c r="K645" s="15" t="s">
        <v>24</v>
      </c>
      <c r="L645" s="15">
        <v>1</v>
      </c>
      <c r="M645" s="15">
        <v>1.94</v>
      </c>
      <c r="N645" s="15" t="s">
        <v>76</v>
      </c>
      <c r="O645" s="15" t="s">
        <v>76</v>
      </c>
      <c r="P645" s="14">
        <v>130000</v>
      </c>
      <c r="Q645" s="13">
        <v>46206.715277777781</v>
      </c>
      <c r="R645" s="15" t="s">
        <v>299</v>
      </c>
      <c r="S645" s="11" t="str">
        <f t="shared" si="20"/>
        <v>2026-07-03</v>
      </c>
      <c r="T645" s="11">
        <f>IF($E645="","",IF(COUNTIF($E$2:$E645,$E645)=1,1,0))</f>
        <v>0</v>
      </c>
      <c r="U645" s="11" t="str">
        <f>IF(T645=1,SUM($T$2:T645),"")</f>
        <v/>
      </c>
      <c r="V645" s="11">
        <f>IF(OR($R645="",$R645="-"),"",IF(COUNTIF($R$2:$R645,$R645)=1,1,0))</f>
        <v>1</v>
      </c>
      <c r="W645" s="11">
        <f>IF(V645=1,SUM($V$2:V645),"")</f>
        <v>214</v>
      </c>
      <c r="X645" s="11" t="str">
        <f t="shared" si="21"/>
        <v>SHOPEE</v>
      </c>
    </row>
    <row r="646" spans="1:24">
      <c r="A646" s="15" t="s">
        <v>79</v>
      </c>
      <c r="B646" s="15" t="s">
        <v>83</v>
      </c>
      <c r="C646" s="15" t="s">
        <v>1452</v>
      </c>
      <c r="D646" s="13">
        <v>46206.652777777781</v>
      </c>
      <c r="E646" s="15" t="s">
        <v>95</v>
      </c>
      <c r="F646" s="15" t="s">
        <v>1453</v>
      </c>
      <c r="G646" s="15" t="s">
        <v>74</v>
      </c>
      <c r="H646" s="15" t="s">
        <v>75</v>
      </c>
      <c r="I646" s="14">
        <v>12000</v>
      </c>
      <c r="J646" s="15" t="s">
        <v>203</v>
      </c>
      <c r="K646" s="15" t="s">
        <v>24</v>
      </c>
      <c r="L646" s="15">
        <v>1</v>
      </c>
      <c r="M646" s="15">
        <v>0.2</v>
      </c>
      <c r="N646" s="15" t="s">
        <v>76</v>
      </c>
      <c r="O646" s="15" t="s">
        <v>76</v>
      </c>
      <c r="P646" s="14">
        <v>443492</v>
      </c>
      <c r="Q646" s="13">
        <v>46206.652777777781</v>
      </c>
      <c r="R646" s="15" t="s">
        <v>138</v>
      </c>
      <c r="S646" s="11" t="str">
        <f t="shared" si="20"/>
        <v>2026-07-03</v>
      </c>
      <c r="T646" s="11">
        <f>IF($E646="","",IF(COUNTIF($E$2:$E646,$E646)=1,1,0))</f>
        <v>0</v>
      </c>
      <c r="U646" s="11" t="str">
        <f>IF(T646=1,SUM($T$2:T646),"")</f>
        <v/>
      </c>
      <c r="V646" s="11">
        <f>IF(OR($R646="",$R646="-"),"",IF(COUNTIF($R$2:$R646,$R646)=1,1,0))</f>
        <v>0</v>
      </c>
      <c r="W646" s="11" t="str">
        <f>IF(V646=1,SUM($V$2:V646),"")</f>
        <v/>
      </c>
      <c r="X646" s="11" t="str">
        <f t="shared" si="21"/>
        <v>SHOPEE</v>
      </c>
    </row>
    <row r="647" spans="1:24">
      <c r="A647" s="15" t="s">
        <v>79</v>
      </c>
      <c r="B647" s="15" t="s">
        <v>83</v>
      </c>
      <c r="C647" s="15" t="s">
        <v>1452</v>
      </c>
      <c r="D647" s="13">
        <v>46206.652777777781</v>
      </c>
      <c r="E647" s="15" t="s">
        <v>95</v>
      </c>
      <c r="F647" s="15" t="s">
        <v>1455</v>
      </c>
      <c r="G647" s="15" t="s">
        <v>74</v>
      </c>
      <c r="H647" s="15" t="s">
        <v>75</v>
      </c>
      <c r="I647" s="14">
        <v>12000</v>
      </c>
      <c r="J647" s="15" t="s">
        <v>146</v>
      </c>
      <c r="K647" s="15" t="s">
        <v>24</v>
      </c>
      <c r="L647" s="15">
        <v>1</v>
      </c>
      <c r="M647" s="15">
        <v>0.03</v>
      </c>
      <c r="N647" s="15" t="s">
        <v>76</v>
      </c>
      <c r="O647" s="15" t="s">
        <v>76</v>
      </c>
      <c r="P647" s="14">
        <v>80792</v>
      </c>
      <c r="Q647" s="13">
        <v>46206.652777777781</v>
      </c>
      <c r="R647" s="15" t="s">
        <v>138</v>
      </c>
      <c r="S647" s="11" t="str">
        <f t="shared" si="20"/>
        <v>2026-07-03</v>
      </c>
      <c r="T647" s="11">
        <f>IF($E647="","",IF(COUNTIF($E$2:$E647,$E647)=1,1,0))</f>
        <v>0</v>
      </c>
      <c r="U647" s="11" t="str">
        <f>IF(T647=1,SUM($T$2:T647),"")</f>
        <v/>
      </c>
      <c r="V647" s="11">
        <f>IF(OR($R647="",$R647="-"),"",IF(COUNTIF($R$2:$R647,$R647)=1,1,0))</f>
        <v>0</v>
      </c>
      <c r="W647" s="11" t="str">
        <f>IF(V647=1,SUM($V$2:V647),"")</f>
        <v/>
      </c>
      <c r="X647" s="11" t="str">
        <f t="shared" si="21"/>
        <v>SHOPEE</v>
      </c>
    </row>
    <row r="648" spans="1:24">
      <c r="A648" s="15" t="s">
        <v>79</v>
      </c>
      <c r="B648" s="15" t="s">
        <v>83</v>
      </c>
      <c r="C648" s="15" t="s">
        <v>1452</v>
      </c>
      <c r="D648" s="13">
        <v>46206.652777777781</v>
      </c>
      <c r="E648" s="15" t="s">
        <v>95</v>
      </c>
      <c r="F648" s="15" t="s">
        <v>1454</v>
      </c>
      <c r="G648" s="15" t="s">
        <v>74</v>
      </c>
      <c r="H648" s="15" t="s">
        <v>75</v>
      </c>
      <c r="I648" s="14">
        <v>12000</v>
      </c>
      <c r="J648" s="15" t="s">
        <v>241</v>
      </c>
      <c r="K648" s="15" t="s">
        <v>24</v>
      </c>
      <c r="L648" s="15">
        <v>2</v>
      </c>
      <c r="M648" s="15">
        <v>0.4</v>
      </c>
      <c r="N648" s="15" t="s">
        <v>76</v>
      </c>
      <c r="O648" s="15" t="s">
        <v>76</v>
      </c>
      <c r="P648" s="14">
        <v>886984</v>
      </c>
      <c r="Q648" s="13">
        <v>46206.652777777781</v>
      </c>
      <c r="R648" s="15" t="s">
        <v>138</v>
      </c>
      <c r="S648" s="11" t="str">
        <f t="shared" si="20"/>
        <v>2026-07-03</v>
      </c>
      <c r="T648" s="11">
        <f>IF($E648="","",IF(COUNTIF($E$2:$E648,$E648)=1,1,0))</f>
        <v>0</v>
      </c>
      <c r="U648" s="11" t="str">
        <f>IF(T648=1,SUM($T$2:T648),"")</f>
        <v/>
      </c>
      <c r="V648" s="11">
        <f>IF(OR($R648="",$R648="-"),"",IF(COUNTIF($R$2:$R648,$R648)=1,1,0))</f>
        <v>0</v>
      </c>
      <c r="W648" s="11" t="str">
        <f>IF(V648=1,SUM($V$2:V648),"")</f>
        <v/>
      </c>
      <c r="X648" s="11" t="str">
        <f t="shared" si="21"/>
        <v>SHOPEE</v>
      </c>
    </row>
    <row r="649" spans="1:24">
      <c r="A649" s="15" t="s">
        <v>79</v>
      </c>
      <c r="B649" s="15" t="s">
        <v>83</v>
      </c>
      <c r="C649" s="15" t="s">
        <v>1456</v>
      </c>
      <c r="D649" s="13">
        <v>46206.603472222225</v>
      </c>
      <c r="E649" s="15" t="s">
        <v>95</v>
      </c>
      <c r="F649" s="15" t="s">
        <v>1457</v>
      </c>
      <c r="G649" s="15" t="s">
        <v>74</v>
      </c>
      <c r="H649" s="15" t="s">
        <v>75</v>
      </c>
      <c r="I649" s="14">
        <v>24000</v>
      </c>
      <c r="J649" s="15" t="s">
        <v>1458</v>
      </c>
      <c r="K649" s="15" t="s">
        <v>24</v>
      </c>
      <c r="L649" s="15">
        <v>1</v>
      </c>
      <c r="M649" s="15">
        <v>1</v>
      </c>
      <c r="N649" s="15" t="s">
        <v>76</v>
      </c>
      <c r="O649" s="15" t="s">
        <v>76</v>
      </c>
      <c r="P649" s="14">
        <v>179000</v>
      </c>
      <c r="Q649" s="13">
        <v>46206.603472222225</v>
      </c>
      <c r="R649" s="15" t="s">
        <v>133</v>
      </c>
      <c r="S649" s="11" t="str">
        <f t="shared" si="20"/>
        <v>2026-07-03</v>
      </c>
      <c r="T649" s="11">
        <f>IF($E649="","",IF(COUNTIF($E$2:$E649,$E649)=1,1,0))</f>
        <v>0</v>
      </c>
      <c r="U649" s="11" t="str">
        <f>IF(T649=1,SUM($T$2:T649),"")</f>
        <v/>
      </c>
      <c r="V649" s="11">
        <f>IF(OR($R649="",$R649="-"),"",IF(COUNTIF($R$2:$R649,$R649)=1,1,0))</f>
        <v>0</v>
      </c>
      <c r="W649" s="11" t="str">
        <f>IF(V649=1,SUM($V$2:V649),"")</f>
        <v/>
      </c>
      <c r="X649" s="11" t="str">
        <f t="shared" si="21"/>
        <v>SHOPEE</v>
      </c>
    </row>
    <row r="650" spans="1:24">
      <c r="A650" s="15" t="s">
        <v>79</v>
      </c>
      <c r="B650" s="15" t="s">
        <v>83</v>
      </c>
      <c r="C650" s="15" t="s">
        <v>1459</v>
      </c>
      <c r="D650" s="13">
        <v>46206.585416666669</v>
      </c>
      <c r="E650" s="15" t="s">
        <v>95</v>
      </c>
      <c r="F650" s="15" t="s">
        <v>1460</v>
      </c>
      <c r="G650" s="15" t="s">
        <v>74</v>
      </c>
      <c r="H650" s="15" t="s">
        <v>75</v>
      </c>
      <c r="I650" s="14">
        <v>12000</v>
      </c>
      <c r="J650" s="15" t="s">
        <v>196</v>
      </c>
      <c r="K650" s="15" t="s">
        <v>24</v>
      </c>
      <c r="L650" s="15">
        <v>1</v>
      </c>
      <c r="M650" s="15">
        <v>0.5</v>
      </c>
      <c r="N650" s="15" t="s">
        <v>76</v>
      </c>
      <c r="O650" s="15" t="s">
        <v>76</v>
      </c>
      <c r="P650" s="14">
        <v>80000</v>
      </c>
      <c r="Q650" s="13">
        <v>46206.586111111108</v>
      </c>
      <c r="R650" s="15" t="s">
        <v>177</v>
      </c>
      <c r="S650" s="11" t="str">
        <f t="shared" si="20"/>
        <v>2026-07-03</v>
      </c>
      <c r="T650" s="11">
        <f>IF($E650="","",IF(COUNTIF($E$2:$E650,$E650)=1,1,0))</f>
        <v>0</v>
      </c>
      <c r="U650" s="11" t="str">
        <f>IF(T650=1,SUM($T$2:T650),"")</f>
        <v/>
      </c>
      <c r="V650" s="11">
        <f>IF(OR($R650="",$R650="-"),"",IF(COUNTIF($R$2:$R650,$R650)=1,1,0))</f>
        <v>0</v>
      </c>
      <c r="W650" s="11" t="str">
        <f>IF(V650=1,SUM($V$2:V650),"")</f>
        <v/>
      </c>
      <c r="X650" s="11" t="str">
        <f t="shared" si="21"/>
        <v>SHOPEE</v>
      </c>
    </row>
    <row r="651" spans="1:24">
      <c r="A651" s="15" t="s">
        <v>79</v>
      </c>
      <c r="B651" s="15" t="s">
        <v>83</v>
      </c>
      <c r="C651" s="15" t="s">
        <v>1461</v>
      </c>
      <c r="D651" s="13">
        <v>46206.579861111109</v>
      </c>
      <c r="E651" s="15" t="s">
        <v>95</v>
      </c>
      <c r="F651" s="15" t="s">
        <v>1462</v>
      </c>
      <c r="G651" s="15" t="s">
        <v>74</v>
      </c>
      <c r="H651" s="15" t="s">
        <v>75</v>
      </c>
      <c r="I651" s="14">
        <v>12000</v>
      </c>
      <c r="J651" s="15" t="s">
        <v>159</v>
      </c>
      <c r="K651" s="15" t="s">
        <v>24</v>
      </c>
      <c r="L651" s="15">
        <v>1</v>
      </c>
      <c r="M651" s="15">
        <v>0.1</v>
      </c>
      <c r="N651" s="15" t="s">
        <v>76</v>
      </c>
      <c r="O651" s="15" t="s">
        <v>76</v>
      </c>
      <c r="P651" s="14">
        <v>35000</v>
      </c>
      <c r="Q651" s="13">
        <v>46206.579861111109</v>
      </c>
      <c r="R651" s="15" t="s">
        <v>177</v>
      </c>
      <c r="S651" s="11" t="str">
        <f t="shared" si="20"/>
        <v>2026-07-03</v>
      </c>
      <c r="T651" s="11">
        <f>IF($E651="","",IF(COUNTIF($E$2:$E651,$E651)=1,1,0))</f>
        <v>0</v>
      </c>
      <c r="U651" s="11" t="str">
        <f>IF(T651=1,SUM($T$2:T651),"")</f>
        <v/>
      </c>
      <c r="V651" s="11">
        <f>IF(OR($R651="",$R651="-"),"",IF(COUNTIF($R$2:$R651,$R651)=1,1,0))</f>
        <v>0</v>
      </c>
      <c r="W651" s="11" t="str">
        <f>IF(V651=1,SUM($V$2:V651),"")</f>
        <v/>
      </c>
      <c r="X651" s="11" t="str">
        <f t="shared" si="21"/>
        <v>SHOPEE</v>
      </c>
    </row>
    <row r="652" spans="1:24">
      <c r="A652" s="15" t="s">
        <v>79</v>
      </c>
      <c r="B652" s="15" t="s">
        <v>83</v>
      </c>
      <c r="C652" s="15" t="s">
        <v>1463</v>
      </c>
      <c r="D652" s="13">
        <v>46206.570833333331</v>
      </c>
      <c r="E652" s="15" t="s">
        <v>95</v>
      </c>
      <c r="F652" s="15" t="s">
        <v>1464</v>
      </c>
      <c r="G652" s="15" t="s">
        <v>74</v>
      </c>
      <c r="H652" s="15" t="s">
        <v>75</v>
      </c>
      <c r="I652" s="14">
        <v>24000</v>
      </c>
      <c r="J652" s="15" t="s">
        <v>174</v>
      </c>
      <c r="K652" s="15" t="s">
        <v>24</v>
      </c>
      <c r="L652" s="15">
        <v>2</v>
      </c>
      <c r="M652" s="15">
        <v>2</v>
      </c>
      <c r="N652" s="15" t="s">
        <v>76</v>
      </c>
      <c r="O652" s="15" t="s">
        <v>76</v>
      </c>
      <c r="P652" s="14">
        <v>75500</v>
      </c>
      <c r="Q652" s="13">
        <v>46206.570833333331</v>
      </c>
      <c r="R652" s="15" t="s">
        <v>147</v>
      </c>
      <c r="S652" s="11" t="str">
        <f t="shared" si="20"/>
        <v>2026-07-03</v>
      </c>
      <c r="T652" s="11">
        <f>IF($E652="","",IF(COUNTIF($E$2:$E652,$E652)=1,1,0))</f>
        <v>0</v>
      </c>
      <c r="U652" s="11" t="str">
        <f>IF(T652=1,SUM($T$2:T652),"")</f>
        <v/>
      </c>
      <c r="V652" s="11">
        <f>IF(OR($R652="",$R652="-"),"",IF(COUNTIF($R$2:$R652,$R652)=1,1,0))</f>
        <v>0</v>
      </c>
      <c r="W652" s="11" t="str">
        <f>IF(V652=1,SUM($V$2:V652),"")</f>
        <v/>
      </c>
      <c r="X652" s="11" t="str">
        <f t="shared" si="21"/>
        <v>SHOPEE</v>
      </c>
    </row>
    <row r="653" spans="1:24">
      <c r="A653" s="15" t="s">
        <v>79</v>
      </c>
      <c r="B653" s="15" t="s">
        <v>83</v>
      </c>
      <c r="C653" s="15" t="s">
        <v>1465</v>
      </c>
      <c r="D653" s="13">
        <v>46206.540277777778</v>
      </c>
      <c r="E653" s="15" t="s">
        <v>111</v>
      </c>
      <c r="F653" s="15" t="s">
        <v>1466</v>
      </c>
      <c r="G653" s="15" t="s">
        <v>74</v>
      </c>
      <c r="H653" s="15" t="s">
        <v>75</v>
      </c>
      <c r="I653" s="14">
        <v>12000</v>
      </c>
      <c r="J653" s="15" t="s">
        <v>120</v>
      </c>
      <c r="K653" s="15" t="s">
        <v>24</v>
      </c>
      <c r="L653" s="15">
        <v>1</v>
      </c>
      <c r="M653" s="15">
        <v>1.2</v>
      </c>
      <c r="N653" s="15" t="s">
        <v>76</v>
      </c>
      <c r="O653" s="15" t="s">
        <v>76</v>
      </c>
      <c r="P653" s="14">
        <v>200000</v>
      </c>
      <c r="Q653" s="13">
        <v>46206.540277777778</v>
      </c>
      <c r="R653" s="15" t="s">
        <v>108</v>
      </c>
      <c r="S653" s="11" t="str">
        <f t="shared" si="20"/>
        <v>2026-07-03</v>
      </c>
      <c r="T653" s="11">
        <f>IF($E653="","",IF(COUNTIF($E$2:$E653,$E653)=1,1,0))</f>
        <v>0</v>
      </c>
      <c r="U653" s="11" t="str">
        <f>IF(T653=1,SUM($T$2:T653),"")</f>
        <v/>
      </c>
      <c r="V653" s="11">
        <f>IF(OR($R653="",$R653="-"),"",IF(COUNTIF($R$2:$R653,$R653)=1,1,0))</f>
        <v>0</v>
      </c>
      <c r="W653" s="11" t="str">
        <f>IF(V653=1,SUM($V$2:V653),"")</f>
        <v/>
      </c>
      <c r="X653" s="11" t="str">
        <f t="shared" si="21"/>
        <v>SHOPEE</v>
      </c>
    </row>
    <row r="654" spans="1:24">
      <c r="A654" s="15" t="s">
        <v>79</v>
      </c>
      <c r="B654" s="15" t="s">
        <v>83</v>
      </c>
      <c r="C654" s="15" t="s">
        <v>1467</v>
      </c>
      <c r="D654" s="13">
        <v>46206.50277777778</v>
      </c>
      <c r="E654" s="15" t="s">
        <v>95</v>
      </c>
      <c r="F654" s="15" t="s">
        <v>1468</v>
      </c>
      <c r="G654" s="15" t="s">
        <v>74</v>
      </c>
      <c r="H654" s="15" t="s">
        <v>75</v>
      </c>
      <c r="I654" s="14">
        <v>27000</v>
      </c>
      <c r="J654" s="15" t="s">
        <v>146</v>
      </c>
      <c r="K654" s="15" t="s">
        <v>26</v>
      </c>
      <c r="L654" s="15">
        <v>1</v>
      </c>
      <c r="M654" s="15">
        <v>3</v>
      </c>
      <c r="N654" s="15" t="s">
        <v>76</v>
      </c>
      <c r="O654" s="15" t="s">
        <v>76</v>
      </c>
      <c r="P654" s="14">
        <v>105500</v>
      </c>
      <c r="Q654" s="13">
        <v>46206.503472222219</v>
      </c>
      <c r="R654" s="15" t="s">
        <v>171</v>
      </c>
      <c r="S654" s="11" t="str">
        <f t="shared" si="20"/>
        <v>2026-07-03</v>
      </c>
      <c r="T654" s="11">
        <f>IF($E654="","",IF(COUNTIF($E$2:$E654,$E654)=1,1,0))</f>
        <v>0</v>
      </c>
      <c r="U654" s="11" t="str">
        <f>IF(T654=1,SUM($T$2:T654),"")</f>
        <v/>
      </c>
      <c r="V654" s="11">
        <f>IF(OR($R654="",$R654="-"),"",IF(COUNTIF($R$2:$R654,$R654)=1,1,0))</f>
        <v>1</v>
      </c>
      <c r="W654" s="11">
        <f>IF(V654=1,SUM($V$2:V654),"")</f>
        <v>215</v>
      </c>
      <c r="X654" s="11" t="str">
        <f t="shared" si="21"/>
        <v>SHOPEE</v>
      </c>
    </row>
    <row r="655" spans="1:24">
      <c r="A655" s="15" t="s">
        <v>79</v>
      </c>
      <c r="B655" s="15" t="s">
        <v>83</v>
      </c>
      <c r="C655" s="15" t="s">
        <v>1469</v>
      </c>
      <c r="D655" s="13">
        <v>46206.502083333333</v>
      </c>
      <c r="E655" s="15" t="s">
        <v>95</v>
      </c>
      <c r="F655" s="15" t="s">
        <v>1470</v>
      </c>
      <c r="G655" s="15" t="s">
        <v>74</v>
      </c>
      <c r="H655" s="15" t="s">
        <v>75</v>
      </c>
      <c r="I655" s="14">
        <v>48000</v>
      </c>
      <c r="J655" s="15" t="s">
        <v>217</v>
      </c>
      <c r="K655" s="15" t="s">
        <v>24</v>
      </c>
      <c r="L655" s="15">
        <v>4</v>
      </c>
      <c r="M655" s="15">
        <v>4</v>
      </c>
      <c r="N655" s="15" t="s">
        <v>76</v>
      </c>
      <c r="O655" s="15" t="s">
        <v>76</v>
      </c>
      <c r="P655" s="14">
        <v>182000</v>
      </c>
      <c r="Q655" s="13">
        <v>46206.50277777778</v>
      </c>
      <c r="R655" s="15" t="s">
        <v>147</v>
      </c>
      <c r="S655" s="11" t="str">
        <f t="shared" si="20"/>
        <v>2026-07-03</v>
      </c>
      <c r="T655" s="11">
        <f>IF($E655="","",IF(COUNTIF($E$2:$E655,$E655)=1,1,0))</f>
        <v>0</v>
      </c>
      <c r="U655" s="11" t="str">
        <f>IF(T655=1,SUM($T$2:T655),"")</f>
        <v/>
      </c>
      <c r="V655" s="11">
        <f>IF(OR($R655="",$R655="-"),"",IF(COUNTIF($R$2:$R655,$R655)=1,1,0))</f>
        <v>0</v>
      </c>
      <c r="W655" s="11" t="str">
        <f>IF(V655=1,SUM($V$2:V655),"")</f>
        <v/>
      </c>
      <c r="X655" s="11" t="str">
        <f t="shared" si="21"/>
        <v>SHOPEE</v>
      </c>
    </row>
    <row r="656" spans="1:24">
      <c r="A656" s="15" t="s">
        <v>79</v>
      </c>
      <c r="B656" s="15" t="s">
        <v>83</v>
      </c>
      <c r="C656" s="15" t="s">
        <v>1471</v>
      </c>
      <c r="D656" s="13">
        <v>46206.501388888886</v>
      </c>
      <c r="E656" s="15" t="s">
        <v>95</v>
      </c>
      <c r="F656" s="15" t="s">
        <v>1472</v>
      </c>
      <c r="G656" s="15" t="s">
        <v>74</v>
      </c>
      <c r="H656" s="15" t="s">
        <v>75</v>
      </c>
      <c r="I656" s="14">
        <v>24000</v>
      </c>
      <c r="J656" s="15" t="s">
        <v>322</v>
      </c>
      <c r="K656" s="15" t="s">
        <v>24</v>
      </c>
      <c r="L656" s="15">
        <v>2</v>
      </c>
      <c r="M656" s="15">
        <v>1.4</v>
      </c>
      <c r="N656" s="15" t="s">
        <v>76</v>
      </c>
      <c r="O656" s="15" t="s">
        <v>76</v>
      </c>
      <c r="P656" s="14">
        <v>66000</v>
      </c>
      <c r="Q656" s="13">
        <v>46206.501388888886</v>
      </c>
      <c r="R656" s="15" t="s">
        <v>147</v>
      </c>
      <c r="S656" s="11" t="str">
        <f t="shared" si="20"/>
        <v>2026-07-03</v>
      </c>
      <c r="T656" s="11">
        <f>IF($E656="","",IF(COUNTIF($E$2:$E656,$E656)=1,1,0))</f>
        <v>0</v>
      </c>
      <c r="U656" s="11" t="str">
        <f>IF(T656=1,SUM($T$2:T656),"")</f>
        <v/>
      </c>
      <c r="V656" s="11">
        <f>IF(OR($R656="",$R656="-"),"",IF(COUNTIF($R$2:$R656,$R656)=1,1,0))</f>
        <v>0</v>
      </c>
      <c r="W656" s="11" t="str">
        <f>IF(V656=1,SUM($V$2:V656),"")</f>
        <v/>
      </c>
      <c r="X656" s="11" t="str">
        <f t="shared" si="21"/>
        <v>SHOPEE</v>
      </c>
    </row>
    <row r="657" spans="1:24">
      <c r="A657" s="15" t="s">
        <v>79</v>
      </c>
      <c r="B657" s="15" t="s">
        <v>80</v>
      </c>
      <c r="C657" s="15" t="s">
        <v>1473</v>
      </c>
      <c r="D657" s="13">
        <v>46206.461805555555</v>
      </c>
      <c r="E657" s="15" t="s">
        <v>111</v>
      </c>
      <c r="F657" s="15" t="s">
        <v>1474</v>
      </c>
      <c r="G657" s="15" t="s">
        <v>74</v>
      </c>
      <c r="H657" s="15" t="s">
        <v>75</v>
      </c>
      <c r="I657" s="14">
        <v>24000</v>
      </c>
      <c r="J657" s="15" t="s">
        <v>1475</v>
      </c>
      <c r="K657" s="15" t="s">
        <v>24</v>
      </c>
      <c r="L657" s="15">
        <v>1</v>
      </c>
      <c r="M657" s="15">
        <v>0.75</v>
      </c>
      <c r="N657" s="15" t="s">
        <v>76</v>
      </c>
      <c r="O657" s="15" t="s">
        <v>76</v>
      </c>
      <c r="P657" s="14">
        <v>30000</v>
      </c>
      <c r="Q657" s="13">
        <v>46206.461805555555</v>
      </c>
      <c r="R657" s="15" t="s">
        <v>1476</v>
      </c>
      <c r="S657" s="11" t="str">
        <f t="shared" si="20"/>
        <v>2026-07-03</v>
      </c>
      <c r="T657" s="11">
        <f>IF($E657="","",IF(COUNTIF($E$2:$E657,$E657)=1,1,0))</f>
        <v>0</v>
      </c>
      <c r="U657" s="11" t="str">
        <f>IF(T657=1,SUM($T$2:T657),"")</f>
        <v/>
      </c>
      <c r="V657" s="11">
        <f>IF(OR($R657="",$R657="-"),"",IF(COUNTIF($R$2:$R657,$R657)=1,1,0))</f>
        <v>1</v>
      </c>
      <c r="W657" s="11">
        <f>IF(V657=1,SUM($V$2:V657),"")</f>
        <v>216</v>
      </c>
      <c r="X657" s="11" t="str">
        <f t="shared" si="21"/>
        <v>SHOPEE</v>
      </c>
    </row>
    <row r="658" spans="1:24">
      <c r="A658" s="15" t="s">
        <v>79</v>
      </c>
      <c r="B658" s="15" t="s">
        <v>80</v>
      </c>
      <c r="C658" s="15" t="s">
        <v>1477</v>
      </c>
      <c r="D658" s="13">
        <v>46206.381944444445</v>
      </c>
      <c r="E658" s="15" t="s">
        <v>111</v>
      </c>
      <c r="F658" s="15" t="s">
        <v>1478</v>
      </c>
      <c r="G658" s="15" t="s">
        <v>74</v>
      </c>
      <c r="H658" s="15" t="s">
        <v>75</v>
      </c>
      <c r="I658" s="14">
        <v>24000</v>
      </c>
      <c r="J658" s="15" t="s">
        <v>160</v>
      </c>
      <c r="K658" s="15" t="s">
        <v>24</v>
      </c>
      <c r="L658" s="15">
        <v>1</v>
      </c>
      <c r="M658" s="15">
        <v>1.67</v>
      </c>
      <c r="N658" s="15" t="s">
        <v>76</v>
      </c>
      <c r="O658" s="15" t="s">
        <v>76</v>
      </c>
      <c r="P658" s="14">
        <v>14184</v>
      </c>
      <c r="Q658" s="13">
        <v>46206.381944444445</v>
      </c>
      <c r="R658" s="15" t="s">
        <v>1479</v>
      </c>
      <c r="S658" s="11" t="str">
        <f t="shared" si="20"/>
        <v>2026-07-03</v>
      </c>
      <c r="T658" s="11">
        <f>IF($E658="","",IF(COUNTIF($E$2:$E658,$E658)=1,1,0))</f>
        <v>0</v>
      </c>
      <c r="U658" s="11" t="str">
        <f>IF(T658=1,SUM($T$2:T658),"")</f>
        <v/>
      </c>
      <c r="V658" s="11">
        <f>IF(OR($R658="",$R658="-"),"",IF(COUNTIF($R$2:$R658,$R658)=1,1,0))</f>
        <v>1</v>
      </c>
      <c r="W658" s="11">
        <f>IF(V658=1,SUM($V$2:V658),"")</f>
        <v>217</v>
      </c>
      <c r="X658" s="11" t="str">
        <f t="shared" si="21"/>
        <v>SHOPEE</v>
      </c>
    </row>
    <row r="659" spans="1:24">
      <c r="A659" s="15" t="s">
        <v>79</v>
      </c>
      <c r="B659" s="15" t="s">
        <v>83</v>
      </c>
      <c r="C659" s="15" t="s">
        <v>1480</v>
      </c>
      <c r="D659" s="13">
        <v>46206.379861111112</v>
      </c>
      <c r="E659" s="15" t="s">
        <v>111</v>
      </c>
      <c r="F659" s="15" t="s">
        <v>1481</v>
      </c>
      <c r="G659" s="15" t="s">
        <v>74</v>
      </c>
      <c r="H659" s="15" t="s">
        <v>75</v>
      </c>
      <c r="I659" s="14">
        <v>15000</v>
      </c>
      <c r="J659" s="15" t="s">
        <v>204</v>
      </c>
      <c r="K659" s="15" t="s">
        <v>25</v>
      </c>
      <c r="L659" s="15">
        <v>1</v>
      </c>
      <c r="M659" s="15">
        <v>0.03</v>
      </c>
      <c r="N659" s="15" t="s">
        <v>76</v>
      </c>
      <c r="O659" s="15" t="s">
        <v>76</v>
      </c>
      <c r="P659" s="14">
        <v>11500</v>
      </c>
      <c r="Q659" s="13">
        <v>46206.379861111112</v>
      </c>
      <c r="R659" s="15" t="s">
        <v>1482</v>
      </c>
      <c r="S659" s="11" t="str">
        <f t="shared" si="20"/>
        <v>2026-07-03</v>
      </c>
      <c r="T659" s="11">
        <f>IF($E659="","",IF(COUNTIF($E$2:$E659,$E659)=1,1,0))</f>
        <v>0</v>
      </c>
      <c r="U659" s="11" t="str">
        <f>IF(T659=1,SUM($T$2:T659),"")</f>
        <v/>
      </c>
      <c r="V659" s="11">
        <f>IF(OR($R659="",$R659="-"),"",IF(COUNTIF($R$2:$R659,$R659)=1,1,0))</f>
        <v>1</v>
      </c>
      <c r="W659" s="11">
        <f>IF(V659=1,SUM($V$2:V659),"")</f>
        <v>218</v>
      </c>
      <c r="X659" s="11" t="str">
        <f t="shared" si="21"/>
        <v>SHOPEE</v>
      </c>
    </row>
    <row r="660" spans="1:24">
      <c r="A660" s="15" t="s">
        <v>124</v>
      </c>
      <c r="B660" s="15" t="s">
        <v>72</v>
      </c>
      <c r="C660" s="15" t="s">
        <v>1483</v>
      </c>
      <c r="D660" s="13">
        <v>46205.838888888888</v>
      </c>
      <c r="E660" s="15" t="s">
        <v>265</v>
      </c>
      <c r="F660" s="15" t="s">
        <v>1484</v>
      </c>
      <c r="G660" s="15" t="s">
        <v>74</v>
      </c>
      <c r="H660" s="15" t="s">
        <v>75</v>
      </c>
      <c r="I660" s="14">
        <v>36000</v>
      </c>
      <c r="J660" s="15" t="s">
        <v>326</v>
      </c>
      <c r="K660" s="15" t="s">
        <v>24</v>
      </c>
      <c r="L660" s="15">
        <v>1</v>
      </c>
      <c r="M660" s="15">
        <v>2.5499999999999998</v>
      </c>
      <c r="N660" s="15" t="s">
        <v>76</v>
      </c>
      <c r="O660" s="15" t="s">
        <v>76</v>
      </c>
      <c r="P660" s="14">
        <v>929000</v>
      </c>
      <c r="Q660" s="13">
        <v>46205.839583333334</v>
      </c>
      <c r="R660" s="15" t="s">
        <v>126</v>
      </c>
      <c r="S660" s="11" t="str">
        <f t="shared" si="20"/>
        <v>2026-07-02</v>
      </c>
      <c r="T660" s="11">
        <f>IF($E660="","",IF(COUNTIF($E$2:$E660,$E660)=1,1,0))</f>
        <v>0</v>
      </c>
      <c r="U660" s="11" t="str">
        <f>IF(T660=1,SUM($T$2:T660),"")</f>
        <v/>
      </c>
      <c r="V660" s="11">
        <f>IF(OR($R660="",$R660="-"),"",IF(COUNTIF($R$2:$R660,$R660)=1,1,0))</f>
        <v>0</v>
      </c>
      <c r="W660" s="11" t="str">
        <f>IF(V660=1,SUM($V$2:V660),"")</f>
        <v/>
      </c>
      <c r="X660" s="11" t="str">
        <f t="shared" si="21"/>
        <v>TOKOPEDIA</v>
      </c>
    </row>
    <row r="661" spans="1:24">
      <c r="A661" s="15" t="s">
        <v>79</v>
      </c>
      <c r="B661" s="15" t="s">
        <v>83</v>
      </c>
      <c r="C661" s="15" t="s">
        <v>1485</v>
      </c>
      <c r="D661" s="13">
        <v>46205.828472222223</v>
      </c>
      <c r="E661" s="15" t="s">
        <v>95</v>
      </c>
      <c r="F661" s="15" t="s">
        <v>1486</v>
      </c>
      <c r="G661" s="15" t="s">
        <v>74</v>
      </c>
      <c r="H661" s="15" t="s">
        <v>75</v>
      </c>
      <c r="I661" s="14">
        <v>21000</v>
      </c>
      <c r="J661" s="15" t="s">
        <v>1487</v>
      </c>
      <c r="K661" s="15" t="s">
        <v>24</v>
      </c>
      <c r="L661" s="15">
        <v>1</v>
      </c>
      <c r="M661" s="15">
        <v>0.85</v>
      </c>
      <c r="N661" s="15" t="s">
        <v>76</v>
      </c>
      <c r="O661" s="15" t="s">
        <v>76</v>
      </c>
      <c r="P661" s="14">
        <v>121900</v>
      </c>
      <c r="Q661" s="13">
        <v>46205.828472222223</v>
      </c>
      <c r="R661" s="15" t="s">
        <v>133</v>
      </c>
      <c r="S661" s="11" t="str">
        <f t="shared" si="20"/>
        <v>2026-07-02</v>
      </c>
      <c r="T661" s="11">
        <f>IF($E661="","",IF(COUNTIF($E$2:$E661,$E661)=1,1,0))</f>
        <v>0</v>
      </c>
      <c r="U661" s="11" t="str">
        <f>IF(T661=1,SUM($T$2:T661),"")</f>
        <v/>
      </c>
      <c r="V661" s="11">
        <f>IF(OR($R661="",$R661="-"),"",IF(COUNTIF($R$2:$R661,$R661)=1,1,0))</f>
        <v>0</v>
      </c>
      <c r="W661" s="11" t="str">
        <f>IF(V661=1,SUM($V$2:V661),"")</f>
        <v/>
      </c>
      <c r="X661" s="11" t="str">
        <f t="shared" si="21"/>
        <v>SHOPEE</v>
      </c>
    </row>
    <row r="662" spans="1:24">
      <c r="A662" s="15" t="s">
        <v>79</v>
      </c>
      <c r="B662" s="15" t="s">
        <v>83</v>
      </c>
      <c r="C662" s="15" t="s">
        <v>1488</v>
      </c>
      <c r="D662" s="13">
        <v>46205.806944444441</v>
      </c>
      <c r="E662" s="15" t="s">
        <v>111</v>
      </c>
      <c r="F662" s="15" t="s">
        <v>1489</v>
      </c>
      <c r="G662" s="15" t="s">
        <v>74</v>
      </c>
      <c r="H662" s="15" t="s">
        <v>75</v>
      </c>
      <c r="I662" s="14">
        <v>11000</v>
      </c>
      <c r="J662" s="15" t="s">
        <v>325</v>
      </c>
      <c r="K662" s="15" t="s">
        <v>27</v>
      </c>
      <c r="L662" s="15">
        <v>1</v>
      </c>
      <c r="M662" s="15">
        <v>0.15</v>
      </c>
      <c r="N662" s="15" t="s">
        <v>76</v>
      </c>
      <c r="O662" s="15" t="s">
        <v>76</v>
      </c>
      <c r="P662" s="14">
        <v>826683</v>
      </c>
      <c r="Q662" s="13">
        <v>46205.806944444441</v>
      </c>
      <c r="R662" s="15" t="s">
        <v>211</v>
      </c>
      <c r="S662" s="11" t="str">
        <f t="shared" si="20"/>
        <v>2026-07-02</v>
      </c>
      <c r="T662" s="11">
        <f>IF($E662="","",IF(COUNTIF($E$2:$E662,$E662)=1,1,0))</f>
        <v>0</v>
      </c>
      <c r="U662" s="11" t="str">
        <f>IF(T662=1,SUM($T$2:T662),"")</f>
        <v/>
      </c>
      <c r="V662" s="11">
        <f>IF(OR($R662="",$R662="-"),"",IF(COUNTIF($R$2:$R662,$R662)=1,1,0))</f>
        <v>0</v>
      </c>
      <c r="W662" s="11" t="str">
        <f>IF(V662=1,SUM($V$2:V662),"")</f>
        <v/>
      </c>
      <c r="X662" s="11" t="str">
        <f t="shared" si="21"/>
        <v>SHOPEE</v>
      </c>
    </row>
    <row r="663" spans="1:24">
      <c r="A663" s="15" t="s">
        <v>79</v>
      </c>
      <c r="B663" s="15" t="s">
        <v>83</v>
      </c>
      <c r="C663" s="15" t="s">
        <v>1490</v>
      </c>
      <c r="D663" s="13">
        <v>46205.804166666669</v>
      </c>
      <c r="E663" s="15" t="s">
        <v>95</v>
      </c>
      <c r="F663" s="15" t="s">
        <v>1491</v>
      </c>
      <c r="G663" s="15" t="s">
        <v>74</v>
      </c>
      <c r="H663" s="15" t="s">
        <v>75</v>
      </c>
      <c r="I663" s="14">
        <v>12000</v>
      </c>
      <c r="J663" s="15" t="s">
        <v>117</v>
      </c>
      <c r="K663" s="15" t="s">
        <v>24</v>
      </c>
      <c r="L663" s="15">
        <v>10</v>
      </c>
      <c r="M663" s="15">
        <v>0.1</v>
      </c>
      <c r="N663" s="15" t="s">
        <v>76</v>
      </c>
      <c r="O663" s="15" t="s">
        <v>76</v>
      </c>
      <c r="P663" s="14">
        <v>33500</v>
      </c>
      <c r="Q663" s="13">
        <v>46205.804861111108</v>
      </c>
      <c r="R663" s="15" t="s">
        <v>158</v>
      </c>
      <c r="S663" s="11" t="str">
        <f t="shared" si="20"/>
        <v>2026-07-02</v>
      </c>
      <c r="T663" s="11">
        <f>IF($E663="","",IF(COUNTIF($E$2:$E663,$E663)=1,1,0))</f>
        <v>0</v>
      </c>
      <c r="U663" s="11" t="str">
        <f>IF(T663=1,SUM($T$2:T663),"")</f>
        <v/>
      </c>
      <c r="V663" s="11">
        <f>IF(OR($R663="",$R663="-"),"",IF(COUNTIF($R$2:$R663,$R663)=1,1,0))</f>
        <v>1</v>
      </c>
      <c r="W663" s="11">
        <f>IF(V663=1,SUM($V$2:V663),"")</f>
        <v>219</v>
      </c>
      <c r="X663" s="11" t="str">
        <f t="shared" si="21"/>
        <v>SHOPEE</v>
      </c>
    </row>
    <row r="664" spans="1:24">
      <c r="A664" s="15" t="s">
        <v>79</v>
      </c>
      <c r="B664" s="15" t="s">
        <v>83</v>
      </c>
      <c r="C664" s="15" t="s">
        <v>1492</v>
      </c>
      <c r="D664" s="13">
        <v>46205.799305555556</v>
      </c>
      <c r="E664" s="15" t="s">
        <v>265</v>
      </c>
      <c r="F664" s="15" t="s">
        <v>1493</v>
      </c>
      <c r="G664" s="15" t="s">
        <v>74</v>
      </c>
      <c r="H664" s="15" t="s">
        <v>75</v>
      </c>
      <c r="I664" s="14">
        <v>12000</v>
      </c>
      <c r="J664" s="15" t="s">
        <v>510</v>
      </c>
      <c r="K664" s="15" t="s">
        <v>24</v>
      </c>
      <c r="L664" s="15">
        <v>1</v>
      </c>
      <c r="M664" s="15">
        <v>1</v>
      </c>
      <c r="N664" s="15" t="s">
        <v>76</v>
      </c>
      <c r="O664" s="15" t="s">
        <v>76</v>
      </c>
      <c r="P664" s="14">
        <v>87000</v>
      </c>
      <c r="Q664" s="13">
        <v>46205.799305555556</v>
      </c>
      <c r="R664" s="15" t="s">
        <v>184</v>
      </c>
      <c r="S664" s="11" t="str">
        <f t="shared" si="20"/>
        <v>2026-07-02</v>
      </c>
      <c r="T664" s="11">
        <f>IF($E664="","",IF(COUNTIF($E$2:$E664,$E664)=1,1,0))</f>
        <v>0</v>
      </c>
      <c r="U664" s="11" t="str">
        <f>IF(T664=1,SUM($T$2:T664),"")</f>
        <v/>
      </c>
      <c r="V664" s="11">
        <f>IF(OR($R664="",$R664="-"),"",IF(COUNTIF($R$2:$R664,$R664)=1,1,0))</f>
        <v>0</v>
      </c>
      <c r="W664" s="11" t="str">
        <f>IF(V664=1,SUM($V$2:V664),"")</f>
        <v/>
      </c>
      <c r="X664" s="11" t="str">
        <f t="shared" si="21"/>
        <v>SHOPEE</v>
      </c>
    </row>
    <row r="665" spans="1:24">
      <c r="A665" s="15" t="s">
        <v>79</v>
      </c>
      <c r="B665" s="15" t="s">
        <v>83</v>
      </c>
      <c r="C665" s="15" t="s">
        <v>1494</v>
      </c>
      <c r="D665" s="13">
        <v>46205.724999999999</v>
      </c>
      <c r="E665" s="15" t="s">
        <v>95</v>
      </c>
      <c r="F665" s="15" t="s">
        <v>1496</v>
      </c>
      <c r="G665" s="15" t="s">
        <v>74</v>
      </c>
      <c r="H665" s="15" t="s">
        <v>75</v>
      </c>
      <c r="I665" s="14">
        <v>24000</v>
      </c>
      <c r="J665" s="15" t="s">
        <v>209</v>
      </c>
      <c r="K665" s="15" t="s">
        <v>24</v>
      </c>
      <c r="L665" s="15">
        <v>4</v>
      </c>
      <c r="M665" s="15">
        <v>1.4</v>
      </c>
      <c r="N665" s="15" t="s">
        <v>76</v>
      </c>
      <c r="O665" s="15" t="s">
        <v>76</v>
      </c>
      <c r="P665" s="14">
        <v>71000</v>
      </c>
      <c r="Q665" s="13">
        <v>46205.724999999999</v>
      </c>
      <c r="R665" s="15" t="s">
        <v>91</v>
      </c>
      <c r="S665" s="11" t="str">
        <f t="shared" si="20"/>
        <v>2026-07-02</v>
      </c>
      <c r="T665" s="11">
        <f>IF($E665="","",IF(COUNTIF($E$2:$E665,$E665)=1,1,0))</f>
        <v>0</v>
      </c>
      <c r="U665" s="11" t="str">
        <f>IF(T665=1,SUM($T$2:T665),"")</f>
        <v/>
      </c>
      <c r="V665" s="11">
        <f>IF(OR($R665="",$R665="-"),"",IF(COUNTIF($R$2:$R665,$R665)=1,1,0))</f>
        <v>0</v>
      </c>
      <c r="W665" s="11" t="str">
        <f>IF(V665=1,SUM($V$2:V665),"")</f>
        <v/>
      </c>
      <c r="X665" s="11" t="str">
        <f t="shared" si="21"/>
        <v>SHOPEE</v>
      </c>
    </row>
    <row r="666" spans="1:24">
      <c r="A666" s="15" t="s">
        <v>79</v>
      </c>
      <c r="B666" s="15" t="s">
        <v>83</v>
      </c>
      <c r="C666" s="15" t="s">
        <v>1494</v>
      </c>
      <c r="D666" s="13">
        <v>46205.724999999999</v>
      </c>
      <c r="E666" s="15" t="s">
        <v>95</v>
      </c>
      <c r="F666" s="15" t="s">
        <v>1495</v>
      </c>
      <c r="G666" s="15" t="s">
        <v>74</v>
      </c>
      <c r="H666" s="15" t="s">
        <v>75</v>
      </c>
      <c r="I666" s="14">
        <v>12000</v>
      </c>
      <c r="J666" s="15" t="s">
        <v>185</v>
      </c>
      <c r="K666" s="15" t="s">
        <v>24</v>
      </c>
      <c r="L666" s="15">
        <v>1</v>
      </c>
      <c r="M666" s="15">
        <v>0.2</v>
      </c>
      <c r="N666" s="15" t="s">
        <v>76</v>
      </c>
      <c r="O666" s="15" t="s">
        <v>76</v>
      </c>
      <c r="P666" s="14">
        <v>60000</v>
      </c>
      <c r="Q666" s="13">
        <v>46205.724999999999</v>
      </c>
      <c r="R666" s="15" t="s">
        <v>91</v>
      </c>
      <c r="S666" s="11" t="str">
        <f t="shared" si="20"/>
        <v>2026-07-02</v>
      </c>
      <c r="T666" s="11">
        <f>IF($E666="","",IF(COUNTIF($E$2:$E666,$E666)=1,1,0))</f>
        <v>0</v>
      </c>
      <c r="U666" s="11" t="str">
        <f>IF(T666=1,SUM($T$2:T666),"")</f>
        <v/>
      </c>
      <c r="V666" s="11">
        <f>IF(OR($R666="",$R666="-"),"",IF(COUNTIF($R$2:$R666,$R666)=1,1,0))</f>
        <v>0</v>
      </c>
      <c r="W666" s="11" t="str">
        <f>IF(V666=1,SUM($V$2:V666),"")</f>
        <v/>
      </c>
      <c r="X666" s="11" t="str">
        <f t="shared" si="21"/>
        <v>SHOPEE</v>
      </c>
    </row>
    <row r="667" spans="1:24">
      <c r="A667" s="15" t="s">
        <v>79</v>
      </c>
      <c r="B667" s="15" t="s">
        <v>83</v>
      </c>
      <c r="C667" s="15" t="s">
        <v>1494</v>
      </c>
      <c r="D667" s="13">
        <v>46205.724999999999</v>
      </c>
      <c r="E667" s="15" t="s">
        <v>95</v>
      </c>
      <c r="F667" s="15" t="s">
        <v>1497</v>
      </c>
      <c r="G667" s="15" t="s">
        <v>74</v>
      </c>
      <c r="H667" s="15" t="s">
        <v>75</v>
      </c>
      <c r="I667" s="14">
        <v>15000</v>
      </c>
      <c r="J667" s="15" t="s">
        <v>136</v>
      </c>
      <c r="K667" s="15" t="s">
        <v>25</v>
      </c>
      <c r="L667" s="15">
        <v>1</v>
      </c>
      <c r="M667" s="15">
        <v>0.2</v>
      </c>
      <c r="N667" s="15" t="s">
        <v>76</v>
      </c>
      <c r="O667" s="15" t="s">
        <v>76</v>
      </c>
      <c r="P667" s="14">
        <v>81000</v>
      </c>
      <c r="Q667" s="13">
        <v>46205.724999999999</v>
      </c>
      <c r="R667" s="15" t="s">
        <v>90</v>
      </c>
      <c r="S667" s="11" t="str">
        <f t="shared" si="20"/>
        <v>2026-07-02</v>
      </c>
      <c r="T667" s="11">
        <f>IF($E667="","",IF(COUNTIF($E$2:$E667,$E667)=1,1,0))</f>
        <v>0</v>
      </c>
      <c r="U667" s="11" t="str">
        <f>IF(T667=1,SUM($T$2:T667),"")</f>
        <v/>
      </c>
      <c r="V667" s="11">
        <f>IF(OR($R667="",$R667="-"),"",IF(COUNTIF($R$2:$R667,$R667)=1,1,0))</f>
        <v>0</v>
      </c>
      <c r="W667" s="11" t="str">
        <f>IF(V667=1,SUM($V$2:V667),"")</f>
        <v/>
      </c>
      <c r="X667" s="11" t="str">
        <f t="shared" si="21"/>
        <v>SHOPEE</v>
      </c>
    </row>
    <row r="668" spans="1:24">
      <c r="A668" s="15" t="s">
        <v>79</v>
      </c>
      <c r="B668" s="15" t="s">
        <v>83</v>
      </c>
      <c r="C668" s="15" t="s">
        <v>1498</v>
      </c>
      <c r="D668" s="13">
        <v>46205.717361111114</v>
      </c>
      <c r="E668" s="15" t="s">
        <v>111</v>
      </c>
      <c r="F668" s="15" t="s">
        <v>1499</v>
      </c>
      <c r="G668" s="15" t="s">
        <v>74</v>
      </c>
      <c r="H668" s="15" t="s">
        <v>75</v>
      </c>
      <c r="I668" s="14">
        <v>31000</v>
      </c>
      <c r="J668" s="15" t="s">
        <v>1500</v>
      </c>
      <c r="K668" s="15" t="s">
        <v>24</v>
      </c>
      <c r="L668" s="15">
        <v>1</v>
      </c>
      <c r="M668" s="15">
        <v>1</v>
      </c>
      <c r="N668" s="15" t="s">
        <v>76</v>
      </c>
      <c r="O668" s="15" t="s">
        <v>76</v>
      </c>
      <c r="P668" s="14">
        <v>900000</v>
      </c>
      <c r="Q668" s="13">
        <v>46205.718055555553</v>
      </c>
      <c r="R668" s="15" t="s">
        <v>86</v>
      </c>
      <c r="S668" s="11" t="str">
        <f t="shared" si="20"/>
        <v>2026-07-02</v>
      </c>
      <c r="T668" s="11">
        <f>IF($E668="","",IF(COUNTIF($E$2:$E668,$E668)=1,1,0))</f>
        <v>0</v>
      </c>
      <c r="U668" s="11" t="str">
        <f>IF(T668=1,SUM($T$2:T668),"")</f>
        <v/>
      </c>
      <c r="V668" s="11">
        <f>IF(OR($R668="",$R668="-"),"",IF(COUNTIF($R$2:$R668,$R668)=1,1,0))</f>
        <v>0</v>
      </c>
      <c r="W668" s="11" t="str">
        <f>IF(V668=1,SUM($V$2:V668),"")</f>
        <v/>
      </c>
      <c r="X668" s="11" t="str">
        <f t="shared" si="21"/>
        <v>SHOPEE</v>
      </c>
    </row>
    <row r="669" spans="1:24">
      <c r="A669" s="15" t="s">
        <v>79</v>
      </c>
      <c r="B669" s="15" t="s">
        <v>83</v>
      </c>
      <c r="C669" s="15" t="s">
        <v>1501</v>
      </c>
      <c r="D669" s="13">
        <v>46205.490277777775</v>
      </c>
      <c r="E669" s="15" t="s">
        <v>73</v>
      </c>
      <c r="F669" s="15" t="s">
        <v>1502</v>
      </c>
      <c r="G669" s="15" t="s">
        <v>74</v>
      </c>
      <c r="H669" s="15" t="s">
        <v>75</v>
      </c>
      <c r="I669" s="14">
        <v>12000</v>
      </c>
      <c r="J669" s="15" t="s">
        <v>208</v>
      </c>
      <c r="K669" s="15" t="s">
        <v>24</v>
      </c>
      <c r="L669" s="15">
        <v>1</v>
      </c>
      <c r="M669" s="15">
        <v>0.4</v>
      </c>
      <c r="N669" s="15" t="s">
        <v>76</v>
      </c>
      <c r="O669" s="15" t="s">
        <v>76</v>
      </c>
      <c r="P669" s="14">
        <v>350000</v>
      </c>
      <c r="Q669" s="13">
        <v>46205.490972222222</v>
      </c>
      <c r="R669" s="15" t="s">
        <v>177</v>
      </c>
      <c r="S669" s="11" t="str">
        <f t="shared" si="20"/>
        <v>2026-07-02</v>
      </c>
      <c r="T669" s="11">
        <f>IF($E669="","",IF(COUNTIF($E$2:$E669,$E669)=1,1,0))</f>
        <v>0</v>
      </c>
      <c r="U669" s="11" t="str">
        <f>IF(T669=1,SUM($T$2:T669),"")</f>
        <v/>
      </c>
      <c r="V669" s="11">
        <f>IF(OR($R669="",$R669="-"),"",IF(COUNTIF($R$2:$R669,$R669)=1,1,0))</f>
        <v>0</v>
      </c>
      <c r="W669" s="11" t="str">
        <f>IF(V669=1,SUM($V$2:V669),"")</f>
        <v/>
      </c>
      <c r="X669" s="11" t="str">
        <f t="shared" si="21"/>
        <v>SHOPEE</v>
      </c>
    </row>
    <row r="670" spans="1:24">
      <c r="A670" s="15" t="s">
        <v>79</v>
      </c>
      <c r="B670" s="15" t="s">
        <v>83</v>
      </c>
      <c r="C670" s="15" t="s">
        <v>1503</v>
      </c>
      <c r="D670" s="13">
        <v>46205.489583333336</v>
      </c>
      <c r="E670" s="15" t="s">
        <v>73</v>
      </c>
      <c r="F670" s="15" t="s">
        <v>1504</v>
      </c>
      <c r="G670" s="15" t="s">
        <v>74</v>
      </c>
      <c r="H670" s="15" t="s">
        <v>75</v>
      </c>
      <c r="I670" s="14">
        <v>21000</v>
      </c>
      <c r="J670" s="15" t="s">
        <v>317</v>
      </c>
      <c r="K670" s="15" t="s">
        <v>24</v>
      </c>
      <c r="L670" s="15">
        <v>1</v>
      </c>
      <c r="M670" s="15">
        <v>0.4</v>
      </c>
      <c r="N670" s="15" t="s">
        <v>76</v>
      </c>
      <c r="O670" s="15" t="s">
        <v>76</v>
      </c>
      <c r="P670" s="14">
        <v>470000</v>
      </c>
      <c r="Q670" s="13">
        <v>46205.490277777775</v>
      </c>
      <c r="R670" s="15" t="s">
        <v>266</v>
      </c>
      <c r="S670" s="11" t="str">
        <f t="shared" si="20"/>
        <v>2026-07-02</v>
      </c>
      <c r="T670" s="11">
        <f>IF($E670="","",IF(COUNTIF($E$2:$E670,$E670)=1,1,0))</f>
        <v>0</v>
      </c>
      <c r="U670" s="11" t="str">
        <f>IF(T670=1,SUM($T$2:T670),"")</f>
        <v/>
      </c>
      <c r="V670" s="11">
        <f>IF(OR($R670="",$R670="-"),"",IF(COUNTIF($R$2:$R670,$R670)=1,1,0))</f>
        <v>0</v>
      </c>
      <c r="W670" s="11" t="str">
        <f>IF(V670=1,SUM($V$2:V670),"")</f>
        <v/>
      </c>
      <c r="X670" s="11" t="str">
        <f t="shared" si="21"/>
        <v>SHOPEE</v>
      </c>
    </row>
    <row r="671" spans="1:24">
      <c r="A671" s="15" t="s">
        <v>79</v>
      </c>
      <c r="B671" s="15" t="s">
        <v>83</v>
      </c>
      <c r="C671" s="15" t="s">
        <v>1503</v>
      </c>
      <c r="D671" s="13">
        <v>46205.489583333336</v>
      </c>
      <c r="E671" s="15" t="s">
        <v>73</v>
      </c>
      <c r="F671" s="15" t="s">
        <v>1505</v>
      </c>
      <c r="G671" s="15" t="s">
        <v>74</v>
      </c>
      <c r="H671" s="15" t="s">
        <v>75</v>
      </c>
      <c r="I671" s="14">
        <v>21000</v>
      </c>
      <c r="J671" s="15" t="s">
        <v>317</v>
      </c>
      <c r="K671" s="15" t="s">
        <v>24</v>
      </c>
      <c r="L671" s="15">
        <v>1</v>
      </c>
      <c r="M671" s="15">
        <v>0.4</v>
      </c>
      <c r="N671" s="15" t="s">
        <v>76</v>
      </c>
      <c r="O671" s="15" t="s">
        <v>76</v>
      </c>
      <c r="P671" s="14">
        <v>460000</v>
      </c>
      <c r="Q671" s="13">
        <v>46205.490277777775</v>
      </c>
      <c r="R671" s="15" t="s">
        <v>266</v>
      </c>
      <c r="S671" s="11" t="str">
        <f t="shared" si="20"/>
        <v>2026-07-02</v>
      </c>
      <c r="T671" s="11">
        <f>IF($E671="","",IF(COUNTIF($E$2:$E671,$E671)=1,1,0))</f>
        <v>0</v>
      </c>
      <c r="U671" s="11" t="str">
        <f>IF(T671=1,SUM($T$2:T671),"")</f>
        <v/>
      </c>
      <c r="V671" s="11">
        <f>IF(OR($R671="",$R671="-"),"",IF(COUNTIF($R$2:$R671,$R671)=1,1,0))</f>
        <v>0</v>
      </c>
      <c r="W671" s="11" t="str">
        <f>IF(V671=1,SUM($V$2:V671),"")</f>
        <v/>
      </c>
      <c r="X671" s="11" t="str">
        <f t="shared" si="21"/>
        <v>SHOPEE</v>
      </c>
    </row>
    <row r="672" spans="1:24">
      <c r="A672" s="15" t="s">
        <v>79</v>
      </c>
      <c r="B672" s="15" t="s">
        <v>83</v>
      </c>
      <c r="C672" s="15" t="s">
        <v>1506</v>
      </c>
      <c r="D672" s="13">
        <v>46205.440972222219</v>
      </c>
      <c r="E672" s="15" t="s">
        <v>73</v>
      </c>
      <c r="F672" s="15" t="s">
        <v>1507</v>
      </c>
      <c r="G672" s="15" t="s">
        <v>74</v>
      </c>
      <c r="H672" s="15" t="s">
        <v>75</v>
      </c>
      <c r="I672" s="14">
        <v>15000</v>
      </c>
      <c r="J672" s="15" t="s">
        <v>105</v>
      </c>
      <c r="K672" s="15" t="s">
        <v>25</v>
      </c>
      <c r="L672" s="15">
        <v>1</v>
      </c>
      <c r="M672" s="15">
        <v>1.3</v>
      </c>
      <c r="N672" s="15" t="s">
        <v>76</v>
      </c>
      <c r="O672" s="15" t="s">
        <v>76</v>
      </c>
      <c r="P672" s="14">
        <v>580000</v>
      </c>
      <c r="Q672" s="13">
        <v>46205.441666666666</v>
      </c>
      <c r="R672" s="15" t="s">
        <v>258</v>
      </c>
      <c r="S672" s="11" t="str">
        <f t="shared" si="20"/>
        <v>2026-07-02</v>
      </c>
      <c r="T672" s="11">
        <f>IF($E672="","",IF(COUNTIF($E$2:$E672,$E672)=1,1,0))</f>
        <v>0</v>
      </c>
      <c r="U672" s="11" t="str">
        <f>IF(T672=1,SUM($T$2:T672),"")</f>
        <v/>
      </c>
      <c r="V672" s="11">
        <f>IF(OR($R672="",$R672="-"),"",IF(COUNTIF($R$2:$R672,$R672)=1,1,0))</f>
        <v>0</v>
      </c>
      <c r="W672" s="11" t="str">
        <f>IF(V672=1,SUM($V$2:V672),"")</f>
        <v/>
      </c>
      <c r="X672" s="11" t="str">
        <f t="shared" si="21"/>
        <v>SHOPEE</v>
      </c>
    </row>
    <row r="673" spans="1:24">
      <c r="A673" s="15" t="s">
        <v>79</v>
      </c>
      <c r="B673" s="15" t="s">
        <v>80</v>
      </c>
      <c r="C673" s="15" t="s">
        <v>1508</v>
      </c>
      <c r="D673" s="13">
        <v>46205.419444444444</v>
      </c>
      <c r="E673" s="15" t="s">
        <v>73</v>
      </c>
      <c r="F673" s="15" t="s">
        <v>1509</v>
      </c>
      <c r="G673" s="15" t="s">
        <v>74</v>
      </c>
      <c r="H673" s="15" t="s">
        <v>75</v>
      </c>
      <c r="I673" s="14">
        <v>12000</v>
      </c>
      <c r="J673" s="15" t="s">
        <v>100</v>
      </c>
      <c r="K673" s="15" t="s">
        <v>24</v>
      </c>
      <c r="L673" s="15">
        <v>1</v>
      </c>
      <c r="M673" s="15">
        <v>0.17</v>
      </c>
      <c r="N673" s="15" t="s">
        <v>76</v>
      </c>
      <c r="O673" s="15" t="s">
        <v>76</v>
      </c>
      <c r="P673" s="14">
        <v>139000</v>
      </c>
      <c r="Q673" s="13">
        <v>46205.419444444444</v>
      </c>
      <c r="R673" s="15" t="s">
        <v>235</v>
      </c>
      <c r="S673" s="11" t="str">
        <f t="shared" si="20"/>
        <v>2026-07-02</v>
      </c>
      <c r="T673" s="11">
        <f>IF($E673="","",IF(COUNTIF($E$2:$E673,$E673)=1,1,0))</f>
        <v>0</v>
      </c>
      <c r="U673" s="11" t="str">
        <f>IF(T673=1,SUM($T$2:T673),"")</f>
        <v/>
      </c>
      <c r="V673" s="11">
        <f>IF(OR($R673="",$R673="-"),"",IF(COUNTIF($R$2:$R673,$R673)=1,1,0))</f>
        <v>1</v>
      </c>
      <c r="W673" s="11">
        <f>IF(V673=1,SUM($V$2:V673),"")</f>
        <v>220</v>
      </c>
      <c r="X673" s="11" t="str">
        <f t="shared" si="21"/>
        <v>SHOPEE</v>
      </c>
    </row>
    <row r="674" spans="1:24">
      <c r="A674" s="15" t="s">
        <v>79</v>
      </c>
      <c r="B674" s="15" t="s">
        <v>80</v>
      </c>
      <c r="C674" s="15" t="s">
        <v>1510</v>
      </c>
      <c r="D674" s="13">
        <v>46205.40902777778</v>
      </c>
      <c r="E674" s="15" t="s">
        <v>73</v>
      </c>
      <c r="F674" s="15" t="s">
        <v>1511</v>
      </c>
      <c r="G674" s="15" t="s">
        <v>74</v>
      </c>
      <c r="H674" s="15" t="s">
        <v>75</v>
      </c>
      <c r="I674" s="14">
        <v>12000</v>
      </c>
      <c r="J674" s="15" t="s">
        <v>136</v>
      </c>
      <c r="K674" s="15" t="s">
        <v>24</v>
      </c>
      <c r="L674" s="15">
        <v>1</v>
      </c>
      <c r="M674" s="15">
        <v>0.1</v>
      </c>
      <c r="N674" s="15" t="s">
        <v>76</v>
      </c>
      <c r="O674" s="15" t="s">
        <v>76</v>
      </c>
      <c r="P674" s="14">
        <v>210700</v>
      </c>
      <c r="Q674" s="13">
        <v>46205.40902777778</v>
      </c>
      <c r="R674" s="15" t="s">
        <v>1512</v>
      </c>
      <c r="S674" s="11" t="str">
        <f t="shared" si="20"/>
        <v>2026-07-02</v>
      </c>
      <c r="T674" s="11">
        <f>IF($E674="","",IF(COUNTIF($E$2:$E674,$E674)=1,1,0))</f>
        <v>0</v>
      </c>
      <c r="U674" s="11" t="str">
        <f>IF(T674=1,SUM($T$2:T674),"")</f>
        <v/>
      </c>
      <c r="V674" s="11">
        <f>IF(OR($R674="",$R674="-"),"",IF(COUNTIF($R$2:$R674,$R674)=1,1,0))</f>
        <v>1</v>
      </c>
      <c r="W674" s="11">
        <f>IF(V674=1,SUM($V$2:V674),"")</f>
        <v>221</v>
      </c>
      <c r="X674" s="11" t="str">
        <f t="shared" si="21"/>
        <v>SHOPEE</v>
      </c>
    </row>
    <row r="675" spans="1:24">
      <c r="A675" s="15" t="s">
        <v>79</v>
      </c>
      <c r="B675" s="15" t="s">
        <v>80</v>
      </c>
      <c r="C675" s="15" t="s">
        <v>1513</v>
      </c>
      <c r="D675" s="13">
        <v>46204.872916666667</v>
      </c>
      <c r="E675" s="15" t="s">
        <v>73</v>
      </c>
      <c r="F675" s="15" t="s">
        <v>1514</v>
      </c>
      <c r="G675" s="15" t="s">
        <v>74</v>
      </c>
      <c r="H675" s="15" t="s">
        <v>75</v>
      </c>
      <c r="I675" s="14">
        <v>12000</v>
      </c>
      <c r="J675" s="15" t="s">
        <v>174</v>
      </c>
      <c r="K675" s="15" t="s">
        <v>24</v>
      </c>
      <c r="L675" s="15">
        <v>1</v>
      </c>
      <c r="M675" s="15">
        <v>0.1</v>
      </c>
      <c r="N675" s="15" t="s">
        <v>76</v>
      </c>
      <c r="O675" s="15" t="s">
        <v>76</v>
      </c>
      <c r="P675" s="14">
        <v>149000</v>
      </c>
      <c r="Q675" s="13">
        <v>46204.872916666667</v>
      </c>
      <c r="R675" s="15" t="s">
        <v>1515</v>
      </c>
      <c r="S675" s="11" t="str">
        <f t="shared" ref="S675:S696" si="22">IF(Q675="","",TEXT(Q675,"yyyy-mm-dd"))</f>
        <v>2026-07-01</v>
      </c>
      <c r="T675" s="11">
        <f>IF($E675="","",IF(COUNTIF($E$2:$E675,$E675)=1,1,0))</f>
        <v>0</v>
      </c>
      <c r="U675" s="11" t="str">
        <f>IF(T675=1,SUM($T$2:T675),"")</f>
        <v/>
      </c>
      <c r="V675" s="11">
        <f>IF(OR($R675="",$R675="-"),"",IF(COUNTIF($R$2:$R675,$R675)=1,1,0))</f>
        <v>1</v>
      </c>
      <c r="W675" s="11">
        <f>IF(V675=1,SUM($V$2:V675),"")</f>
        <v>222</v>
      </c>
      <c r="X675" s="11" t="str">
        <f t="shared" ref="X675:X696" si="23">IF(ISNUMBER(SEARCH("SHOPEE",B675)),"SHOPEE",IF(ISNUMBER(SEARCH("TOKOPEDIA",B675)),"TOKOPEDIA",IF(ISNUMBER(SEARCH("LASTANA",B675)),"LASTANA EXPRESS",IF(ISNUMBER(SEARCH("FASHION MARKETPLACE",B675)),"FASHION MARKETPLACE",IF(ISNUMBER(SEARCH("GLOBAL DIGITAL NIAGA",B675)),"GLOBAL DIGITAL NIAGA",IF(ISNUMBER(SEARCH("TOKGISTIC",B675)),"TOKGISTIC",IF(ISNUMBER(SEARCH("TOCO RAMAI",B675)),"TOCO RAMAI DIGITAL",B675)))))))</f>
        <v>SHOPEE</v>
      </c>
    </row>
    <row r="676" spans="1:24">
      <c r="A676" s="15" t="s">
        <v>79</v>
      </c>
      <c r="B676" s="15" t="s">
        <v>83</v>
      </c>
      <c r="C676" s="15" t="s">
        <v>1516</v>
      </c>
      <c r="D676" s="13">
        <v>46204.840277777781</v>
      </c>
      <c r="E676" s="15" t="s">
        <v>73</v>
      </c>
      <c r="F676" s="15" t="s">
        <v>1517</v>
      </c>
      <c r="G676" s="15" t="s">
        <v>74</v>
      </c>
      <c r="H676" s="15" t="s">
        <v>75</v>
      </c>
      <c r="I676" s="14">
        <v>12000</v>
      </c>
      <c r="J676" s="15" t="s">
        <v>100</v>
      </c>
      <c r="K676" s="15" t="s">
        <v>24</v>
      </c>
      <c r="L676" s="15">
        <v>1</v>
      </c>
      <c r="M676" s="15">
        <v>1</v>
      </c>
      <c r="N676" s="15" t="s">
        <v>76</v>
      </c>
      <c r="O676" s="15" t="s">
        <v>76</v>
      </c>
      <c r="P676" s="14">
        <v>45000</v>
      </c>
      <c r="Q676" s="13">
        <v>46204.840277777781</v>
      </c>
      <c r="R676" s="15" t="s">
        <v>978</v>
      </c>
      <c r="S676" s="11" t="str">
        <f t="shared" si="22"/>
        <v>2026-07-01</v>
      </c>
      <c r="T676" s="11">
        <f>IF($E676="","",IF(COUNTIF($E$2:$E676,$E676)=1,1,0))</f>
        <v>0</v>
      </c>
      <c r="U676" s="11" t="str">
        <f>IF(T676=1,SUM($T$2:T676),"")</f>
        <v/>
      </c>
      <c r="V676" s="11">
        <f>IF(OR($R676="",$R676="-"),"",IF(COUNTIF($R$2:$R676,$R676)=1,1,0))</f>
        <v>0</v>
      </c>
      <c r="W676" s="11" t="str">
        <f>IF(V676=1,SUM($V$2:V676),"")</f>
        <v/>
      </c>
      <c r="X676" s="11" t="str">
        <f t="shared" si="23"/>
        <v>SHOPEE</v>
      </c>
    </row>
    <row r="677" spans="1:24">
      <c r="A677" s="15" t="s">
        <v>79</v>
      </c>
      <c r="B677" s="15" t="s">
        <v>83</v>
      </c>
      <c r="C677" s="15" t="s">
        <v>1518</v>
      </c>
      <c r="D677" s="13">
        <v>46204.809027777781</v>
      </c>
      <c r="E677" s="15" t="s">
        <v>111</v>
      </c>
      <c r="F677" s="15" t="s">
        <v>1519</v>
      </c>
      <c r="G677" s="15" t="s">
        <v>74</v>
      </c>
      <c r="H677" s="15" t="s">
        <v>75</v>
      </c>
      <c r="I677" s="14">
        <v>44000</v>
      </c>
      <c r="J677" s="15" t="s">
        <v>327</v>
      </c>
      <c r="K677" s="15" t="s">
        <v>24</v>
      </c>
      <c r="L677" s="15">
        <v>2</v>
      </c>
      <c r="M677" s="15">
        <v>1.45</v>
      </c>
      <c r="N677" s="15" t="s">
        <v>76</v>
      </c>
      <c r="O677" s="15" t="s">
        <v>76</v>
      </c>
      <c r="P677" s="14">
        <v>270000</v>
      </c>
      <c r="Q677" s="13">
        <v>46204.809027777781</v>
      </c>
      <c r="R677" s="15" t="s">
        <v>1149</v>
      </c>
      <c r="S677" s="11" t="str">
        <f t="shared" si="22"/>
        <v>2026-07-01</v>
      </c>
      <c r="T677" s="11">
        <f>IF($E677="","",IF(COUNTIF($E$2:$E677,$E677)=1,1,0))</f>
        <v>0</v>
      </c>
      <c r="U677" s="11" t="str">
        <f>IF(T677=1,SUM($T$2:T677),"")</f>
        <v/>
      </c>
      <c r="V677" s="11">
        <f>IF(OR($R677="",$R677="-"),"",IF(COUNTIF($R$2:$R677,$R677)=1,1,0))</f>
        <v>0</v>
      </c>
      <c r="W677" s="11" t="str">
        <f>IF(V677=1,SUM($V$2:V677),"")</f>
        <v/>
      </c>
      <c r="X677" s="11" t="str">
        <f t="shared" si="23"/>
        <v>SHOPEE</v>
      </c>
    </row>
    <row r="678" spans="1:24">
      <c r="A678" s="15" t="s">
        <v>79</v>
      </c>
      <c r="B678" s="15" t="s">
        <v>83</v>
      </c>
      <c r="C678" s="15" t="s">
        <v>1520</v>
      </c>
      <c r="D678" s="13">
        <v>46204.779861111114</v>
      </c>
      <c r="E678" s="15" t="s">
        <v>73</v>
      </c>
      <c r="F678" s="15" t="s">
        <v>1521</v>
      </c>
      <c r="G678" s="15" t="s">
        <v>74</v>
      </c>
      <c r="H678" s="15" t="s">
        <v>75</v>
      </c>
      <c r="I678" s="14">
        <v>21000</v>
      </c>
      <c r="J678" s="15" t="s">
        <v>1522</v>
      </c>
      <c r="K678" s="15" t="s">
        <v>24</v>
      </c>
      <c r="L678" s="15">
        <v>1</v>
      </c>
      <c r="M678" s="15">
        <v>1</v>
      </c>
      <c r="N678" s="15" t="s">
        <v>76</v>
      </c>
      <c r="O678" s="15" t="s">
        <v>76</v>
      </c>
      <c r="P678" s="14">
        <v>390000</v>
      </c>
      <c r="Q678" s="13">
        <v>46204.779861111114</v>
      </c>
      <c r="R678" s="15" t="s">
        <v>184</v>
      </c>
      <c r="S678" s="11" t="str">
        <f t="shared" si="22"/>
        <v>2026-07-01</v>
      </c>
      <c r="T678" s="11">
        <f>IF($E678="","",IF(COUNTIF($E$2:$E678,$E678)=1,1,0))</f>
        <v>0</v>
      </c>
      <c r="U678" s="11" t="str">
        <f>IF(T678=1,SUM($T$2:T678),"")</f>
        <v/>
      </c>
      <c r="V678" s="11">
        <f>IF(OR($R678="",$R678="-"),"",IF(COUNTIF($R$2:$R678,$R678)=1,1,0))</f>
        <v>0</v>
      </c>
      <c r="W678" s="11" t="str">
        <f>IF(V678=1,SUM($V$2:V678),"")</f>
        <v/>
      </c>
      <c r="X678" s="11" t="str">
        <f t="shared" si="23"/>
        <v>SHOPEE</v>
      </c>
    </row>
    <row r="679" spans="1:24">
      <c r="A679" s="15" t="s">
        <v>79</v>
      </c>
      <c r="B679" s="15" t="s">
        <v>83</v>
      </c>
      <c r="C679" s="15" t="s">
        <v>1520</v>
      </c>
      <c r="D679" s="13">
        <v>46204.779861111114</v>
      </c>
      <c r="E679" s="15" t="s">
        <v>73</v>
      </c>
      <c r="F679" s="15" t="s">
        <v>1523</v>
      </c>
      <c r="G679" s="15" t="s">
        <v>74</v>
      </c>
      <c r="H679" s="15" t="s">
        <v>75</v>
      </c>
      <c r="I679" s="14">
        <v>48000</v>
      </c>
      <c r="J679" s="15" t="s">
        <v>329</v>
      </c>
      <c r="K679" s="15" t="s">
        <v>24</v>
      </c>
      <c r="L679" s="15">
        <v>1</v>
      </c>
      <c r="M679" s="15">
        <v>1</v>
      </c>
      <c r="N679" s="15" t="s">
        <v>76</v>
      </c>
      <c r="O679" s="15" t="s">
        <v>76</v>
      </c>
      <c r="P679" s="14">
        <v>250000</v>
      </c>
      <c r="Q679" s="13">
        <v>46204.779861111114</v>
      </c>
      <c r="R679" s="15" t="s">
        <v>184</v>
      </c>
      <c r="S679" s="11" t="str">
        <f t="shared" si="22"/>
        <v>2026-07-01</v>
      </c>
      <c r="T679" s="11">
        <f>IF($E679="","",IF(COUNTIF($E$2:$E679,$E679)=1,1,0))</f>
        <v>0</v>
      </c>
      <c r="U679" s="11" t="str">
        <f>IF(T679=1,SUM($T$2:T679),"")</f>
        <v/>
      </c>
      <c r="V679" s="11">
        <f>IF(OR($R679="",$R679="-"),"",IF(COUNTIF($R$2:$R679,$R679)=1,1,0))</f>
        <v>0</v>
      </c>
      <c r="W679" s="11" t="str">
        <f>IF(V679=1,SUM($V$2:V679),"")</f>
        <v/>
      </c>
      <c r="X679" s="11" t="str">
        <f t="shared" si="23"/>
        <v>SHOPEE</v>
      </c>
    </row>
    <row r="680" spans="1:24">
      <c r="A680" s="15" t="s">
        <v>79</v>
      </c>
      <c r="B680" s="15" t="s">
        <v>80</v>
      </c>
      <c r="C680" s="15" t="s">
        <v>1524</v>
      </c>
      <c r="D680" s="13">
        <v>46204.76666666667</v>
      </c>
      <c r="E680" s="15" t="s">
        <v>111</v>
      </c>
      <c r="F680" s="15" t="s">
        <v>1525</v>
      </c>
      <c r="G680" s="15" t="s">
        <v>74</v>
      </c>
      <c r="H680" s="15" t="s">
        <v>75</v>
      </c>
      <c r="I680" s="14">
        <v>12000</v>
      </c>
      <c r="J680" s="15" t="s">
        <v>172</v>
      </c>
      <c r="K680" s="15" t="s">
        <v>24</v>
      </c>
      <c r="L680" s="15">
        <v>1</v>
      </c>
      <c r="M680" s="15">
        <v>0.4</v>
      </c>
      <c r="N680" s="15" t="s">
        <v>76</v>
      </c>
      <c r="O680" s="15" t="s">
        <v>76</v>
      </c>
      <c r="P680" s="14">
        <v>529000</v>
      </c>
      <c r="Q680" s="13">
        <v>46204.767361111109</v>
      </c>
      <c r="R680" s="15" t="s">
        <v>1526</v>
      </c>
      <c r="S680" s="11" t="str">
        <f t="shared" si="22"/>
        <v>2026-07-01</v>
      </c>
      <c r="T680" s="11">
        <f>IF($E680="","",IF(COUNTIF($E$2:$E680,$E680)=1,1,0))</f>
        <v>0</v>
      </c>
      <c r="U680" s="11" t="str">
        <f>IF(T680=1,SUM($T$2:T680),"")</f>
        <v/>
      </c>
      <c r="V680" s="11">
        <f>IF(OR($R680="",$R680="-"),"",IF(COUNTIF($R$2:$R680,$R680)=1,1,0))</f>
        <v>1</v>
      </c>
      <c r="W680" s="11">
        <f>IF(V680=1,SUM($V$2:V680),"")</f>
        <v>223</v>
      </c>
      <c r="X680" s="11" t="str">
        <f t="shared" si="23"/>
        <v>SHOPEE</v>
      </c>
    </row>
    <row r="681" spans="1:24">
      <c r="A681" s="15" t="s">
        <v>79</v>
      </c>
      <c r="B681" s="15" t="s">
        <v>80</v>
      </c>
      <c r="C681" s="15" t="s">
        <v>1527</v>
      </c>
      <c r="D681" s="13">
        <v>46204.743750000001</v>
      </c>
      <c r="E681" s="15" t="s">
        <v>111</v>
      </c>
      <c r="F681" s="15" t="s">
        <v>1528</v>
      </c>
      <c r="G681" s="15" t="s">
        <v>74</v>
      </c>
      <c r="H681" s="15" t="s">
        <v>75</v>
      </c>
      <c r="I681" s="14">
        <v>12000</v>
      </c>
      <c r="J681" s="15" t="s">
        <v>107</v>
      </c>
      <c r="K681" s="15" t="s">
        <v>24</v>
      </c>
      <c r="L681" s="15">
        <v>1</v>
      </c>
      <c r="M681" s="15">
        <v>0.14000000000000001</v>
      </c>
      <c r="N681" s="15" t="s">
        <v>76</v>
      </c>
      <c r="O681" s="15" t="s">
        <v>76</v>
      </c>
      <c r="P681" s="14">
        <v>11499</v>
      </c>
      <c r="Q681" s="13">
        <v>46204.744444444441</v>
      </c>
      <c r="R681" s="15" t="s">
        <v>1529</v>
      </c>
      <c r="S681" s="11" t="str">
        <f t="shared" si="22"/>
        <v>2026-07-01</v>
      </c>
      <c r="T681" s="11">
        <f>IF($E681="","",IF(COUNTIF($E$2:$E681,$E681)=1,1,0))</f>
        <v>0</v>
      </c>
      <c r="U681" s="11" t="str">
        <f>IF(T681=1,SUM($T$2:T681),"")</f>
        <v/>
      </c>
      <c r="V681" s="11">
        <f>IF(OR($R681="",$R681="-"),"",IF(COUNTIF($R$2:$R681,$R681)=1,1,0))</f>
        <v>1</v>
      </c>
      <c r="W681" s="11">
        <f>IF(V681=1,SUM($V$2:V681),"")</f>
        <v>224</v>
      </c>
      <c r="X681" s="11" t="str">
        <f t="shared" si="23"/>
        <v>SHOPEE</v>
      </c>
    </row>
    <row r="682" spans="1:24">
      <c r="A682" s="15" t="s">
        <v>79</v>
      </c>
      <c r="B682" s="15" t="s">
        <v>83</v>
      </c>
      <c r="C682" s="15" t="s">
        <v>1530</v>
      </c>
      <c r="D682" s="13">
        <v>46204.737500000003</v>
      </c>
      <c r="E682" s="15" t="s">
        <v>95</v>
      </c>
      <c r="F682" s="15" t="s">
        <v>1531</v>
      </c>
      <c r="G682" s="15" t="s">
        <v>74</v>
      </c>
      <c r="H682" s="15" t="s">
        <v>75</v>
      </c>
      <c r="I682" s="14">
        <v>6000</v>
      </c>
      <c r="J682" s="15" t="s">
        <v>192</v>
      </c>
      <c r="K682" s="15" t="s">
        <v>27</v>
      </c>
      <c r="L682" s="15">
        <v>2</v>
      </c>
      <c r="M682" s="15">
        <v>0.16</v>
      </c>
      <c r="N682" s="15" t="s">
        <v>76</v>
      </c>
      <c r="O682" s="15" t="s">
        <v>76</v>
      </c>
      <c r="P682" s="14">
        <v>162126</v>
      </c>
      <c r="Q682" s="13">
        <v>46204.737500000003</v>
      </c>
      <c r="R682" s="15" t="s">
        <v>270</v>
      </c>
      <c r="S682" s="11" t="str">
        <f t="shared" si="22"/>
        <v>2026-07-01</v>
      </c>
      <c r="T682" s="11">
        <f>IF($E682="","",IF(COUNTIF($E$2:$E682,$E682)=1,1,0))</f>
        <v>0</v>
      </c>
      <c r="U682" s="11" t="str">
        <f>IF(T682=1,SUM($T$2:T682),"")</f>
        <v/>
      </c>
      <c r="V682" s="11">
        <f>IF(OR($R682="",$R682="-"),"",IF(COUNTIF($R$2:$R682,$R682)=1,1,0))</f>
        <v>0</v>
      </c>
      <c r="W682" s="11" t="str">
        <f>IF(V682=1,SUM($V$2:V682),"")</f>
        <v/>
      </c>
      <c r="X682" s="11" t="str">
        <f t="shared" si="23"/>
        <v>SHOPEE</v>
      </c>
    </row>
    <row r="683" spans="1:24">
      <c r="A683" s="15" t="s">
        <v>79</v>
      </c>
      <c r="B683" s="15" t="s">
        <v>83</v>
      </c>
      <c r="C683" s="15" t="s">
        <v>1532</v>
      </c>
      <c r="D683" s="13">
        <v>46204.719444444447</v>
      </c>
      <c r="E683" s="15" t="s">
        <v>111</v>
      </c>
      <c r="F683" s="15" t="s">
        <v>1533</v>
      </c>
      <c r="G683" s="15" t="s">
        <v>74</v>
      </c>
      <c r="H683" s="15" t="s">
        <v>75</v>
      </c>
      <c r="I683" s="14">
        <v>12000</v>
      </c>
      <c r="J683" s="15" t="s">
        <v>198</v>
      </c>
      <c r="K683" s="15" t="s">
        <v>24</v>
      </c>
      <c r="L683" s="15">
        <v>1</v>
      </c>
      <c r="M683" s="15">
        <v>0.06</v>
      </c>
      <c r="N683" s="15" t="s">
        <v>76</v>
      </c>
      <c r="O683" s="15" t="s">
        <v>76</v>
      </c>
      <c r="P683" s="14">
        <v>80000</v>
      </c>
      <c r="Q683" s="13">
        <v>46204.719444444447</v>
      </c>
      <c r="R683" s="15" t="s">
        <v>292</v>
      </c>
      <c r="S683" s="11" t="str">
        <f t="shared" si="22"/>
        <v>2026-07-01</v>
      </c>
      <c r="T683" s="11">
        <f>IF($E683="","",IF(COUNTIF($E$2:$E683,$E683)=1,1,0))</f>
        <v>0</v>
      </c>
      <c r="U683" s="11" t="str">
        <f>IF(T683=1,SUM($T$2:T683),"")</f>
        <v/>
      </c>
      <c r="V683" s="11">
        <f>IF(OR($R683="",$R683="-"),"",IF(COUNTIF($R$2:$R683,$R683)=1,1,0))</f>
        <v>1</v>
      </c>
      <c r="W683" s="11">
        <f>IF(V683=1,SUM($V$2:V683),"")</f>
        <v>225</v>
      </c>
      <c r="X683" s="11" t="str">
        <f t="shared" si="23"/>
        <v>SHOPEE</v>
      </c>
    </row>
    <row r="684" spans="1:24">
      <c r="A684" s="15" t="s">
        <v>79</v>
      </c>
      <c r="B684" s="15" t="s">
        <v>83</v>
      </c>
      <c r="C684" s="15" t="s">
        <v>1534</v>
      </c>
      <c r="D684" s="13">
        <v>46204.711111111108</v>
      </c>
      <c r="E684" s="15" t="s">
        <v>73</v>
      </c>
      <c r="F684" s="15" t="s">
        <v>1535</v>
      </c>
      <c r="G684" s="15" t="s">
        <v>74</v>
      </c>
      <c r="H684" s="15" t="s">
        <v>75</v>
      </c>
      <c r="I684" s="14">
        <v>12000</v>
      </c>
      <c r="J684" s="15" t="s">
        <v>303</v>
      </c>
      <c r="K684" s="15" t="s">
        <v>24</v>
      </c>
      <c r="L684" s="15">
        <v>1</v>
      </c>
      <c r="M684" s="15">
        <v>0.17</v>
      </c>
      <c r="N684" s="15" t="s">
        <v>76</v>
      </c>
      <c r="O684" s="15" t="s">
        <v>76</v>
      </c>
      <c r="P684" s="14">
        <v>57000</v>
      </c>
      <c r="Q684" s="13">
        <v>46204.711111111108</v>
      </c>
      <c r="R684" s="15" t="s">
        <v>91</v>
      </c>
      <c r="S684" s="11" t="str">
        <f t="shared" si="22"/>
        <v>2026-07-01</v>
      </c>
      <c r="T684" s="11">
        <f>IF($E684="","",IF(COUNTIF($E$2:$E684,$E684)=1,1,0))</f>
        <v>0</v>
      </c>
      <c r="U684" s="11" t="str">
        <f>IF(T684=1,SUM($T$2:T684),"")</f>
        <v/>
      </c>
      <c r="V684" s="11">
        <f>IF(OR($R684="",$R684="-"),"",IF(COUNTIF($R$2:$R684,$R684)=1,1,0))</f>
        <v>0</v>
      </c>
      <c r="W684" s="11" t="str">
        <f>IF(V684=1,SUM($V$2:V684),"")</f>
        <v/>
      </c>
      <c r="X684" s="11" t="str">
        <f t="shared" si="23"/>
        <v>SHOPEE</v>
      </c>
    </row>
    <row r="685" spans="1:24">
      <c r="A685" s="15" t="s">
        <v>79</v>
      </c>
      <c r="B685" s="15" t="s">
        <v>83</v>
      </c>
      <c r="C685" s="15" t="s">
        <v>1536</v>
      </c>
      <c r="D685" s="13">
        <v>46204.711111111108</v>
      </c>
      <c r="E685" s="15" t="s">
        <v>111</v>
      </c>
      <c r="F685" s="15" t="s">
        <v>1537</v>
      </c>
      <c r="G685" s="15" t="s">
        <v>74</v>
      </c>
      <c r="H685" s="15" t="s">
        <v>75</v>
      </c>
      <c r="I685" s="14">
        <v>18000</v>
      </c>
      <c r="J685" s="15" t="s">
        <v>1538</v>
      </c>
      <c r="K685" s="15" t="s">
        <v>24</v>
      </c>
      <c r="L685" s="15">
        <v>1</v>
      </c>
      <c r="M685" s="15">
        <v>0.4</v>
      </c>
      <c r="N685" s="15" t="s">
        <v>76</v>
      </c>
      <c r="O685" s="15" t="s">
        <v>76</v>
      </c>
      <c r="P685" s="14">
        <v>380000</v>
      </c>
      <c r="Q685" s="13">
        <v>46204.711111111108</v>
      </c>
      <c r="R685" s="15" t="s">
        <v>266</v>
      </c>
      <c r="S685" s="11" t="str">
        <f t="shared" si="22"/>
        <v>2026-07-01</v>
      </c>
      <c r="T685" s="11">
        <f>IF($E685="","",IF(COUNTIF($E$2:$E685,$E685)=1,1,0))</f>
        <v>0</v>
      </c>
      <c r="U685" s="11" t="str">
        <f>IF(T685=1,SUM($T$2:T685),"")</f>
        <v/>
      </c>
      <c r="V685" s="11">
        <f>IF(OR($R685="",$R685="-"),"",IF(COUNTIF($R$2:$R685,$R685)=1,1,0))</f>
        <v>0</v>
      </c>
      <c r="W685" s="11" t="str">
        <f>IF(V685=1,SUM($V$2:V685),"")</f>
        <v/>
      </c>
      <c r="X685" s="11" t="str">
        <f t="shared" si="23"/>
        <v>SHOPEE</v>
      </c>
    </row>
    <row r="686" spans="1:24">
      <c r="A686" s="15" t="s">
        <v>79</v>
      </c>
      <c r="B686" s="15" t="s">
        <v>83</v>
      </c>
      <c r="C686" s="15" t="s">
        <v>1539</v>
      </c>
      <c r="D686" s="13">
        <v>46204.693749999999</v>
      </c>
      <c r="E686" s="15" t="s">
        <v>73</v>
      </c>
      <c r="F686" s="15" t="s">
        <v>1540</v>
      </c>
      <c r="G686" s="15" t="s">
        <v>74</v>
      </c>
      <c r="H686" s="15" t="s">
        <v>75</v>
      </c>
      <c r="I686" s="14">
        <v>17000</v>
      </c>
      <c r="J686" s="15" t="s">
        <v>297</v>
      </c>
      <c r="K686" s="15" t="s">
        <v>24</v>
      </c>
      <c r="L686" s="15">
        <v>1</v>
      </c>
      <c r="M686" s="15">
        <v>0.11</v>
      </c>
      <c r="N686" s="15" t="s">
        <v>76</v>
      </c>
      <c r="O686" s="15" t="s">
        <v>76</v>
      </c>
      <c r="P686" s="14">
        <v>228000</v>
      </c>
      <c r="Q686" s="13">
        <v>46204.693749999999</v>
      </c>
      <c r="R686" s="15" t="s">
        <v>109</v>
      </c>
      <c r="S686" s="11" t="str">
        <f t="shared" si="22"/>
        <v>2026-07-01</v>
      </c>
      <c r="T686" s="11">
        <f>IF($E686="","",IF(COUNTIF($E$2:$E686,$E686)=1,1,0))</f>
        <v>0</v>
      </c>
      <c r="U686" s="11" t="str">
        <f>IF(T686=1,SUM($T$2:T686),"")</f>
        <v/>
      </c>
      <c r="V686" s="11">
        <f>IF(OR($R686="",$R686="-"),"",IF(COUNTIF($R$2:$R686,$R686)=1,1,0))</f>
        <v>0</v>
      </c>
      <c r="W686" s="11" t="str">
        <f>IF(V686=1,SUM($V$2:V686),"")</f>
        <v/>
      </c>
      <c r="X686" s="11" t="str">
        <f t="shared" si="23"/>
        <v>SHOPEE</v>
      </c>
    </row>
    <row r="687" spans="1:24">
      <c r="A687" s="15" t="s">
        <v>79</v>
      </c>
      <c r="B687" s="15" t="s">
        <v>83</v>
      </c>
      <c r="C687" s="15" t="s">
        <v>1539</v>
      </c>
      <c r="D687" s="13">
        <v>46204.693749999999</v>
      </c>
      <c r="E687" s="15" t="s">
        <v>73</v>
      </c>
      <c r="F687" s="15" t="s">
        <v>1541</v>
      </c>
      <c r="G687" s="15" t="s">
        <v>74</v>
      </c>
      <c r="H687" s="15" t="s">
        <v>75</v>
      </c>
      <c r="I687" s="14">
        <v>15000</v>
      </c>
      <c r="J687" s="15" t="s">
        <v>81</v>
      </c>
      <c r="K687" s="15" t="s">
        <v>25</v>
      </c>
      <c r="L687" s="15">
        <v>1</v>
      </c>
      <c r="M687" s="15">
        <v>0.2</v>
      </c>
      <c r="N687" s="15" t="s">
        <v>76</v>
      </c>
      <c r="O687" s="15" t="s">
        <v>76</v>
      </c>
      <c r="P687" s="14">
        <v>11501</v>
      </c>
      <c r="Q687" s="13">
        <v>46204.693749999999</v>
      </c>
      <c r="R687" s="15" t="s">
        <v>143</v>
      </c>
      <c r="S687" s="11" t="str">
        <f t="shared" si="22"/>
        <v>2026-07-01</v>
      </c>
      <c r="T687" s="11">
        <f>IF($E687="","",IF(COUNTIF($E$2:$E687,$E687)=1,1,0))</f>
        <v>0</v>
      </c>
      <c r="U687" s="11" t="str">
        <f>IF(T687=1,SUM($T$2:T687),"")</f>
        <v/>
      </c>
      <c r="V687" s="11">
        <f>IF(OR($R687="",$R687="-"),"",IF(COUNTIF($R$2:$R687,$R687)=1,1,0))</f>
        <v>0</v>
      </c>
      <c r="W687" s="11" t="str">
        <f>IF(V687=1,SUM($V$2:V687),"")</f>
        <v/>
      </c>
      <c r="X687" s="11" t="str">
        <f t="shared" si="23"/>
        <v>SHOPEE</v>
      </c>
    </row>
    <row r="688" spans="1:24">
      <c r="A688" s="15" t="s">
        <v>79</v>
      </c>
      <c r="B688" s="15" t="s">
        <v>80</v>
      </c>
      <c r="C688" s="15" t="s">
        <v>1542</v>
      </c>
      <c r="D688" s="13">
        <v>46204.647222222222</v>
      </c>
      <c r="E688" s="15" t="s">
        <v>111</v>
      </c>
      <c r="F688" s="15" t="s">
        <v>1543</v>
      </c>
      <c r="G688" s="15" t="s">
        <v>74</v>
      </c>
      <c r="H688" s="15" t="s">
        <v>75</v>
      </c>
      <c r="I688" s="14">
        <v>12000</v>
      </c>
      <c r="J688" s="15" t="s">
        <v>343</v>
      </c>
      <c r="K688" s="15" t="s">
        <v>24</v>
      </c>
      <c r="L688" s="15">
        <v>1</v>
      </c>
      <c r="M688" s="15">
        <v>0.4</v>
      </c>
      <c r="N688" s="15" t="s">
        <v>76</v>
      </c>
      <c r="O688" s="15" t="s">
        <v>76</v>
      </c>
      <c r="P688" s="14">
        <v>105000</v>
      </c>
      <c r="Q688" s="13">
        <v>46204.647222222222</v>
      </c>
      <c r="R688" s="15" t="s">
        <v>220</v>
      </c>
      <c r="S688" s="11" t="str">
        <f t="shared" si="22"/>
        <v>2026-07-01</v>
      </c>
      <c r="T688" s="11">
        <f>IF($E688="","",IF(COUNTIF($E$2:$E688,$E688)=1,1,0))</f>
        <v>0</v>
      </c>
      <c r="U688" s="11" t="str">
        <f>IF(T688=1,SUM($T$2:T688),"")</f>
        <v/>
      </c>
      <c r="V688" s="11">
        <f>IF(OR($R688="",$R688="-"),"",IF(COUNTIF($R$2:$R688,$R688)=1,1,0))</f>
        <v>1</v>
      </c>
      <c r="W688" s="11">
        <f>IF(V688=1,SUM($V$2:V688),"")</f>
        <v>226</v>
      </c>
      <c r="X688" s="11" t="str">
        <f t="shared" si="23"/>
        <v>SHOPEE</v>
      </c>
    </row>
    <row r="689" spans="1:24">
      <c r="A689" s="15" t="s">
        <v>79</v>
      </c>
      <c r="B689" s="15" t="s">
        <v>83</v>
      </c>
      <c r="C689" s="15" t="s">
        <v>1544</v>
      </c>
      <c r="D689" s="13">
        <v>46204.604861111111</v>
      </c>
      <c r="E689" s="15" t="s">
        <v>111</v>
      </c>
      <c r="F689" s="15" t="s">
        <v>1545</v>
      </c>
      <c r="G689" s="15" t="s">
        <v>74</v>
      </c>
      <c r="H689" s="15" t="s">
        <v>75</v>
      </c>
      <c r="I689" s="14">
        <v>36000</v>
      </c>
      <c r="J689" s="15" t="s">
        <v>321</v>
      </c>
      <c r="K689" s="15" t="s">
        <v>26</v>
      </c>
      <c r="L689" s="15">
        <v>1</v>
      </c>
      <c r="M689" s="15">
        <v>7</v>
      </c>
      <c r="N689" s="15" t="s">
        <v>76</v>
      </c>
      <c r="O689" s="15" t="s">
        <v>76</v>
      </c>
      <c r="P689" s="14">
        <v>305000</v>
      </c>
      <c r="Q689" s="13">
        <v>46204.604861111111</v>
      </c>
      <c r="R689" s="15" t="s">
        <v>171</v>
      </c>
      <c r="S689" s="11" t="str">
        <f t="shared" si="22"/>
        <v>2026-07-01</v>
      </c>
      <c r="T689" s="11">
        <f>IF($E689="","",IF(COUNTIF($E$2:$E689,$E689)=1,1,0))</f>
        <v>0</v>
      </c>
      <c r="U689" s="11" t="str">
        <f>IF(T689=1,SUM($T$2:T689),"")</f>
        <v/>
      </c>
      <c r="V689" s="11">
        <f>IF(OR($R689="",$R689="-"),"",IF(COUNTIF($R$2:$R689,$R689)=1,1,0))</f>
        <v>0</v>
      </c>
      <c r="W689" s="11" t="str">
        <f>IF(V689=1,SUM($V$2:V689),"")</f>
        <v/>
      </c>
      <c r="X689" s="11" t="str">
        <f t="shared" si="23"/>
        <v>SHOPEE</v>
      </c>
    </row>
    <row r="690" spans="1:24">
      <c r="A690" s="15" t="s">
        <v>79</v>
      </c>
      <c r="B690" s="15" t="s">
        <v>80</v>
      </c>
      <c r="C690" s="15" t="s">
        <v>1546</v>
      </c>
      <c r="D690" s="13">
        <v>46204.561805555553</v>
      </c>
      <c r="E690" s="15" t="s">
        <v>95</v>
      </c>
      <c r="F690" s="15" t="s">
        <v>1547</v>
      </c>
      <c r="G690" s="15" t="s">
        <v>74</v>
      </c>
      <c r="H690" s="15" t="s">
        <v>75</v>
      </c>
      <c r="I690" s="14">
        <v>12000</v>
      </c>
      <c r="J690" s="15" t="s">
        <v>1548</v>
      </c>
      <c r="K690" s="15" t="s">
        <v>24</v>
      </c>
      <c r="L690" s="15">
        <v>2</v>
      </c>
      <c r="M690" s="15">
        <v>0.1</v>
      </c>
      <c r="N690" s="15" t="s">
        <v>76</v>
      </c>
      <c r="O690" s="15" t="s">
        <v>76</v>
      </c>
      <c r="P690" s="14">
        <v>25800</v>
      </c>
      <c r="Q690" s="13">
        <v>46204.5625</v>
      </c>
      <c r="R690" s="15" t="s">
        <v>379</v>
      </c>
      <c r="S690" s="11" t="str">
        <f t="shared" si="22"/>
        <v>2026-07-01</v>
      </c>
      <c r="T690" s="11">
        <f>IF($E690="","",IF(COUNTIF($E$2:$E690,$E690)=1,1,0))</f>
        <v>0</v>
      </c>
      <c r="U690" s="11" t="str">
        <f>IF(T690=1,SUM($T$2:T690),"")</f>
        <v/>
      </c>
      <c r="V690" s="11">
        <f>IF(OR($R690="",$R690="-"),"",IF(COUNTIF($R$2:$R690,$R690)=1,1,0))</f>
        <v>0</v>
      </c>
      <c r="W690" s="11" t="str">
        <f>IF(V690=1,SUM($V$2:V690),"")</f>
        <v/>
      </c>
      <c r="X690" s="11" t="str">
        <f t="shared" si="23"/>
        <v>SHOPEE</v>
      </c>
    </row>
    <row r="691" spans="1:24">
      <c r="A691" s="15" t="s">
        <v>79</v>
      </c>
      <c r="B691" s="15" t="s">
        <v>83</v>
      </c>
      <c r="C691" s="15" t="s">
        <v>1549</v>
      </c>
      <c r="D691" s="13">
        <v>46204.511111111111</v>
      </c>
      <c r="E691" s="15" t="s">
        <v>95</v>
      </c>
      <c r="F691" s="15" t="s">
        <v>1550</v>
      </c>
      <c r="G691" s="15" t="s">
        <v>74</v>
      </c>
      <c r="H691" s="15" t="s">
        <v>75</v>
      </c>
      <c r="I691" s="14">
        <v>24000</v>
      </c>
      <c r="J691" s="15" t="s">
        <v>1551</v>
      </c>
      <c r="K691" s="15" t="s">
        <v>24</v>
      </c>
      <c r="L691" s="15">
        <v>1</v>
      </c>
      <c r="M691" s="15">
        <v>1</v>
      </c>
      <c r="N691" s="15" t="s">
        <v>76</v>
      </c>
      <c r="O691" s="15" t="s">
        <v>76</v>
      </c>
      <c r="P691" s="14">
        <v>45500</v>
      </c>
      <c r="Q691" s="13">
        <v>46204.511805555558</v>
      </c>
      <c r="R691" s="15" t="s">
        <v>147</v>
      </c>
      <c r="S691" s="11" t="str">
        <f t="shared" si="22"/>
        <v>2026-07-01</v>
      </c>
      <c r="T691" s="11">
        <f>IF($E691="","",IF(COUNTIF($E$2:$E691,$E691)=1,1,0))</f>
        <v>0</v>
      </c>
      <c r="U691" s="11" t="str">
        <f>IF(T691=1,SUM($T$2:T691),"")</f>
        <v/>
      </c>
      <c r="V691" s="11">
        <f>IF(OR($R691="",$R691="-"),"",IF(COUNTIF($R$2:$R691,$R691)=1,1,0))</f>
        <v>0</v>
      </c>
      <c r="W691" s="11" t="str">
        <f>IF(V691=1,SUM($V$2:V691),"")</f>
        <v/>
      </c>
      <c r="X691" s="11" t="str">
        <f t="shared" si="23"/>
        <v>SHOPEE</v>
      </c>
    </row>
    <row r="692" spans="1:24">
      <c r="S692" s="11" t="str">
        <f t="shared" si="22"/>
        <v/>
      </c>
      <c r="T692" s="11" t="str">
        <f>IF($E692="","",IF(COUNTIF($E$2:$E692,$E692)=1,1,0))</f>
        <v/>
      </c>
      <c r="U692" s="11" t="str">
        <f>IF(T692=1,SUM($T$2:T692),"")</f>
        <v/>
      </c>
      <c r="V692" s="11" t="str">
        <f>IF(OR($R692="",$R692="-"),"",IF(COUNTIF($R$2:$R692,$R692)=1,1,0))</f>
        <v/>
      </c>
      <c r="W692" s="11" t="str">
        <f>IF(V692=1,SUM($V$2:V692),"")</f>
        <v/>
      </c>
      <c r="X692" s="11">
        <f t="shared" si="23"/>
        <v>0</v>
      </c>
    </row>
    <row r="693" spans="1:24">
      <c r="S693" s="11" t="str">
        <f t="shared" si="22"/>
        <v/>
      </c>
      <c r="T693" s="11" t="str">
        <f>IF($E693="","",IF(COUNTIF($E$2:$E693,$E693)=1,1,0))</f>
        <v/>
      </c>
      <c r="U693" s="11" t="str">
        <f>IF(T693=1,SUM($T$2:T693),"")</f>
        <v/>
      </c>
      <c r="V693" s="11" t="str">
        <f>IF(OR($R693="",$R693="-"),"",IF(COUNTIF($R$2:$R693,$R693)=1,1,0))</f>
        <v/>
      </c>
      <c r="W693" s="11" t="str">
        <f>IF(V693=1,SUM($V$2:V693),"")</f>
        <v/>
      </c>
      <c r="X693" s="11">
        <f t="shared" si="23"/>
        <v>0</v>
      </c>
    </row>
    <row r="694" spans="1:24">
      <c r="S694" s="11" t="str">
        <f t="shared" si="22"/>
        <v/>
      </c>
      <c r="T694" s="11" t="str">
        <f>IF($E694="","",IF(COUNTIF($E$2:$E694,$E694)=1,1,0))</f>
        <v/>
      </c>
      <c r="U694" s="11" t="str">
        <f>IF(T694=1,SUM($T$2:T694),"")</f>
        <v/>
      </c>
      <c r="V694" s="11" t="str">
        <f>IF(OR($R694="",$R694="-"),"",IF(COUNTIF($R$2:$R694,$R694)=1,1,0))</f>
        <v/>
      </c>
      <c r="W694" s="11" t="str">
        <f>IF(V694=1,SUM($V$2:V694),"")</f>
        <v/>
      </c>
      <c r="X694" s="11">
        <f t="shared" si="23"/>
        <v>0</v>
      </c>
    </row>
    <row r="695" spans="1:24">
      <c r="S695" s="11" t="str">
        <f t="shared" si="22"/>
        <v/>
      </c>
      <c r="T695" s="11" t="str">
        <f>IF($E695="","",IF(COUNTIF($E$2:$E695,$E695)=1,1,0))</f>
        <v/>
      </c>
      <c r="U695" s="11" t="str">
        <f>IF(T695=1,SUM($T$2:T695),"")</f>
        <v/>
      </c>
      <c r="V695" s="11" t="str">
        <f>IF(OR($R695="",$R695="-"),"",IF(COUNTIF($R$2:$R695,$R695)=1,1,0))</f>
        <v/>
      </c>
      <c r="W695" s="11" t="str">
        <f>IF(V695=1,SUM($V$2:V695),"")</f>
        <v/>
      </c>
      <c r="X695" s="11">
        <f t="shared" si="23"/>
        <v>0</v>
      </c>
    </row>
    <row r="696" spans="1:24">
      <c r="S696" s="11" t="str">
        <f t="shared" si="22"/>
        <v/>
      </c>
      <c r="T696" s="11" t="str">
        <f>IF($E696="","",IF(COUNTIF($E$2:$E696,$E696)=1,1,0))</f>
        <v/>
      </c>
      <c r="U696" s="11" t="str">
        <f>IF(T696=1,SUM($T$2:T696),"")</f>
        <v/>
      </c>
      <c r="V696" s="11" t="str">
        <f>IF(OR($R696="",$R696="-"),"",IF(COUNTIF($R$2:$R696,$R696)=1,1,0))</f>
        <v/>
      </c>
      <c r="W696" s="11" t="str">
        <f>IF(V696=1,SUM($V$2:V696),"")</f>
        <v/>
      </c>
      <c r="X696" s="11">
        <f t="shared" si="2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M9" sqref="M9"/>
    </sheetView>
  </sheetViews>
  <sheetFormatPr defaultColWidth="9" defaultRowHeight="15"/>
  <cols>
    <col min="1" max="1" width="20.140625" customWidth="1"/>
    <col min="2" max="2" width="17.85546875" customWidth="1"/>
    <col min="3" max="8" width="14.5703125" customWidth="1"/>
  </cols>
  <sheetData>
    <row r="1" spans="1:8" ht="23.25">
      <c r="A1" s="16" t="s">
        <v>32</v>
      </c>
      <c r="B1" s="17"/>
      <c r="C1" s="17"/>
      <c r="D1" s="17"/>
      <c r="E1" s="17"/>
      <c r="F1" s="17"/>
      <c r="G1" s="17"/>
      <c r="H1" s="17"/>
    </row>
    <row r="2" spans="1:8">
      <c r="A2" s="18" t="str">
        <f>"Periode: "&amp;TEXT(MAX('Raw Data'!$Q$2:$Q$50000),"MMMM YYYY")&amp;"   "</f>
        <v xml:space="preserve">Periode: July 2026   </v>
      </c>
      <c r="B2" s="17"/>
      <c r="C2" s="17"/>
      <c r="D2" s="17"/>
      <c r="E2" s="17"/>
      <c r="F2" s="17"/>
      <c r="G2" s="17"/>
      <c r="H2" s="17"/>
    </row>
    <row r="4" spans="1:8" ht="20.100000000000001" customHeight="1">
      <c r="A4" s="19" t="s">
        <v>33</v>
      </c>
      <c r="B4" s="20"/>
      <c r="C4" s="19" t="s">
        <v>34</v>
      </c>
      <c r="D4" s="20"/>
      <c r="E4" s="19" t="s">
        <v>35</v>
      </c>
      <c r="F4" s="20"/>
      <c r="G4" s="19" t="s">
        <v>36</v>
      </c>
      <c r="H4" s="20"/>
    </row>
    <row r="5" spans="1:8" ht="26.1" customHeight="1">
      <c r="A5" s="22">
        <f>SUM('Rekap User'!B4:B11)</f>
        <v>690</v>
      </c>
      <c r="B5" s="20"/>
      <c r="C5" s="22">
        <f>SUM('Rekap User'!C4:C11)</f>
        <v>19874000</v>
      </c>
      <c r="D5" s="20"/>
      <c r="E5" s="22">
        <f>IFERROR(SUM('Rekap User'!C4:C11)/SUM('Rekap User'!B4:B11),0)</f>
        <v>28802.898550724636</v>
      </c>
      <c r="F5" s="20"/>
      <c r="G5" s="22">
        <f>SUM('Raw Data'!$M$2:$M$50000)</f>
        <v>1317.6500000000003</v>
      </c>
      <c r="H5" s="20"/>
    </row>
    <row r="7" spans="1:8" ht="20.100000000000001" customHeight="1">
      <c r="A7" s="19" t="s">
        <v>37</v>
      </c>
      <c r="B7" s="20"/>
      <c r="C7" s="19" t="s">
        <v>38</v>
      </c>
      <c r="D7" s="20"/>
      <c r="E7" s="19" t="s">
        <v>39</v>
      </c>
      <c r="F7" s="20"/>
      <c r="G7" s="19" t="s">
        <v>40</v>
      </c>
      <c r="H7" s="20"/>
    </row>
    <row r="8" spans="1:8" ht="26.1" customHeight="1">
      <c r="A8" s="21" t="str">
        <f>INDEX('Rekap User'!$A$4:$A$11,MATCH(1,'Rekap User'!$D$4:$D$11,0))&amp;" — Rp"&amp;TEXT(INDEX('Rekap User'!$C$4:$C$11,MATCH(1,'Rekap User'!$D$4:$D$11,0)),"#,##0")</f>
        <v>FATAPE — Rp8,681,000</v>
      </c>
      <c r="B8" s="20"/>
      <c r="C8" s="21" t="str">
        <f>SUMPRODUCT(--('Rekap User'!$A$4:$A$11&lt;&gt;""))&amp;" orang"</f>
        <v>4 orang</v>
      </c>
      <c r="D8" s="20"/>
      <c r="E8" s="21" t="str">
        <f>INDEX('Rekap Service'!$A$4:$A$11,MATCH(MAX('Rekap Service'!$C$4:$C$11),'Rekap Service'!$C$4:$C$11,0))</f>
        <v>REG23</v>
      </c>
      <c r="F8" s="20"/>
      <c r="G8" s="21" t="str">
        <f>INDEX('Rekap Marketplace'!$A$5:$A$11,MATCH(MAX('Rekap Marketplace'!$C$5:$C$11),'Rekap Marketplace'!$C$5:$C$11,0))</f>
        <v>SHOPEE</v>
      </c>
      <c r="H8" s="20"/>
    </row>
    <row r="10" spans="1:8" ht="15.75">
      <c r="A10" s="3" t="s">
        <v>41</v>
      </c>
    </row>
  </sheetData>
  <mergeCells count="18">
    <mergeCell ref="A8:B8"/>
    <mergeCell ref="C8:D8"/>
    <mergeCell ref="E8:F8"/>
    <mergeCell ref="G8:H8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20" sqref="F20"/>
    </sheetView>
  </sheetViews>
  <sheetFormatPr defaultColWidth="9" defaultRowHeight="15"/>
  <cols>
    <col min="1" max="1" width="16" customWidth="1"/>
    <col min="2" max="2" width="18" customWidth="1"/>
    <col min="3" max="3" width="20" customWidth="1"/>
    <col min="4" max="4" width="18" customWidth="1"/>
  </cols>
  <sheetData>
    <row r="1" spans="1:4" ht="20.25">
      <c r="A1" s="23" t="s">
        <v>42</v>
      </c>
      <c r="B1" s="17"/>
      <c r="C1" s="17"/>
      <c r="D1" s="17"/>
    </row>
    <row r="3" spans="1:4">
      <c r="A3" s="4" t="s">
        <v>43</v>
      </c>
      <c r="B3" s="4" t="s">
        <v>44</v>
      </c>
      <c r="C3" s="4" t="s">
        <v>45</v>
      </c>
      <c r="D3" s="4" t="s">
        <v>46</v>
      </c>
    </row>
    <row r="4" spans="1:4">
      <c r="A4" s="6" t="str">
        <f>IFERROR(INDEX('Raw Data'!$E$2:$E$50000,MATCH(1,'Raw Data'!$U$2:$U$50000,0)),"")</f>
        <v>ZKARNKRW</v>
      </c>
      <c r="B4" s="5">
        <f>IF($A4="","",COUNTIFS('Raw Data'!$E$2:$E$50000,$A4))</f>
        <v>179</v>
      </c>
      <c r="C4" s="7">
        <f>IF($A4="","",SUMIFS('Raw Data'!$I$2:$I$50000,'Raw Data'!$E$2:$E$50000,$A4))</f>
        <v>3870000</v>
      </c>
      <c r="D4" s="5">
        <f>IF($A4="","",RANK($C4,$C$4:$C$11)+COUNTIF($C$4:C4,$C4)-1)</f>
        <v>3</v>
      </c>
    </row>
    <row r="5" spans="1:4">
      <c r="A5" s="9" t="str">
        <f>IFERROR(INDEX('Raw Data'!$E$2:$E$50000,MATCH(2,'Raw Data'!$U$2:$U$50000,0)),"")</f>
        <v>RACHAYU</v>
      </c>
      <c r="B5" s="8">
        <f>IF($A5="","",COUNTIFS('Raw Data'!$E$2:$E$50000,$A5))</f>
        <v>175</v>
      </c>
      <c r="C5" s="10">
        <f>IF($A5="","",SUMIFS('Raw Data'!$I$2:$I$50000,'Raw Data'!$E$2:$E$50000,$A5))</f>
        <v>4401000</v>
      </c>
      <c r="D5" s="8">
        <f>IF($A5="","",RANK($C5,$C$4:$C$11)+COUNTIF($C$4:C5,$C5)-1)</f>
        <v>2</v>
      </c>
    </row>
    <row r="6" spans="1:4">
      <c r="A6" s="6" t="str">
        <f>IFERROR(INDEX('Raw Data'!$E$2:$E$50000,MATCH(3,'Raw Data'!$U$2:$U$50000,0)),"")</f>
        <v>NAFARA</v>
      </c>
      <c r="B6" s="5">
        <f>IF($A6="","",COUNTIFS('Raw Data'!$E$2:$E$50000,$A6))</f>
        <v>107</v>
      </c>
      <c r="C6" s="7">
        <f>IF($A6="","",SUMIFS('Raw Data'!$I$2:$I$50000,'Raw Data'!$E$2:$E$50000,$A6))</f>
        <v>2922000</v>
      </c>
      <c r="D6" s="5">
        <f>IF($A6="","",RANK($C6,$C$4:$C$11)+COUNTIF($C$4:C6,$C6)-1)</f>
        <v>4</v>
      </c>
    </row>
    <row r="7" spans="1:4">
      <c r="A7" s="9" t="str">
        <f>IFERROR(INDEX('Raw Data'!$E$2:$E$50000,MATCH(4,'Raw Data'!$U$2:$U$50000,0)),"")</f>
        <v>FATAPE</v>
      </c>
      <c r="B7" s="8">
        <f>IF($A7="","",COUNTIFS('Raw Data'!$E$2:$E$50000,$A7))</f>
        <v>229</v>
      </c>
      <c r="C7" s="10">
        <f>IF($A7="","",SUMIFS('Raw Data'!$I$2:$I$50000,'Raw Data'!$E$2:$E$50000,$A7))</f>
        <v>8681000</v>
      </c>
      <c r="D7" s="8">
        <f>IF($A7="","",RANK($C7,$C$4:$C$11)+COUNTIF($C$4:C7,$C7)-1)</f>
        <v>1</v>
      </c>
    </row>
    <row r="8" spans="1:4">
      <c r="A8" s="6" t="str">
        <f>IFERROR(INDEX('Raw Data'!$E$2:$E$50000,MATCH(5,'Raw Data'!$U$2:$U$50000,0)),"")</f>
        <v/>
      </c>
      <c r="B8" s="5" t="str">
        <f>IF($A8="","",COUNTIFS('Raw Data'!$E$2:$E$50000,$A8))</f>
        <v/>
      </c>
      <c r="C8" s="7" t="str">
        <f>IF($A8="","",SUMIFS('Raw Data'!$I$2:$I$50000,'Raw Data'!$E$2:$E$50000,$A8))</f>
        <v/>
      </c>
      <c r="D8" s="5" t="str">
        <f>IF($A8="","",RANK($C8,$C$4:$C$11)+COUNTIF($C$4:C8,$C8)-1)</f>
        <v/>
      </c>
    </row>
    <row r="9" spans="1:4">
      <c r="A9" s="9" t="str">
        <f>IFERROR(INDEX('Raw Data'!$E$2:$E$50000,MATCH(6,'Raw Data'!$U$2:$U$50000,0)),"")</f>
        <v/>
      </c>
      <c r="B9" s="8" t="str">
        <f>IF($A9="","",COUNTIFS('Raw Data'!$E$2:$E$50000,$A9))</f>
        <v/>
      </c>
      <c r="C9" s="10" t="str">
        <f>IF($A9="","",SUMIFS('Raw Data'!$I$2:$I$50000,'Raw Data'!$E$2:$E$50000,$A9))</f>
        <v/>
      </c>
      <c r="D9" s="8" t="str">
        <f>IF($A9="","",RANK($C9,$C$4:$C$11)+COUNTIF($C$4:C9,$C9)-1)</f>
        <v/>
      </c>
    </row>
    <row r="10" spans="1:4">
      <c r="A10" s="6" t="str">
        <f>IFERROR(INDEX('Raw Data'!$E$2:$E$50000,MATCH(7,'Raw Data'!$U$2:$U$50000,0)),"")</f>
        <v/>
      </c>
      <c r="B10" s="5" t="str">
        <f>IF($A10="","",COUNTIFS('Raw Data'!$E$2:$E$50000,$A10))</f>
        <v/>
      </c>
      <c r="C10" s="7" t="str">
        <f>IF($A10="","",SUMIFS('Raw Data'!$I$2:$I$50000,'Raw Data'!$E$2:$E$50000,$A10))</f>
        <v/>
      </c>
      <c r="D10" s="5" t="str">
        <f>IF($A10="","",RANK($C10,$C$4:$C$11)+COUNTIF($C$4:C10,$C10)-1)</f>
        <v/>
      </c>
    </row>
    <row r="11" spans="1:4">
      <c r="A11" s="9" t="str">
        <f>IFERROR(INDEX('Raw Data'!$E$2:$E$50000,MATCH(8,'Raw Data'!$U$2:$U$50000,0)),"")</f>
        <v/>
      </c>
      <c r="B11" s="8" t="str">
        <f>IF($A11="","",COUNTIFS('Raw Data'!$E$2:$E$50000,$A11))</f>
        <v/>
      </c>
      <c r="C11" s="10" t="str">
        <f>IF($A11="","",SUMIFS('Raw Data'!$I$2:$I$50000,'Raw Data'!$E$2:$E$50000,$A11))</f>
        <v/>
      </c>
      <c r="D11" s="8" t="str">
        <f>IF($A11="","",RANK($C11,$C$4:$C$11)+COUNTIF($C$4:C11,$C11)-1)</f>
        <v/>
      </c>
    </row>
    <row r="13" spans="1:4">
      <c r="A13" s="12"/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</cols>
  <sheetData>
    <row r="1" spans="1:3" ht="20.25">
      <c r="A1" s="23" t="s">
        <v>47</v>
      </c>
      <c r="B1" s="17"/>
      <c r="C1" s="17"/>
    </row>
    <row r="3" spans="1:3">
      <c r="A3" s="4" t="s">
        <v>48</v>
      </c>
      <c r="B3" s="4" t="s">
        <v>44</v>
      </c>
      <c r="C3" s="4" t="s">
        <v>45</v>
      </c>
    </row>
    <row r="4" spans="1:3">
      <c r="A4" s="6" t="s">
        <v>28</v>
      </c>
      <c r="B4" s="5">
        <f>COUNTIFS('Raw Data'!$K$2:$K$50000,A4)</f>
        <v>3</v>
      </c>
      <c r="C4" s="7">
        <f>SUMIFS('Raw Data'!$I$2:$I$50000,'Raw Data'!$K$2:$K$50000,A4)</f>
        <v>16500</v>
      </c>
    </row>
    <row r="5" spans="1:3">
      <c r="A5" s="9" t="s">
        <v>30</v>
      </c>
      <c r="B5" s="8">
        <f>COUNTIFS('Raw Data'!$K$2:$K$50000,A5)</f>
        <v>8</v>
      </c>
      <c r="C5" s="10">
        <f>SUMIFS('Raw Data'!$I$2:$I$50000,'Raw Data'!$K$2:$K$50000,A5)</f>
        <v>112000</v>
      </c>
    </row>
    <row r="6" spans="1:3">
      <c r="A6" s="6" t="s">
        <v>29</v>
      </c>
      <c r="B6" s="5">
        <f>COUNTIFS('Raw Data'!$K$2:$K$50000,A6)</f>
        <v>1</v>
      </c>
      <c r="C6" s="7">
        <f>SUMIFS('Raw Data'!$I$2:$I$50000,'Raw Data'!$K$2:$K$50000,A6)</f>
        <v>84000</v>
      </c>
    </row>
    <row r="7" spans="1:3">
      <c r="A7" s="9" t="s">
        <v>31</v>
      </c>
      <c r="B7" s="8">
        <f>COUNTIFS('Raw Data'!$K$2:$K$50000,A7)</f>
        <v>0</v>
      </c>
      <c r="C7" s="10">
        <f>SUMIFS('Raw Data'!$I$2:$I$50000,'Raw Data'!$K$2:$K$50000,A7)</f>
        <v>0</v>
      </c>
    </row>
    <row r="8" spans="1:3">
      <c r="A8" s="6" t="s">
        <v>26</v>
      </c>
      <c r="B8" s="5">
        <f>COUNTIFS('Raw Data'!$K$2:$K$50000,A8)</f>
        <v>35</v>
      </c>
      <c r="C8" s="7">
        <f>SUMIFS('Raw Data'!$I$2:$I$50000,'Raw Data'!$K$2:$K$50000,A8)</f>
        <v>4834000</v>
      </c>
    </row>
    <row r="9" spans="1:3">
      <c r="A9" s="9" t="s">
        <v>27</v>
      </c>
      <c r="B9" s="8">
        <f>COUNTIFS('Raw Data'!$K$2:$K$50000,A9)</f>
        <v>87</v>
      </c>
      <c r="C9" s="10">
        <f>SUMIFS('Raw Data'!$I$2:$I$50000,'Raw Data'!$K$2:$K$50000,A9)</f>
        <v>1596500</v>
      </c>
    </row>
    <row r="10" spans="1:3">
      <c r="A10" s="6" t="s">
        <v>24</v>
      </c>
      <c r="B10" s="5">
        <f>COUNTIFS('Raw Data'!$K$2:$K$50000,A10)</f>
        <v>528</v>
      </c>
      <c r="C10" s="7">
        <f>SUMIFS('Raw Data'!$I$2:$I$50000,'Raw Data'!$K$2:$K$50000,A10)</f>
        <v>12705000</v>
      </c>
    </row>
    <row r="11" spans="1:3">
      <c r="A11" s="9" t="s">
        <v>25</v>
      </c>
      <c r="B11" s="8">
        <f>COUNTIFS('Raw Data'!$K$2:$K$50000,A11)</f>
        <v>28</v>
      </c>
      <c r="C11" s="10">
        <f>SUMIFS('Raw Data'!$I$2:$I$50000,'Raw Data'!$K$2:$K$50000,A11)</f>
        <v>526000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6" sqref="A16"/>
    </sheetView>
  </sheetViews>
  <sheetFormatPr defaultColWidth="9" defaultRowHeight="15"/>
  <cols>
    <col min="1" max="1" width="26" customWidth="1"/>
    <col min="2" max="2" width="18" customWidth="1"/>
    <col min="3" max="3" width="20" customWidth="1"/>
  </cols>
  <sheetData>
    <row r="1" spans="1:3" ht="20.25">
      <c r="A1" s="23" t="s">
        <v>49</v>
      </c>
      <c r="B1" s="17"/>
      <c r="C1" s="17"/>
    </row>
    <row r="2" spans="1:3">
      <c r="A2" s="12"/>
    </row>
    <row r="4" spans="1:3">
      <c r="A4" s="4" t="s">
        <v>1</v>
      </c>
      <c r="B4" s="4" t="s">
        <v>44</v>
      </c>
      <c r="C4" s="4" t="s">
        <v>45</v>
      </c>
    </row>
    <row r="5" spans="1:3">
      <c r="A5" s="6" t="s">
        <v>50</v>
      </c>
      <c r="B5" s="5">
        <f>COUNTIFS('Raw Data'!$X$2:$X$50000,A5)</f>
        <v>650</v>
      </c>
      <c r="C5" s="7">
        <f>SUMIFS('Raw Data'!$I$2:$I$50000,'Raw Data'!$X$2:$X$50000,A5)</f>
        <v>19108000</v>
      </c>
    </row>
    <row r="6" spans="1:3">
      <c r="A6" s="9" t="s">
        <v>51</v>
      </c>
      <c r="B6" s="8">
        <f>COUNTIFS('Raw Data'!$X$2:$X$50000,A6)</f>
        <v>25</v>
      </c>
      <c r="C6" s="10">
        <f>SUMIFS('Raw Data'!$I$2:$I$50000,'Raw Data'!$X$2:$X$50000,A6)</f>
        <v>541000</v>
      </c>
    </row>
    <row r="7" spans="1:3">
      <c r="A7" s="6" t="s">
        <v>52</v>
      </c>
      <c r="B7" s="5">
        <f>COUNTIFS('Raw Data'!$X$2:$X$50000,A7)</f>
        <v>1</v>
      </c>
      <c r="C7" s="7">
        <f>SUMIFS('Raw Data'!$I$2:$I$50000,'Raw Data'!$X$2:$X$50000,A7)</f>
        <v>12000</v>
      </c>
    </row>
    <row r="8" spans="1:3">
      <c r="A8" s="9" t="s">
        <v>53</v>
      </c>
      <c r="B8" s="8">
        <f>COUNTIFS('Raw Data'!$X$2:$X$50000,A8)</f>
        <v>3</v>
      </c>
      <c r="C8" s="10">
        <f>SUMIFS('Raw Data'!$I$2:$I$50000,'Raw Data'!$X$2:$X$50000,A8)</f>
        <v>30000</v>
      </c>
    </row>
    <row r="9" spans="1:3">
      <c r="A9" s="6" t="s">
        <v>54</v>
      </c>
      <c r="B9" s="5">
        <f>COUNTIFS('Raw Data'!$X$2:$X$50000,A9)</f>
        <v>3</v>
      </c>
      <c r="C9" s="7">
        <f>SUMIFS('Raw Data'!$I$2:$I$50000,'Raw Data'!$X$2:$X$50000,A9)</f>
        <v>60000</v>
      </c>
    </row>
    <row r="10" spans="1:3">
      <c r="A10" s="9" t="s">
        <v>55</v>
      </c>
      <c r="B10" s="8">
        <f>COUNTIFS('Raw Data'!$X$2:$X$50000,A10)</f>
        <v>7</v>
      </c>
      <c r="C10" s="10">
        <f>SUMIFS('Raw Data'!$I$2:$I$50000,'Raw Data'!$X$2:$X$50000,A10)</f>
        <v>111000</v>
      </c>
    </row>
    <row r="11" spans="1:3">
      <c r="A11" s="6" t="s">
        <v>56</v>
      </c>
      <c r="B11" s="5">
        <f>COUNTIFS('Raw Data'!$X$2:$X$50000,A11)</f>
        <v>1</v>
      </c>
      <c r="C11" s="7">
        <f>SUMIFS('Raw Data'!$I$2:$I$50000,'Raw Data'!$X$2:$X$50000,A11)</f>
        <v>12000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/>
  </sheetViews>
  <sheetFormatPr defaultColWidth="9" defaultRowHeight="15"/>
  <cols>
    <col min="1" max="1" width="7" customWidth="1"/>
    <col min="2" max="2" width="10" customWidth="1"/>
    <col min="3" max="3" width="26" customWidth="1"/>
    <col min="4" max="5" width="16" customWidth="1"/>
    <col min="6" max="6" width="15" customWidth="1"/>
    <col min="7" max="7" width="12" customWidth="1"/>
  </cols>
  <sheetData>
    <row r="1" spans="1:7">
      <c r="A1" s="4" t="s">
        <v>57</v>
      </c>
      <c r="B1" s="4" t="s">
        <v>58</v>
      </c>
      <c r="C1" s="4" t="s">
        <v>59</v>
      </c>
      <c r="D1" s="4" t="s">
        <v>44</v>
      </c>
      <c r="E1" s="4" t="s">
        <v>45</v>
      </c>
      <c r="F1" s="4" t="s">
        <v>46</v>
      </c>
      <c r="G1" s="4" t="s">
        <v>60</v>
      </c>
    </row>
    <row r="2" spans="1:7">
      <c r="A2" s="11">
        <v>1</v>
      </c>
      <c r="B2" s="11" t="str">
        <f>IFERROR(INDEX('Raw Data'!$R$2:$R$50000,MATCH(1,'Raw Data'!$W$2:$W$50000,0)),"")</f>
        <v>Ulfiyani</v>
      </c>
      <c r="C2" s="11" t="str">
        <f t="shared" ref="C2:C65" si="0">IF($B2="","",$B2)</f>
        <v>Ulfiyani</v>
      </c>
      <c r="D2" s="11">
        <f>IF($B2="","",COUNTIFS('Raw Data'!$R$2:$R$50000,$B2))</f>
        <v>2</v>
      </c>
      <c r="E2" s="11">
        <f>IF($B2="","",SUMIFS('Raw Data'!$I$2:$I$50000,'Raw Data'!$R$2:$R$50000,$B2))</f>
        <v>24000</v>
      </c>
      <c r="F2" s="11">
        <f>IF($B2="","",RANK($E2,$E$2:$E$1501)+COUNTIF($E$2:E2,$E2)-1)</f>
        <v>116</v>
      </c>
      <c r="G2" s="11">
        <f>IF($B2="","",RANK($D2,$D$2:$D$1501)+COUNTIF($D$2:D2,$D2)-1)</f>
        <v>52</v>
      </c>
    </row>
    <row r="3" spans="1:7">
      <c r="A3" s="11">
        <v>2</v>
      </c>
      <c r="B3" s="11" t="str">
        <f>IFERROR(INDEX('Raw Data'!$R$2:$R$50000,MATCH(2,'Raw Data'!$W$2:$W$50000,0)),"")</f>
        <v>Maryani Yani/ mitra pompa</v>
      </c>
      <c r="C3" s="11" t="str">
        <f t="shared" si="0"/>
        <v>Maryani Yani/ mitra pompa</v>
      </c>
      <c r="D3" s="11">
        <f>IF($B3="","",COUNTIFS('Raw Data'!$R$2:$R$50000,$B3))</f>
        <v>20</v>
      </c>
      <c r="E3" s="11">
        <f>IF($B3="","",SUMIFS('Raw Data'!$I$2:$I$50000,'Raw Data'!$R$2:$R$50000,$B3))</f>
        <v>605000</v>
      </c>
      <c r="F3" s="11">
        <f>IF($B3="","",RANK($E3,$E$2:$E$1501)+COUNTIF($E$2:E3,$E3)-1)</f>
        <v>5</v>
      </c>
      <c r="G3" s="11">
        <f>IF($B3="","",RANK($D3,$D$2:$D$1501)+COUNTIF($D$2:D3,$D3)-1)</f>
        <v>7</v>
      </c>
    </row>
    <row r="4" spans="1:7">
      <c r="A4" s="11">
        <v>3</v>
      </c>
      <c r="B4" s="11" t="str">
        <f>IFERROR(INDEX('Raw Data'!$R$2:$R$50000,MATCH(3,'Raw Data'!$W$2:$W$50000,0)),"")</f>
        <v>Nadya Rameyza Elya</v>
      </c>
      <c r="C4" s="11" t="str">
        <f t="shared" si="0"/>
        <v>Nadya Rameyza Elya</v>
      </c>
      <c r="D4" s="11">
        <f>IF($B4="","",COUNTIFS('Raw Data'!$R$2:$R$50000,$B4))</f>
        <v>7</v>
      </c>
      <c r="E4" s="11">
        <f>IF($B4="","",SUMIFS('Raw Data'!$I$2:$I$50000,'Raw Data'!$R$2:$R$50000,$B4))</f>
        <v>79000</v>
      </c>
      <c r="F4" s="11">
        <f>IF($B4="","",RANK($E4,$E$2:$E$1501)+COUNTIF($E$2:E4,$E4)-1)</f>
        <v>46</v>
      </c>
      <c r="G4" s="11">
        <f>IF($B4="","",RANK($D4,$D$2:$D$1501)+COUNTIF($D$2:D4,$D4)-1)</f>
        <v>15</v>
      </c>
    </row>
    <row r="5" spans="1:7">
      <c r="A5" s="11">
        <v>4</v>
      </c>
      <c r="B5" s="11" t="str">
        <f>IFERROR(INDEX('Raw Data'!$R$2:$R$50000,MATCH(4,'Raw Data'!$W$2:$W$50000,0)),"")</f>
        <v>Nuraya Active</v>
      </c>
      <c r="C5" s="11" t="str">
        <f t="shared" si="0"/>
        <v>Nuraya Active</v>
      </c>
      <c r="D5" s="11">
        <f>IF($B5="","",COUNTIFS('Raw Data'!$R$2:$R$50000,$B5))</f>
        <v>1</v>
      </c>
      <c r="E5" s="11">
        <f>IF($B5="","",SUMIFS('Raw Data'!$I$2:$I$50000,'Raw Data'!$R$2:$R$50000,$B5))</f>
        <v>29000</v>
      </c>
      <c r="F5" s="11">
        <f>IF($B5="","",RANK($E5,$E$2:$E$1501)+COUNTIF($E$2:E5,$E5)-1)</f>
        <v>107</v>
      </c>
      <c r="G5" s="11">
        <f>IF($B5="","",RANK($D5,$D$2:$D$1501)+COUNTIF($D$2:D5,$D5)-1)</f>
        <v>88</v>
      </c>
    </row>
    <row r="6" spans="1:7">
      <c r="A6" s="11">
        <v>5</v>
      </c>
      <c r="B6" s="11" t="str">
        <f>IFERROR(INDEX('Raw Data'!$R$2:$R$50000,MATCH(5,'Raw Data'!$W$2:$W$50000,0)),"")</f>
        <v>Dani Hamdani (Yasashi Japan)</v>
      </c>
      <c r="C6" s="11" t="str">
        <f t="shared" si="0"/>
        <v>Dani Hamdani (Yasashi Japan)</v>
      </c>
      <c r="D6" s="11">
        <f>IF($B6="","",COUNTIFS('Raw Data'!$R$2:$R$50000,$B6))</f>
        <v>34</v>
      </c>
      <c r="E6" s="11">
        <f>IF($B6="","",SUMIFS('Raw Data'!$I$2:$I$50000,'Raw Data'!$R$2:$R$50000,$B6))</f>
        <v>521500</v>
      </c>
      <c r="F6" s="11">
        <f>IF($B6="","",RANK($E6,$E$2:$E$1501)+COUNTIF($E$2:E6,$E6)-1)</f>
        <v>6</v>
      </c>
      <c r="G6" s="11">
        <f>IF($B6="","",RANK($D6,$D$2:$D$1501)+COUNTIF($D$2:D6,$D6)-1)</f>
        <v>2</v>
      </c>
    </row>
    <row r="7" spans="1:7">
      <c r="A7" s="11">
        <v>6</v>
      </c>
      <c r="B7" s="11" t="str">
        <f>IFERROR(INDEX('Raw Data'!$R$2:$R$50000,MATCH(6,'Raw Data'!$W$2:$W$50000,0)),"")</f>
        <v>Michael L.</v>
      </c>
      <c r="C7" s="11" t="str">
        <f t="shared" si="0"/>
        <v>Michael L.</v>
      </c>
      <c r="D7" s="11">
        <f>IF($B7="","",COUNTIFS('Raw Data'!$R$2:$R$50000,$B7))</f>
        <v>29</v>
      </c>
      <c r="E7" s="11">
        <f>IF($B7="","",SUMIFS('Raw Data'!$I$2:$I$50000,'Raw Data'!$R$2:$R$50000,$B7))</f>
        <v>825000</v>
      </c>
      <c r="F7" s="11">
        <f>IF($B7="","",RANK($E7,$E$2:$E$1501)+COUNTIF($E$2:E7,$E7)-1)</f>
        <v>3</v>
      </c>
      <c r="G7" s="11">
        <f>IF($B7="","",RANK($D7,$D$2:$D$1501)+COUNTIF($D$2:D7,$D7)-1)</f>
        <v>3</v>
      </c>
    </row>
    <row r="8" spans="1:7">
      <c r="A8" s="11">
        <v>7</v>
      </c>
      <c r="B8" s="11" t="str">
        <f>IFERROR(INDEX('Raw Data'!$R$2:$R$50000,MATCH(7,'Raw Data'!$W$2:$W$50000,0)),"")</f>
        <v xml:space="preserve">MICHAEL LONDA </v>
      </c>
      <c r="C8" s="11" t="str">
        <f t="shared" si="0"/>
        <v xml:space="preserve">MICHAEL LONDA </v>
      </c>
      <c r="D8" s="11">
        <f>IF($B8="","",COUNTIFS('Raw Data'!$R$2:$R$50000,$B8))</f>
        <v>1</v>
      </c>
      <c r="E8" s="11">
        <f>IF($B8="","",SUMIFS('Raw Data'!$I$2:$I$50000,'Raw Data'!$R$2:$R$50000,$B8))</f>
        <v>12000</v>
      </c>
      <c r="F8" s="11">
        <f>IF($B8="","",RANK($E8,$E$2:$E$1501)+COUNTIF($E$2:E8,$E8)-1)</f>
        <v>157</v>
      </c>
      <c r="G8" s="11">
        <f>IF($B8="","",RANK($D8,$D$2:$D$1501)+COUNTIF($D$2:D8,$D8)-1)</f>
        <v>89</v>
      </c>
    </row>
    <row r="9" spans="1:7">
      <c r="A9" s="11">
        <v>8</v>
      </c>
      <c r="B9" s="11" t="str">
        <f>IFERROR(INDEX('Raw Data'!$R$2:$R$50000,MATCH(8,'Raw Data'!$W$2:$W$50000,0)),"")</f>
        <v>Yasashi Japan Shop</v>
      </c>
      <c r="C9" s="11" t="str">
        <f t="shared" si="0"/>
        <v>Yasashi Japan Shop</v>
      </c>
      <c r="D9" s="11">
        <f>IF($B9="","",COUNTIFS('Raw Data'!$R$2:$R$50000,$B9))</f>
        <v>6</v>
      </c>
      <c r="E9" s="11">
        <f>IF($B9="","",SUMIFS('Raw Data'!$I$2:$I$50000,'Raw Data'!$R$2:$R$50000,$B9))</f>
        <v>105000</v>
      </c>
      <c r="F9" s="11">
        <f>IF($B9="","",RANK($E9,$E$2:$E$1501)+COUNTIF($E$2:E9,$E9)-1)</f>
        <v>35</v>
      </c>
      <c r="G9" s="11">
        <f>IF($B9="","",RANK($D9,$D$2:$D$1501)+COUNTIF($D$2:D9,$D9)-1)</f>
        <v>19</v>
      </c>
    </row>
    <row r="10" spans="1:7">
      <c r="A10" s="11">
        <v>9</v>
      </c>
      <c r="B10" s="11" t="str">
        <f>IFERROR(INDEX('Raw Data'!$R$2:$R$50000,MATCH(9,'Raw Data'!$W$2:$W$50000,0)),"")</f>
        <v>DEDE SULAEMAN SULAEMAN</v>
      </c>
      <c r="C10" s="11" t="str">
        <f t="shared" si="0"/>
        <v>DEDE SULAEMAN SULAEMAN</v>
      </c>
      <c r="D10" s="11">
        <f>IF($B10="","",COUNTIFS('Raw Data'!$R$2:$R$50000,$B10))</f>
        <v>1</v>
      </c>
      <c r="E10" s="11">
        <f>IF($B10="","",SUMIFS('Raw Data'!$I$2:$I$50000,'Raw Data'!$R$2:$R$50000,$B10))</f>
        <v>10000</v>
      </c>
      <c r="F10" s="11">
        <f>IF($B10="","",RANK($E10,$E$2:$E$1501)+COUNTIF($E$2:E10,$E10)-1)</f>
        <v>218</v>
      </c>
      <c r="G10" s="11">
        <f>IF($B10="","",RANK($D10,$D$2:$D$1501)+COUNTIF($D$2:D10,$D10)-1)</f>
        <v>90</v>
      </c>
    </row>
    <row r="11" spans="1:7">
      <c r="A11" s="11">
        <v>10</v>
      </c>
      <c r="B11" s="11" t="str">
        <f>IFERROR(INDEX('Raw Data'!$R$2:$R$50000,MATCH(10,'Raw Data'!$W$2:$W$50000,0)),"")</f>
        <v>Angel Cos</v>
      </c>
      <c r="C11" s="11" t="str">
        <f t="shared" si="0"/>
        <v>Angel Cos</v>
      </c>
      <c r="D11" s="11">
        <f>IF($B11="","",COUNTIFS('Raw Data'!$R$2:$R$50000,$B11))</f>
        <v>1</v>
      </c>
      <c r="E11" s="11">
        <f>IF($B11="","",SUMIFS('Raw Data'!$I$2:$I$50000,'Raw Data'!$R$2:$R$50000,$B11))</f>
        <v>58000</v>
      </c>
      <c r="F11" s="11">
        <f>IF($B11="","",RANK($E11,$E$2:$E$1501)+COUNTIF($E$2:E11,$E11)-1)</f>
        <v>61</v>
      </c>
      <c r="G11" s="11">
        <f>IF($B11="","",RANK($D11,$D$2:$D$1501)+COUNTIF($D$2:D11,$D11)-1)</f>
        <v>91</v>
      </c>
    </row>
    <row r="12" spans="1:7">
      <c r="A12" s="11">
        <v>11</v>
      </c>
      <c r="B12" s="11" t="str">
        <f>IFERROR(INDEX('Raw Data'!$R$2:$R$50000,MATCH(11,'Raw Data'!$W$2:$W$50000,0)),"")</f>
        <v>BLUNDER_SW</v>
      </c>
      <c r="C12" s="11" t="str">
        <f t="shared" si="0"/>
        <v>BLUNDER_SW</v>
      </c>
      <c r="D12" s="11">
        <f>IF($B12="","",COUNTIFS('Raw Data'!$R$2:$R$50000,$B12))</f>
        <v>2</v>
      </c>
      <c r="E12" s="11">
        <f>IF($B12="","",SUMIFS('Raw Data'!$I$2:$I$50000,'Raw Data'!$R$2:$R$50000,$B12))</f>
        <v>36000</v>
      </c>
      <c r="F12" s="11">
        <f>IF($B12="","",RANK($E12,$E$2:$E$1501)+COUNTIF($E$2:E12,$E12)-1)</f>
        <v>90</v>
      </c>
      <c r="G12" s="11">
        <f>IF($B12="","",RANK($D12,$D$2:$D$1501)+COUNTIF($D$2:D12,$D12)-1)</f>
        <v>53</v>
      </c>
    </row>
    <row r="13" spans="1:7">
      <c r="A13" s="11">
        <v>12</v>
      </c>
      <c r="B13" s="11" t="str">
        <f>IFERROR(INDEX('Raw Data'!$R$2:$R$50000,MATCH(12,'Raw Data'!$W$2:$W$50000,0)),"")</f>
        <v>FIRDAYANI</v>
      </c>
      <c r="C13" s="11" t="str">
        <f t="shared" si="0"/>
        <v>FIRDAYANI</v>
      </c>
      <c r="D13" s="11">
        <f>IF($B13="","",COUNTIFS('Raw Data'!$R$2:$R$50000,$B13))</f>
        <v>1</v>
      </c>
      <c r="E13" s="11">
        <f>IF($B13="","",SUMIFS('Raw Data'!$I$2:$I$50000,'Raw Data'!$R$2:$R$50000,$B13))</f>
        <v>78000</v>
      </c>
      <c r="F13" s="11">
        <f>IF($B13="","",RANK($E13,$E$2:$E$1501)+COUNTIF($E$2:E13,$E13)-1)</f>
        <v>47</v>
      </c>
      <c r="G13" s="11">
        <f>IF($B13="","",RANK($D13,$D$2:$D$1501)+COUNTIF($D$2:D13,$D13)-1)</f>
        <v>92</v>
      </c>
    </row>
    <row r="14" spans="1:7">
      <c r="A14" s="11">
        <v>13</v>
      </c>
      <c r="B14" s="11" t="str">
        <f>IFERROR(INDEX('Raw Data'!$R$2:$R$50000,MATCH(13,'Raw Data'!$W$2:$W$50000,0)),"")</f>
        <v>Ferdian</v>
      </c>
      <c r="C14" s="11" t="str">
        <f t="shared" si="0"/>
        <v>Ferdian</v>
      </c>
      <c r="D14" s="11">
        <f>IF($B14="","",COUNTIFS('Raw Data'!$R$2:$R$50000,$B14))</f>
        <v>4</v>
      </c>
      <c r="E14" s="11">
        <f>IF($B14="","",SUMIFS('Raw Data'!$I$2:$I$50000,'Raw Data'!$R$2:$R$50000,$B14))</f>
        <v>48000</v>
      </c>
      <c r="F14" s="11">
        <f>IF($B14="","",RANK($E14,$E$2:$E$1501)+COUNTIF($E$2:E14,$E14)-1)</f>
        <v>76</v>
      </c>
      <c r="G14" s="11">
        <f>IF($B14="","",RANK($D14,$D$2:$D$1501)+COUNTIF($D$2:D14,$D14)-1)</f>
        <v>29</v>
      </c>
    </row>
    <row r="15" spans="1:7">
      <c r="A15" s="11">
        <v>14</v>
      </c>
      <c r="B15" s="11" t="str">
        <f>IFERROR(INDEX('Raw Data'!$R$2:$R$50000,MATCH(14,'Raw Data'!$W$2:$W$50000,0)),"")</f>
        <v>Faza</v>
      </c>
      <c r="C15" s="11" t="str">
        <f t="shared" si="0"/>
        <v>Faza</v>
      </c>
      <c r="D15" s="11">
        <f>IF($B15="","",COUNTIFS('Raw Data'!$R$2:$R$50000,$B15))</f>
        <v>3</v>
      </c>
      <c r="E15" s="11">
        <f>IF($B15="","",SUMIFS('Raw Data'!$I$2:$I$50000,'Raw Data'!$R$2:$R$50000,$B15))</f>
        <v>56000</v>
      </c>
      <c r="F15" s="11">
        <f>IF($B15="","",RANK($E15,$E$2:$E$1501)+COUNTIF($E$2:E15,$E15)-1)</f>
        <v>64</v>
      </c>
      <c r="G15" s="11">
        <f>IF($B15="","",RANK($D15,$D$2:$D$1501)+COUNTIF($D$2:D15,$D15)-1)</f>
        <v>39</v>
      </c>
    </row>
    <row r="16" spans="1:7">
      <c r="A16" s="11">
        <v>15</v>
      </c>
      <c r="B16" s="11" t="str">
        <f>IFERROR(INDEX('Raw Data'!$R$2:$R$50000,MATCH(15,'Raw Data'!$W$2:$W$50000,0)),"")</f>
        <v>Rini Ayu Alwiyah</v>
      </c>
      <c r="C16" s="11" t="str">
        <f t="shared" si="0"/>
        <v>Rini Ayu Alwiyah</v>
      </c>
      <c r="D16" s="11">
        <f>IF($B16="","",COUNTIFS('Raw Data'!$R$2:$R$50000,$B16))</f>
        <v>4</v>
      </c>
      <c r="E16" s="11">
        <f>IF($B16="","",SUMIFS('Raw Data'!$I$2:$I$50000,'Raw Data'!$R$2:$R$50000,$B16))</f>
        <v>50000</v>
      </c>
      <c r="F16" s="11">
        <f>IF($B16="","",RANK($E16,$E$2:$E$1501)+COUNTIF($E$2:E16,$E16)-1)</f>
        <v>72</v>
      </c>
      <c r="G16" s="11">
        <f>IF($B16="","",RANK($D16,$D$2:$D$1501)+COUNTIF($D$2:D16,$D16)-1)</f>
        <v>30</v>
      </c>
    </row>
    <row r="17" spans="1:7">
      <c r="A17" s="11">
        <v>16</v>
      </c>
      <c r="B17" s="11" t="str">
        <f>IFERROR(INDEX('Raw Data'!$R$2:$R$50000,MATCH(16,'Raw Data'!$W$2:$W$50000,0)),"")</f>
        <v>Dela Natalia Saputra</v>
      </c>
      <c r="C17" s="11" t="str">
        <f t="shared" si="0"/>
        <v>Dela Natalia Saputra</v>
      </c>
      <c r="D17" s="11">
        <f>IF($B17="","",COUNTIFS('Raw Data'!$R$2:$R$50000,$B17))</f>
        <v>25</v>
      </c>
      <c r="E17" s="11">
        <f>IF($B17="","",SUMIFS('Raw Data'!$I$2:$I$50000,'Raw Data'!$R$2:$R$50000,$B17))</f>
        <v>492000</v>
      </c>
      <c r="F17" s="11">
        <f>IF($B17="","",RANK($E17,$E$2:$E$1501)+COUNTIF($E$2:E17,$E17)-1)</f>
        <v>9</v>
      </c>
      <c r="G17" s="11">
        <f>IF($B17="","",RANK($D17,$D$2:$D$1501)+COUNTIF($D$2:D17,$D17)-1)</f>
        <v>4</v>
      </c>
    </row>
    <row r="18" spans="1:7">
      <c r="A18" s="11">
        <v>17</v>
      </c>
      <c r="B18" s="11" t="str">
        <f>IFERROR(INDEX('Raw Data'!$R$2:$R$50000,MATCH(17,'Raw Data'!$W$2:$W$50000,0)),"")</f>
        <v xml:space="preserve">ALDI APRIL BAGUS TANOTO </v>
      </c>
      <c r="C18" s="11" t="str">
        <f t="shared" si="0"/>
        <v xml:space="preserve">ALDI APRIL BAGUS TANOTO </v>
      </c>
      <c r="D18" s="11">
        <f>IF($B18="","",COUNTIFS('Raw Data'!$R$2:$R$50000,$B18))</f>
        <v>3</v>
      </c>
      <c r="E18" s="11">
        <f>IF($B18="","",SUMIFS('Raw Data'!$I$2:$I$50000,'Raw Data'!$R$2:$R$50000,$B18))</f>
        <v>117000</v>
      </c>
      <c r="F18" s="11">
        <f>IF($B18="","",RANK($E18,$E$2:$E$1501)+COUNTIF($E$2:E18,$E18)-1)</f>
        <v>32</v>
      </c>
      <c r="G18" s="11">
        <f>IF($B18="","",RANK($D18,$D$2:$D$1501)+COUNTIF($D$2:D18,$D18)-1)</f>
        <v>40</v>
      </c>
    </row>
    <row r="19" spans="1:7">
      <c r="A19" s="11">
        <v>18</v>
      </c>
      <c r="B19" s="11" t="str">
        <f>IFERROR(INDEX('Raw Data'!$R$2:$R$50000,MATCH(18,'Raw Data'!$W$2:$W$50000,0)),"")</f>
        <v>Ari Winda</v>
      </c>
      <c r="C19" s="11" t="str">
        <f t="shared" si="0"/>
        <v>Ari Winda</v>
      </c>
      <c r="D19" s="11">
        <f>IF($B19="","",COUNTIFS('Raw Data'!$R$2:$R$50000,$B19))</f>
        <v>15</v>
      </c>
      <c r="E19" s="11">
        <f>IF($B19="","",SUMIFS('Raw Data'!$I$2:$I$50000,'Raw Data'!$R$2:$R$50000,$B19))</f>
        <v>311000</v>
      </c>
      <c r="F19" s="11">
        <f>IF($B19="","",RANK($E19,$E$2:$E$1501)+COUNTIF($E$2:E19,$E19)-1)</f>
        <v>14</v>
      </c>
      <c r="G19" s="11">
        <f>IF($B19="","",RANK($D19,$D$2:$D$1501)+COUNTIF($D$2:D19,$D19)-1)</f>
        <v>12</v>
      </c>
    </row>
    <row r="20" spans="1:7">
      <c r="A20" s="11">
        <v>19</v>
      </c>
      <c r="B20" s="11" t="str">
        <f>IFERROR(INDEX('Raw Data'!$R$2:$R$50000,MATCH(19,'Raw Data'!$W$2:$W$50000,0)),"")</f>
        <v>DEVIRAMA</v>
      </c>
      <c r="C20" s="11" t="str">
        <f t="shared" si="0"/>
        <v>DEVIRAMA</v>
      </c>
      <c r="D20" s="11">
        <f>IF($B20="","",COUNTIFS('Raw Data'!$R$2:$R$50000,$B20))</f>
        <v>1</v>
      </c>
      <c r="E20" s="11">
        <f>IF($B20="","",SUMIFS('Raw Data'!$I$2:$I$50000,'Raw Data'!$R$2:$R$50000,$B20))</f>
        <v>58500</v>
      </c>
      <c r="F20" s="11">
        <f>IF($B20="","",RANK($E20,$E$2:$E$1501)+COUNTIF($E$2:E20,$E20)-1)</f>
        <v>59</v>
      </c>
      <c r="G20" s="11">
        <f>IF($B20="","",RANK($D20,$D$2:$D$1501)+COUNTIF($D$2:D20,$D20)-1)</f>
        <v>93</v>
      </c>
    </row>
    <row r="21" spans="1:7">
      <c r="A21" s="11">
        <v>20</v>
      </c>
      <c r="B21" s="11" t="str">
        <f>IFERROR(INDEX('Raw Data'!$R$2:$R$50000,MATCH(20,'Raw Data'!$W$2:$W$50000,0)),"")</f>
        <v>Syifa zakiyah</v>
      </c>
      <c r="C21" s="11" t="str">
        <f t="shared" si="0"/>
        <v>Syifa zakiyah</v>
      </c>
      <c r="D21" s="11">
        <f>IF($B21="","",COUNTIFS('Raw Data'!$R$2:$R$50000,$B21))</f>
        <v>1</v>
      </c>
      <c r="E21" s="11">
        <f>IF($B21="","",SUMIFS('Raw Data'!$I$2:$I$50000,'Raw Data'!$R$2:$R$50000,$B21))</f>
        <v>12000</v>
      </c>
      <c r="F21" s="11">
        <f>IF($B21="","",RANK($E21,$E$2:$E$1501)+COUNTIF($E$2:E21,$E21)-1)</f>
        <v>158</v>
      </c>
      <c r="G21" s="11">
        <f>IF($B21="","",RANK($D21,$D$2:$D$1501)+COUNTIF($D$2:D21,$D21)-1)</f>
        <v>94</v>
      </c>
    </row>
    <row r="22" spans="1:7">
      <c r="A22" s="11">
        <v>21</v>
      </c>
      <c r="B22" s="11" t="str">
        <f>IFERROR(INDEX('Raw Data'!$R$2:$R$50000,MATCH(21,'Raw Data'!$W$2:$W$50000,0)),"")</f>
        <v>Toko Sepeda UWO2</v>
      </c>
      <c r="C22" s="11" t="str">
        <f t="shared" si="0"/>
        <v>Toko Sepeda UWO2</v>
      </c>
      <c r="D22" s="11">
        <f>IF($B22="","",COUNTIFS('Raw Data'!$R$2:$R$50000,$B22))</f>
        <v>7</v>
      </c>
      <c r="E22" s="11">
        <f>IF($B22="","",SUMIFS('Raw Data'!$I$2:$I$50000,'Raw Data'!$R$2:$R$50000,$B22))</f>
        <v>3247000</v>
      </c>
      <c r="F22" s="11">
        <f>IF($B22="","",RANK($E22,$E$2:$E$1501)+COUNTIF($E$2:E22,$E22)-1)</f>
        <v>1</v>
      </c>
      <c r="G22" s="11">
        <f>IF($B22="","",RANK($D22,$D$2:$D$1501)+COUNTIF($D$2:D22,$D22)-1)</f>
        <v>16</v>
      </c>
    </row>
    <row r="23" spans="1:7">
      <c r="A23" s="11">
        <v>22</v>
      </c>
      <c r="B23" s="11" t="str">
        <f>IFERROR(INDEX('Raw Data'!$R$2:$R$50000,MATCH(22,'Raw Data'!$W$2:$W$50000,0)),"")</f>
        <v>Nature By GLife</v>
      </c>
      <c r="C23" s="11" t="str">
        <f t="shared" si="0"/>
        <v>Nature By GLife</v>
      </c>
      <c r="D23" s="11">
        <f>IF($B23="","",COUNTIFS('Raw Data'!$R$2:$R$50000,$B23))</f>
        <v>6</v>
      </c>
      <c r="E23" s="11">
        <f>IF($B23="","",SUMIFS('Raw Data'!$I$2:$I$50000,'Raw Data'!$R$2:$R$50000,$B23))</f>
        <v>88000</v>
      </c>
      <c r="F23" s="11">
        <f>IF($B23="","",RANK($E23,$E$2:$E$1501)+COUNTIF($E$2:E23,$E23)-1)</f>
        <v>43</v>
      </c>
      <c r="G23" s="11">
        <f>IF($B23="","",RANK($D23,$D$2:$D$1501)+COUNTIF($D$2:D23,$D23)-1)</f>
        <v>20</v>
      </c>
    </row>
    <row r="24" spans="1:7">
      <c r="A24" s="11">
        <v>23</v>
      </c>
      <c r="B24" s="11" t="str">
        <f>IFERROR(INDEX('Raw Data'!$R$2:$R$50000,MATCH(23,'Raw Data'!$W$2:$W$50000,0)),"")</f>
        <v>ratna (gii)</v>
      </c>
      <c r="C24" s="11" t="str">
        <f t="shared" si="0"/>
        <v>ratna (gii)</v>
      </c>
      <c r="D24" s="11">
        <f>IF($B24="","",COUNTIFS('Raw Data'!$R$2:$R$50000,$B24))</f>
        <v>25</v>
      </c>
      <c r="E24" s="11">
        <f>IF($B24="","",SUMIFS('Raw Data'!$I$2:$I$50000,'Raw Data'!$R$2:$R$50000,$B24))</f>
        <v>441500</v>
      </c>
      <c r="F24" s="11">
        <f>IF($B24="","",RANK($E24,$E$2:$E$1501)+COUNTIF($E$2:E24,$E24)-1)</f>
        <v>11</v>
      </c>
      <c r="G24" s="11">
        <f>IF($B24="","",RANK($D24,$D$2:$D$1501)+COUNTIF($D$2:D24,$D24)-1)</f>
        <v>5</v>
      </c>
    </row>
    <row r="25" spans="1:7">
      <c r="A25" s="11">
        <v>24</v>
      </c>
      <c r="B25" s="11" t="str">
        <f>IFERROR(INDEX('Raw Data'!$R$2:$R$50000,MATCH(24,'Raw Data'!$W$2:$W$50000,0)),"")</f>
        <v>Faradithya Putri Lakcyta</v>
      </c>
      <c r="C25" s="11" t="str">
        <f t="shared" si="0"/>
        <v>Faradithya Putri Lakcyta</v>
      </c>
      <c r="D25" s="11">
        <f>IF($B25="","",COUNTIFS('Raw Data'!$R$2:$R$50000,$B25))</f>
        <v>67</v>
      </c>
      <c r="E25" s="11">
        <f>IF($B25="","",SUMIFS('Raw Data'!$I$2:$I$50000,'Raw Data'!$R$2:$R$50000,$B25))</f>
        <v>1301000</v>
      </c>
      <c r="F25" s="11">
        <f>IF($B25="","",RANK($E25,$E$2:$E$1501)+COUNTIF($E$2:E25,$E25)-1)</f>
        <v>2</v>
      </c>
      <c r="G25" s="11">
        <f>IF($B25="","",RANK($D25,$D$2:$D$1501)+COUNTIF($D$2:D25,$D25)-1)</f>
        <v>1</v>
      </c>
    </row>
    <row r="26" spans="1:7">
      <c r="A26" s="11">
        <v>25</v>
      </c>
      <c r="B26" s="11" t="str">
        <f>IFERROR(INDEX('Raw Data'!$R$2:$R$50000,MATCH(25,'Raw Data'!$W$2:$W$50000,0)),"")</f>
        <v>SJM Paper &amp; Sticker</v>
      </c>
      <c r="C26" s="11" t="str">
        <f t="shared" si="0"/>
        <v>SJM Paper &amp; Sticker</v>
      </c>
      <c r="D26" s="11">
        <f>IF($B26="","",COUNTIFS('Raw Data'!$R$2:$R$50000,$B26))</f>
        <v>16</v>
      </c>
      <c r="E26" s="11">
        <f>IF($B26="","",SUMIFS('Raw Data'!$I$2:$I$50000,'Raw Data'!$R$2:$R$50000,$B26))</f>
        <v>504000</v>
      </c>
      <c r="F26" s="11">
        <f>IF($B26="","",RANK($E26,$E$2:$E$1501)+COUNTIF($E$2:E26,$E26)-1)</f>
        <v>8</v>
      </c>
      <c r="G26" s="11">
        <f>IF($B26="","",RANK($D26,$D$2:$D$1501)+COUNTIF($D$2:D26,$D26)-1)</f>
        <v>9</v>
      </c>
    </row>
    <row r="27" spans="1:7">
      <c r="A27" s="11">
        <v>26</v>
      </c>
      <c r="B27" s="11" t="str">
        <f>IFERROR(INDEX('Raw Data'!$R$2:$R$50000,MATCH(26,'Raw Data'!$W$2:$W$50000,0)),"")</f>
        <v>Klinik ESHA Skin Center</v>
      </c>
      <c r="C27" s="11" t="str">
        <f t="shared" si="0"/>
        <v>Klinik ESHA Skin Center</v>
      </c>
      <c r="D27" s="11">
        <f>IF($B27="","",COUNTIFS('Raw Data'!$R$2:$R$50000,$B27))</f>
        <v>16</v>
      </c>
      <c r="E27" s="11">
        <f>IF($B27="","",SUMIFS('Raw Data'!$I$2:$I$50000,'Raw Data'!$R$2:$R$50000,$B27))</f>
        <v>340000</v>
      </c>
      <c r="F27" s="11">
        <f>IF($B27="","",RANK($E27,$E$2:$E$1501)+COUNTIF($E$2:E27,$E27)-1)</f>
        <v>13</v>
      </c>
      <c r="G27" s="11">
        <f>IF($B27="","",RANK($D27,$D$2:$D$1501)+COUNTIF($D$2:D27,$D27)-1)</f>
        <v>10</v>
      </c>
    </row>
    <row r="28" spans="1:7">
      <c r="A28" s="11">
        <v>27</v>
      </c>
      <c r="B28" s="11" t="str">
        <f>IFERROR(INDEX('Raw Data'!$R$2:$R$50000,MATCH(27,'Raw Data'!$W$2:$W$50000,0)),"")</f>
        <v>Pacificdental_group</v>
      </c>
      <c r="C28" s="11" t="str">
        <f t="shared" si="0"/>
        <v>Pacificdental_group</v>
      </c>
      <c r="D28" s="11">
        <f>IF($B28="","",COUNTIFS('Raw Data'!$R$2:$R$50000,$B28))</f>
        <v>21</v>
      </c>
      <c r="E28" s="11">
        <f>IF($B28="","",SUMIFS('Raw Data'!$I$2:$I$50000,'Raw Data'!$R$2:$R$50000,$B28))</f>
        <v>613500</v>
      </c>
      <c r="F28" s="11">
        <f>IF($B28="","",RANK($E28,$E$2:$E$1501)+COUNTIF($E$2:E28,$E28)-1)</f>
        <v>4</v>
      </c>
      <c r="G28" s="11">
        <f>IF($B28="","",RANK($D28,$D$2:$D$1501)+COUNTIF($D$2:D28,$D28)-1)</f>
        <v>6</v>
      </c>
    </row>
    <row r="29" spans="1:7">
      <c r="A29" s="11">
        <v>28</v>
      </c>
      <c r="B29" s="11" t="str">
        <f>IFERROR(INDEX('Raw Data'!$R$2:$R$50000,MATCH(28,'Raw Data'!$W$2:$W$50000,0)),"")</f>
        <v>Zefanya Andrian Wijaya</v>
      </c>
      <c r="C29" s="11" t="str">
        <f t="shared" si="0"/>
        <v>Zefanya Andrian Wijaya</v>
      </c>
      <c r="D29" s="11">
        <f>IF($B29="","",COUNTIFS('Raw Data'!$R$2:$R$50000,$B29))</f>
        <v>1</v>
      </c>
      <c r="E29" s="11">
        <f>IF($B29="","",SUMIFS('Raw Data'!$I$2:$I$50000,'Raw Data'!$R$2:$R$50000,$B29))</f>
        <v>24000</v>
      </c>
      <c r="F29" s="11">
        <f>IF($B29="","",RANK($E29,$E$2:$E$1501)+COUNTIF($E$2:E29,$E29)-1)</f>
        <v>117</v>
      </c>
      <c r="G29" s="11">
        <f>IF($B29="","",RANK($D29,$D$2:$D$1501)+COUNTIF($D$2:D29,$D29)-1)</f>
        <v>95</v>
      </c>
    </row>
    <row r="30" spans="1:7">
      <c r="A30" s="11">
        <v>29</v>
      </c>
      <c r="B30" s="11" t="str">
        <f>IFERROR(INDEX('Raw Data'!$R$2:$R$50000,MATCH(29,'Raw Data'!$W$2:$W$50000,0)),"")</f>
        <v>Albert Gunawan Wiratma</v>
      </c>
      <c r="C30" s="11" t="str">
        <f t="shared" si="0"/>
        <v>Albert Gunawan Wiratma</v>
      </c>
      <c r="D30" s="11">
        <f>IF($B30="","",COUNTIFS('Raw Data'!$R$2:$R$50000,$B30))</f>
        <v>6</v>
      </c>
      <c r="E30" s="11">
        <f>IF($B30="","",SUMIFS('Raw Data'!$I$2:$I$50000,'Raw Data'!$R$2:$R$50000,$B30))</f>
        <v>90000</v>
      </c>
      <c r="F30" s="11">
        <f>IF($B30="","",RANK($E30,$E$2:$E$1501)+COUNTIF($E$2:E30,$E30)-1)</f>
        <v>42</v>
      </c>
      <c r="G30" s="11">
        <f>IF($B30="","",RANK($D30,$D$2:$D$1501)+COUNTIF($D$2:D30,$D30)-1)</f>
        <v>21</v>
      </c>
    </row>
    <row r="31" spans="1:7">
      <c r="A31" s="11">
        <v>30</v>
      </c>
      <c r="B31" s="11" t="str">
        <f>IFERROR(INDEX('Raw Data'!$R$2:$R$50000,MATCH(30,'Raw Data'!$W$2:$W$50000,0)),"")</f>
        <v>Widia Karlina</v>
      </c>
      <c r="C31" s="11" t="str">
        <f t="shared" si="0"/>
        <v>Widia Karlina</v>
      </c>
      <c r="D31" s="11">
        <f>IF($B31="","",COUNTIFS('Raw Data'!$R$2:$R$50000,$B31))</f>
        <v>2</v>
      </c>
      <c r="E31" s="11">
        <f>IF($B31="","",SUMIFS('Raw Data'!$I$2:$I$50000,'Raw Data'!$R$2:$R$50000,$B31))</f>
        <v>46000</v>
      </c>
      <c r="F31" s="11">
        <f>IF($B31="","",RANK($E31,$E$2:$E$1501)+COUNTIF($E$2:E31,$E31)-1)</f>
        <v>82</v>
      </c>
      <c r="G31" s="11">
        <f>IF($B31="","",RANK($D31,$D$2:$D$1501)+COUNTIF($D$2:D31,$D31)-1)</f>
        <v>54</v>
      </c>
    </row>
    <row r="32" spans="1:7">
      <c r="A32" s="11">
        <v>31</v>
      </c>
      <c r="B32" s="11" t="str">
        <f>IFERROR(INDEX('Raw Data'!$R$2:$R$50000,MATCH(31,'Raw Data'!$W$2:$W$50000,0)),"")</f>
        <v>saila</v>
      </c>
      <c r="C32" s="11" t="str">
        <f t="shared" si="0"/>
        <v>saila</v>
      </c>
      <c r="D32" s="11">
        <f>IF($B32="","",COUNTIFS('Raw Data'!$R$2:$R$50000,$B32))</f>
        <v>1</v>
      </c>
      <c r="E32" s="11">
        <f>IF($B32="","",SUMIFS('Raw Data'!$I$2:$I$50000,'Raw Data'!$R$2:$R$50000,$B32))</f>
        <v>12000</v>
      </c>
      <c r="F32" s="11">
        <f>IF($B32="","",RANK($E32,$E$2:$E$1501)+COUNTIF($E$2:E32,$E32)-1)</f>
        <v>159</v>
      </c>
      <c r="G32" s="11">
        <f>IF($B32="","",RANK($D32,$D$2:$D$1501)+COUNTIF($D$2:D32,$D32)-1)</f>
        <v>96</v>
      </c>
    </row>
    <row r="33" spans="1:7">
      <c r="A33" s="11">
        <v>32</v>
      </c>
      <c r="B33" s="11" t="str">
        <f>IFERROR(INDEX('Raw Data'!$R$2:$R$50000,MATCH(32,'Raw Data'!$W$2:$W$50000,0)),"")</f>
        <v>Rosadi</v>
      </c>
      <c r="C33" s="11" t="str">
        <f t="shared" si="0"/>
        <v>Rosadi</v>
      </c>
      <c r="D33" s="11">
        <f>IF($B33="","",COUNTIFS('Raw Data'!$R$2:$R$50000,$B33))</f>
        <v>3</v>
      </c>
      <c r="E33" s="11">
        <f>IF($B33="","",SUMIFS('Raw Data'!$I$2:$I$50000,'Raw Data'!$R$2:$R$50000,$B33))</f>
        <v>68000</v>
      </c>
      <c r="F33" s="11">
        <f>IF($B33="","",RANK($E33,$E$2:$E$1501)+COUNTIF($E$2:E33,$E33)-1)</f>
        <v>54</v>
      </c>
      <c r="G33" s="11">
        <f>IF($B33="","",RANK($D33,$D$2:$D$1501)+COUNTIF($D$2:D33,$D33)-1)</f>
        <v>41</v>
      </c>
    </row>
    <row r="34" spans="1:7">
      <c r="A34" s="11">
        <v>33</v>
      </c>
      <c r="B34" s="11" t="str">
        <f>IFERROR(INDEX('Raw Data'!$R$2:$R$50000,MATCH(33,'Raw Data'!$W$2:$W$50000,0)),"")</f>
        <v>Sandy</v>
      </c>
      <c r="C34" s="11" t="str">
        <f t="shared" si="0"/>
        <v>Sandy</v>
      </c>
      <c r="D34" s="11">
        <f>IF($B34="","",COUNTIFS('Raw Data'!$R$2:$R$50000,$B34))</f>
        <v>4</v>
      </c>
      <c r="E34" s="11">
        <f>IF($B34="","",SUMIFS('Raw Data'!$I$2:$I$50000,'Raw Data'!$R$2:$R$50000,$B34))</f>
        <v>96000</v>
      </c>
      <c r="F34" s="11">
        <f>IF($B34="","",RANK($E34,$E$2:$E$1501)+COUNTIF($E$2:E34,$E34)-1)</f>
        <v>38</v>
      </c>
      <c r="G34" s="11">
        <f>IF($B34="","",RANK($D34,$D$2:$D$1501)+COUNTIF($D$2:D34,$D34)-1)</f>
        <v>31</v>
      </c>
    </row>
    <row r="35" spans="1:7">
      <c r="A35" s="11">
        <v>34</v>
      </c>
      <c r="B35" s="11" t="str">
        <f>IFERROR(INDEX('Raw Data'!$R$2:$R$50000,MATCH(34,'Raw Data'!$W$2:$W$50000,0)),"")</f>
        <v>OLVeshop</v>
      </c>
      <c r="C35" s="11" t="str">
        <f t="shared" si="0"/>
        <v>OLVeshop</v>
      </c>
      <c r="D35" s="11">
        <f>IF($B35="","",COUNTIFS('Raw Data'!$R$2:$R$50000,$B35))</f>
        <v>1</v>
      </c>
      <c r="E35" s="11">
        <f>IF($B35="","",SUMIFS('Raw Data'!$I$2:$I$50000,'Raw Data'!$R$2:$R$50000,$B35))</f>
        <v>25000</v>
      </c>
      <c r="F35" s="11">
        <f>IF($B35="","",RANK($E35,$E$2:$E$1501)+COUNTIF($E$2:E35,$E35)-1)</f>
        <v>115</v>
      </c>
      <c r="G35" s="11">
        <f>IF($B35="","",RANK($D35,$D$2:$D$1501)+COUNTIF($D$2:D35,$D35)-1)</f>
        <v>97</v>
      </c>
    </row>
    <row r="36" spans="1:7">
      <c r="A36" s="11">
        <v>35</v>
      </c>
      <c r="B36" s="11" t="str">
        <f>IFERROR(INDEX('Raw Data'!$R$2:$R$50000,MATCH(35,'Raw Data'!$W$2:$W$50000,0)),"")</f>
        <v>Salsabila Nurulhilmiya</v>
      </c>
      <c r="C36" s="11" t="str">
        <f t="shared" si="0"/>
        <v>Salsabila Nurulhilmiya</v>
      </c>
      <c r="D36" s="11">
        <f>IF($B36="","",COUNTIFS('Raw Data'!$R$2:$R$50000,$B36))</f>
        <v>1</v>
      </c>
      <c r="E36" s="11">
        <f>IF($B36="","",SUMIFS('Raw Data'!$I$2:$I$50000,'Raw Data'!$R$2:$R$50000,$B36))</f>
        <v>10000</v>
      </c>
      <c r="F36" s="11">
        <f>IF($B36="","",RANK($E36,$E$2:$E$1501)+COUNTIF($E$2:E36,$E36)-1)</f>
        <v>219</v>
      </c>
      <c r="G36" s="11">
        <f>IF($B36="","",RANK($D36,$D$2:$D$1501)+COUNTIF($D$2:D36,$D36)-1)</f>
        <v>98</v>
      </c>
    </row>
    <row r="37" spans="1:7">
      <c r="A37" s="11">
        <v>36</v>
      </c>
      <c r="B37" s="11" t="str">
        <f>IFERROR(INDEX('Raw Data'!$R$2:$R$50000,MATCH(36,'Raw Data'!$W$2:$W$50000,0)),"")</f>
        <v xml:space="preserve">AGUNG LAKSONO </v>
      </c>
      <c r="C37" s="11" t="str">
        <f t="shared" si="0"/>
        <v xml:space="preserve">AGUNG LAKSONO </v>
      </c>
      <c r="D37" s="11">
        <f>IF($B37="","",COUNTIFS('Raw Data'!$R$2:$R$50000,$B37))</f>
        <v>1</v>
      </c>
      <c r="E37" s="11">
        <f>IF($B37="","",SUMIFS('Raw Data'!$I$2:$I$50000,'Raw Data'!$R$2:$R$50000,$B37))</f>
        <v>12000</v>
      </c>
      <c r="F37" s="11">
        <f>IF($B37="","",RANK($E37,$E$2:$E$1501)+COUNTIF($E$2:E37,$E37)-1)</f>
        <v>160</v>
      </c>
      <c r="G37" s="11">
        <f>IF($B37="","",RANK($D37,$D$2:$D$1501)+COUNTIF($D$2:D37,$D37)-1)</f>
        <v>99</v>
      </c>
    </row>
    <row r="38" spans="1:7">
      <c r="A38" s="11">
        <v>37</v>
      </c>
      <c r="B38" s="11" t="str">
        <f>IFERROR(INDEX('Raw Data'!$R$2:$R$50000,MATCH(37,'Raw Data'!$W$2:$W$50000,0)),"")</f>
        <v>DEDE MUTAKIN</v>
      </c>
      <c r="C38" s="11" t="str">
        <f t="shared" si="0"/>
        <v>DEDE MUTAKIN</v>
      </c>
      <c r="D38" s="11">
        <f>IF($B38="","",COUNTIFS('Raw Data'!$R$2:$R$50000,$B38))</f>
        <v>2</v>
      </c>
      <c r="E38" s="11">
        <f>IF($B38="","",SUMIFS('Raw Data'!$I$2:$I$50000,'Raw Data'!$R$2:$R$50000,$B38))</f>
        <v>58500</v>
      </c>
      <c r="F38" s="11">
        <f>IF($B38="","",RANK($E38,$E$2:$E$1501)+COUNTIF($E$2:E38,$E38)-1)</f>
        <v>60</v>
      </c>
      <c r="G38" s="11">
        <f>IF($B38="","",RANK($D38,$D$2:$D$1501)+COUNTIF($D$2:D38,$D38)-1)</f>
        <v>55</v>
      </c>
    </row>
    <row r="39" spans="1:7">
      <c r="A39" s="11">
        <v>38</v>
      </c>
      <c r="B39" s="11" t="str">
        <f>IFERROR(INDEX('Raw Data'!$R$2:$R$50000,MATCH(38,'Raw Data'!$W$2:$W$50000,0)),"")</f>
        <v>Ratu Maharani Kharty Kea</v>
      </c>
      <c r="C39" s="11" t="str">
        <f t="shared" si="0"/>
        <v>Ratu Maharani Kharty Kea</v>
      </c>
      <c r="D39" s="11">
        <f>IF($B39="","",COUNTIFS('Raw Data'!$R$2:$R$50000,$B39))</f>
        <v>1</v>
      </c>
      <c r="E39" s="11">
        <f>IF($B39="","",SUMIFS('Raw Data'!$I$2:$I$50000,'Raw Data'!$R$2:$R$50000,$B39))</f>
        <v>12000</v>
      </c>
      <c r="F39" s="11">
        <f>IF($B39="","",RANK($E39,$E$2:$E$1501)+COUNTIF($E$2:E39,$E39)-1)</f>
        <v>161</v>
      </c>
      <c r="G39" s="11">
        <f>IF($B39="","",RANK($D39,$D$2:$D$1501)+COUNTIF($D$2:D39,$D39)-1)</f>
        <v>100</v>
      </c>
    </row>
    <row r="40" spans="1:7">
      <c r="A40" s="11">
        <v>39</v>
      </c>
      <c r="B40" s="11" t="str">
        <f>IFERROR(INDEX('Raw Data'!$R$2:$R$50000,MATCH(39,'Raw Data'!$W$2:$W$50000,0)),"")</f>
        <v>Jalan Proklamasi No 6 RT6 Rw5</v>
      </c>
      <c r="C40" s="11" t="str">
        <f t="shared" si="0"/>
        <v>Jalan Proklamasi No 6 RT6 Rw5</v>
      </c>
      <c r="D40" s="11">
        <f>IF($B40="","",COUNTIFS('Raw Data'!$R$2:$R$50000,$B40))</f>
        <v>16</v>
      </c>
      <c r="E40" s="11">
        <f>IF($B40="","",SUMIFS('Raw Data'!$I$2:$I$50000,'Raw Data'!$R$2:$R$50000,$B40))</f>
        <v>393500</v>
      </c>
      <c r="F40" s="11">
        <f>IF($B40="","",RANK($E40,$E$2:$E$1501)+COUNTIF($E$2:E40,$E40)-1)</f>
        <v>12</v>
      </c>
      <c r="G40" s="11">
        <f>IF($B40="","",RANK($D40,$D$2:$D$1501)+COUNTIF($D$2:D40,$D40)-1)</f>
        <v>11</v>
      </c>
    </row>
    <row r="41" spans="1:7">
      <c r="A41" s="11">
        <v>40</v>
      </c>
      <c r="B41" s="11" t="str">
        <f>IFERROR(INDEX('Raw Data'!$R$2:$R$50000,MATCH(40,'Raw Data'!$W$2:$W$50000,0)),"")</f>
        <v>Lunalita (Lutfiyatul Hanifah)</v>
      </c>
      <c r="C41" s="11" t="str">
        <f t="shared" si="0"/>
        <v>Lunalita (Lutfiyatul Hanifah)</v>
      </c>
      <c r="D41" s="11">
        <f>IF($B41="","",COUNTIFS('Raw Data'!$R$2:$R$50000,$B41))</f>
        <v>18</v>
      </c>
      <c r="E41" s="11">
        <f>IF($B41="","",SUMIFS('Raw Data'!$I$2:$I$50000,'Raw Data'!$R$2:$R$50000,$B41))</f>
        <v>521000</v>
      </c>
      <c r="F41" s="11">
        <f>IF($B41="","",RANK($E41,$E$2:$E$1501)+COUNTIF($E$2:E41,$E41)-1)</f>
        <v>7</v>
      </c>
      <c r="G41" s="11">
        <f>IF($B41="","",RANK($D41,$D$2:$D$1501)+COUNTIF($D$2:D41,$D41)-1)</f>
        <v>8</v>
      </c>
    </row>
    <row r="42" spans="1:7">
      <c r="A42" s="11">
        <v>41</v>
      </c>
      <c r="B42" s="11" t="str">
        <f>IFERROR(INDEX('Raw Data'!$R$2:$R$50000,MATCH(41,'Raw Data'!$W$2:$W$50000,0)),"")</f>
        <v>Suksesbike Shop</v>
      </c>
      <c r="C42" s="11" t="str">
        <f t="shared" si="0"/>
        <v>Suksesbike Shop</v>
      </c>
      <c r="D42" s="11">
        <f>IF($B42="","",COUNTIFS('Raw Data'!$R$2:$R$50000,$B42))</f>
        <v>2</v>
      </c>
      <c r="E42" s="11">
        <f>IF($B42="","",SUMIFS('Raw Data'!$I$2:$I$50000,'Raw Data'!$R$2:$R$50000,$B42))</f>
        <v>57500</v>
      </c>
      <c r="F42" s="11">
        <f>IF($B42="","",RANK($E42,$E$2:$E$1501)+COUNTIF($E$2:E42,$E42)-1)</f>
        <v>63</v>
      </c>
      <c r="G42" s="11">
        <f>IF($B42="","",RANK($D42,$D$2:$D$1501)+COUNTIF($D$2:D42,$D42)-1)</f>
        <v>56</v>
      </c>
    </row>
    <row r="43" spans="1:7">
      <c r="A43" s="11">
        <v>42</v>
      </c>
      <c r="B43" s="11" t="str">
        <f>IFERROR(INDEX('Raw Data'!$R$2:$R$50000,MATCH(42,'Raw Data'!$W$2:$W$50000,0)),"")</f>
        <v>GRANESIA FLAGSHIP STORE</v>
      </c>
      <c r="C43" s="11" t="str">
        <f t="shared" si="0"/>
        <v>GRANESIA FLAGSHIP STORE</v>
      </c>
      <c r="D43" s="11">
        <f>IF($B43="","",COUNTIFS('Raw Data'!$R$2:$R$50000,$B43))</f>
        <v>1</v>
      </c>
      <c r="E43" s="11">
        <f>IF($B43="","",SUMIFS('Raw Data'!$I$2:$I$50000,'Raw Data'!$R$2:$R$50000,$B43))</f>
        <v>40000</v>
      </c>
      <c r="F43" s="11">
        <f>IF($B43="","",RANK($E43,$E$2:$E$1501)+COUNTIF($E$2:E43,$E43)-1)</f>
        <v>86</v>
      </c>
      <c r="G43" s="11">
        <f>IF($B43="","",RANK($D43,$D$2:$D$1501)+COUNTIF($D$2:D43,$D43)-1)</f>
        <v>101</v>
      </c>
    </row>
    <row r="44" spans="1:7">
      <c r="A44" s="11">
        <v>43</v>
      </c>
      <c r="B44" s="11" t="str">
        <f>IFERROR(INDEX('Raw Data'!$R$2:$R$50000,MATCH(43,'Raw Data'!$W$2:$W$50000,0)),"")</f>
        <v>Luxis</v>
      </c>
      <c r="C44" s="11" t="str">
        <f t="shared" si="0"/>
        <v>Luxis</v>
      </c>
      <c r="D44" s="11">
        <f>IF($B44="","",COUNTIFS('Raw Data'!$R$2:$R$50000,$B44))</f>
        <v>2</v>
      </c>
      <c r="E44" s="11">
        <f>IF($B44="","",SUMIFS('Raw Data'!$I$2:$I$50000,'Raw Data'!$R$2:$R$50000,$B44))</f>
        <v>30000</v>
      </c>
      <c r="F44" s="11">
        <f>IF($B44="","",RANK($E44,$E$2:$E$1501)+COUNTIF($E$2:E44,$E44)-1)</f>
        <v>102</v>
      </c>
      <c r="G44" s="11">
        <f>IF($B44="","",RANK($D44,$D$2:$D$1501)+COUNTIF($D$2:D44,$D44)-1)</f>
        <v>57</v>
      </c>
    </row>
    <row r="45" spans="1:7">
      <c r="A45" s="11">
        <v>44</v>
      </c>
      <c r="B45" s="11" t="str">
        <f>IFERROR(INDEX('Raw Data'!$R$2:$R$50000,MATCH(44,'Raw Data'!$W$2:$W$50000,0)),"")</f>
        <v>Laurensia</v>
      </c>
      <c r="C45" s="11" t="str">
        <f t="shared" si="0"/>
        <v>Laurensia</v>
      </c>
      <c r="D45" s="11">
        <f>IF($B45="","",COUNTIFS('Raw Data'!$R$2:$R$50000,$B45))</f>
        <v>3</v>
      </c>
      <c r="E45" s="11">
        <f>IF($B45="","",SUMIFS('Raw Data'!$I$2:$I$50000,'Raw Data'!$R$2:$R$50000,$B45))</f>
        <v>36000</v>
      </c>
      <c r="F45" s="11">
        <f>IF($B45="","",RANK($E45,$E$2:$E$1501)+COUNTIF($E$2:E45,$E45)-1)</f>
        <v>91</v>
      </c>
      <c r="G45" s="11">
        <f>IF($B45="","",RANK($D45,$D$2:$D$1501)+COUNTIF($D$2:D45,$D45)-1)</f>
        <v>42</v>
      </c>
    </row>
    <row r="46" spans="1:7">
      <c r="A46" s="11">
        <v>45</v>
      </c>
      <c r="B46" s="11" t="str">
        <f>IFERROR(INDEX('Raw Data'!$R$2:$R$50000,MATCH(45,'Raw Data'!$W$2:$W$50000,0)),"")</f>
        <v>PT SURYA INDUSTRIAL NUSANTARA</v>
      </c>
      <c r="C46" s="11" t="str">
        <f t="shared" si="0"/>
        <v>PT SURYA INDUSTRIAL NUSANTARA</v>
      </c>
      <c r="D46" s="11">
        <f>IF($B46="","",COUNTIFS('Raw Data'!$R$2:$R$50000,$B46))</f>
        <v>1</v>
      </c>
      <c r="E46" s="11">
        <f>IF($B46="","",SUMIFS('Raw Data'!$I$2:$I$50000,'Raw Data'!$R$2:$R$50000,$B46))</f>
        <v>11000</v>
      </c>
      <c r="F46" s="11">
        <f>IF($B46="","",RANK($E46,$E$2:$E$1501)+COUNTIF($E$2:E46,$E46)-1)</f>
        <v>217</v>
      </c>
      <c r="G46" s="11">
        <f>IF($B46="","",RANK($D46,$D$2:$D$1501)+COUNTIF($D$2:D46,$D46)-1)</f>
        <v>102</v>
      </c>
    </row>
    <row r="47" spans="1:7">
      <c r="A47" s="11">
        <v>46</v>
      </c>
      <c r="B47" s="11" t="str">
        <f>IFERROR(INDEX('Raw Data'!$R$2:$R$50000,MATCH(46,'Raw Data'!$W$2:$W$50000,0)),"")</f>
        <v>VALID PRIHANDA OKUTAMA</v>
      </c>
      <c r="C47" s="11" t="str">
        <f t="shared" si="0"/>
        <v>VALID PRIHANDA OKUTAMA</v>
      </c>
      <c r="D47" s="11">
        <f>IF($B47="","",COUNTIFS('Raw Data'!$R$2:$R$50000,$B47))</f>
        <v>1</v>
      </c>
      <c r="E47" s="11">
        <f>IF($B47="","",SUMIFS('Raw Data'!$I$2:$I$50000,'Raw Data'!$R$2:$R$50000,$B47))</f>
        <v>24000</v>
      </c>
      <c r="F47" s="11">
        <f>IF($B47="","",RANK($E47,$E$2:$E$1501)+COUNTIF($E$2:E47,$E47)-1)</f>
        <v>118</v>
      </c>
      <c r="G47" s="11">
        <f>IF($B47="","",RANK($D47,$D$2:$D$1501)+COUNTIF($D$2:D47,$D47)-1)</f>
        <v>103</v>
      </c>
    </row>
    <row r="48" spans="1:7">
      <c r="A48" s="11">
        <v>47</v>
      </c>
      <c r="B48" s="11" t="str">
        <f>IFERROR(INDEX('Raw Data'!$R$2:$R$50000,MATCH(47,'Raw Data'!$W$2:$W$50000,0)),"")</f>
        <v>Yudha Andrian</v>
      </c>
      <c r="C48" s="11" t="str">
        <f t="shared" si="0"/>
        <v>Yudha Andrian</v>
      </c>
      <c r="D48" s="11">
        <f>IF($B48="","",COUNTIFS('Raw Data'!$R$2:$R$50000,$B48))</f>
        <v>1</v>
      </c>
      <c r="E48" s="11">
        <f>IF($B48="","",SUMIFS('Raw Data'!$I$2:$I$50000,'Raw Data'!$R$2:$R$50000,$B48))</f>
        <v>29500</v>
      </c>
      <c r="F48" s="11">
        <f>IF($B48="","",RANK($E48,$E$2:$E$1501)+COUNTIF($E$2:E48,$E48)-1)</f>
        <v>106</v>
      </c>
      <c r="G48" s="11">
        <f>IF($B48="","",RANK($D48,$D$2:$D$1501)+COUNTIF($D$2:D48,$D48)-1)</f>
        <v>104</v>
      </c>
    </row>
    <row r="49" spans="1:7">
      <c r="A49" s="11">
        <v>48</v>
      </c>
      <c r="B49" s="11" t="str">
        <f>IFERROR(INDEX('Raw Data'!$R$2:$R$50000,MATCH(48,'Raw Data'!$W$2:$W$50000,0)),"")</f>
        <v>Ricky kurniawan</v>
      </c>
      <c r="C49" s="11" t="str">
        <f t="shared" si="0"/>
        <v>Ricky kurniawan</v>
      </c>
      <c r="D49" s="11">
        <f>IF($B49="","",COUNTIFS('Raw Data'!$R$2:$R$50000,$B49))</f>
        <v>1</v>
      </c>
      <c r="E49" s="11">
        <f>IF($B49="","",SUMIFS('Raw Data'!$I$2:$I$50000,'Raw Data'!$R$2:$R$50000,$B49))</f>
        <v>5500</v>
      </c>
      <c r="F49" s="11">
        <f>IF($B49="","",RANK($E49,$E$2:$E$1501)+COUNTIF($E$2:E49,$E49)-1)</f>
        <v>226</v>
      </c>
      <c r="G49" s="11">
        <f>IF($B49="","",RANK($D49,$D$2:$D$1501)+COUNTIF($D$2:D49,$D49)-1)</f>
        <v>105</v>
      </c>
    </row>
    <row r="50" spans="1:7">
      <c r="A50" s="11">
        <v>49</v>
      </c>
      <c r="B50" s="11" t="str">
        <f>IFERROR(INDEX('Raw Data'!$R$2:$R$50000,MATCH(49,'Raw Data'!$W$2:$W$50000,0)),"")</f>
        <v>Nova Pratiwi</v>
      </c>
      <c r="C50" s="11" t="str">
        <f t="shared" si="0"/>
        <v>Nova Pratiwi</v>
      </c>
      <c r="D50" s="11">
        <f>IF($B50="","",COUNTIFS('Raw Data'!$R$2:$R$50000,$B50))</f>
        <v>2</v>
      </c>
      <c r="E50" s="11">
        <f>IF($B50="","",SUMIFS('Raw Data'!$I$2:$I$50000,'Raw Data'!$R$2:$R$50000,$B50))</f>
        <v>24000</v>
      </c>
      <c r="F50" s="11">
        <f>IF($B50="","",RANK($E50,$E$2:$E$1501)+COUNTIF($E$2:E50,$E50)-1)</f>
        <v>119</v>
      </c>
      <c r="G50" s="11">
        <f>IF($B50="","",RANK($D50,$D$2:$D$1501)+COUNTIF($D$2:D50,$D50)-1)</f>
        <v>58</v>
      </c>
    </row>
    <row r="51" spans="1:7">
      <c r="A51" s="11">
        <v>50</v>
      </c>
      <c r="B51" s="11" t="str">
        <f>IFERROR(INDEX('Raw Data'!$R$2:$R$50000,MATCH(50,'Raw Data'!$W$2:$W$50000,0)),"")</f>
        <v xml:space="preserve">PUJI PURWANTI </v>
      </c>
      <c r="C51" s="11" t="str">
        <f t="shared" si="0"/>
        <v xml:space="preserve">PUJI PURWANTI </v>
      </c>
      <c r="D51" s="11">
        <f>IF($B51="","",COUNTIFS('Raw Data'!$R$2:$R$50000,$B51))</f>
        <v>1</v>
      </c>
      <c r="E51" s="11">
        <f>IF($B51="","",SUMIFS('Raw Data'!$I$2:$I$50000,'Raw Data'!$R$2:$R$50000,$B51))</f>
        <v>12000</v>
      </c>
      <c r="F51" s="11">
        <f>IF($B51="","",RANK($E51,$E$2:$E$1501)+COUNTIF($E$2:E51,$E51)-1)</f>
        <v>162</v>
      </c>
      <c r="G51" s="11">
        <f>IF($B51="","",RANK($D51,$D$2:$D$1501)+COUNTIF($D$2:D51,$D51)-1)</f>
        <v>106</v>
      </c>
    </row>
    <row r="52" spans="1:7">
      <c r="A52" s="11">
        <v>51</v>
      </c>
      <c r="B52" s="11" t="str">
        <f>IFERROR(INDEX('Raw Data'!$R$2:$R$50000,MATCH(51,'Raw Data'!$W$2:$W$50000,0)),"")</f>
        <v>Arci Games</v>
      </c>
      <c r="C52" s="11" t="str">
        <f t="shared" si="0"/>
        <v>Arci Games</v>
      </c>
      <c r="D52" s="11">
        <f>IF($B52="","",COUNTIFS('Raw Data'!$R$2:$R$50000,$B52))</f>
        <v>4</v>
      </c>
      <c r="E52" s="11">
        <f>IF($B52="","",SUMIFS('Raw Data'!$I$2:$I$50000,'Raw Data'!$R$2:$R$50000,$B52))</f>
        <v>171000</v>
      </c>
      <c r="F52" s="11">
        <f>IF($B52="","",RANK($E52,$E$2:$E$1501)+COUNTIF($E$2:E52,$E52)-1)</f>
        <v>21</v>
      </c>
      <c r="G52" s="11">
        <f>IF($B52="","",RANK($D52,$D$2:$D$1501)+COUNTIF($D$2:D52,$D52)-1)</f>
        <v>32</v>
      </c>
    </row>
    <row r="53" spans="1:7">
      <c r="A53" s="11">
        <v>52</v>
      </c>
      <c r="B53" s="11" t="str">
        <f>IFERROR(INDEX('Raw Data'!$R$2:$R$50000,MATCH(52,'Raw Data'!$W$2:$W$50000,0)),"")</f>
        <v>Kaluiz</v>
      </c>
      <c r="C53" s="11" t="str">
        <f t="shared" si="0"/>
        <v>Kaluiz</v>
      </c>
      <c r="D53" s="11">
        <f>IF($B53="","",COUNTIFS('Raw Data'!$R$2:$R$50000,$B53))</f>
        <v>2</v>
      </c>
      <c r="E53" s="11">
        <f>IF($B53="","",SUMIFS('Raw Data'!$I$2:$I$50000,'Raw Data'!$R$2:$R$50000,$B53))</f>
        <v>24000</v>
      </c>
      <c r="F53" s="11">
        <f>IF($B53="","",RANK($E53,$E$2:$E$1501)+COUNTIF($E$2:E53,$E53)-1)</f>
        <v>120</v>
      </c>
      <c r="G53" s="11">
        <f>IF($B53="","",RANK($D53,$D$2:$D$1501)+COUNTIF($D$2:D53,$D53)-1)</f>
        <v>59</v>
      </c>
    </row>
    <row r="54" spans="1:7">
      <c r="A54" s="11">
        <v>53</v>
      </c>
      <c r="B54" s="11" t="str">
        <f>IFERROR(INDEX('Raw Data'!$R$2:$R$50000,MATCH(53,'Raw Data'!$W$2:$W$50000,0)),"")</f>
        <v>fahri</v>
      </c>
      <c r="C54" s="11" t="str">
        <f t="shared" si="0"/>
        <v>fahri</v>
      </c>
      <c r="D54" s="11">
        <f>IF($B54="","",COUNTIFS('Raw Data'!$R$2:$R$50000,$B54))</f>
        <v>4</v>
      </c>
      <c r="E54" s="11">
        <f>IF($B54="","",SUMIFS('Raw Data'!$I$2:$I$50000,'Raw Data'!$R$2:$R$50000,$B54))</f>
        <v>194000</v>
      </c>
      <c r="F54" s="11">
        <f>IF($B54="","",RANK($E54,$E$2:$E$1501)+COUNTIF($E$2:E54,$E54)-1)</f>
        <v>20</v>
      </c>
      <c r="G54" s="11">
        <f>IF($B54="","",RANK($D54,$D$2:$D$1501)+COUNTIF($D$2:D54,$D54)-1)</f>
        <v>33</v>
      </c>
    </row>
    <row r="55" spans="1:7">
      <c r="A55" s="11">
        <v>54</v>
      </c>
      <c r="B55" s="11" t="str">
        <f>IFERROR(INDEX('Raw Data'!$R$2:$R$50000,MATCH(54,'Raw Data'!$W$2:$W$50000,0)),"")</f>
        <v>Allure &amp; Lullaby</v>
      </c>
      <c r="C55" s="11" t="str">
        <f t="shared" si="0"/>
        <v>Allure &amp; Lullaby</v>
      </c>
      <c r="D55" s="11">
        <f>IF($B55="","",COUNTIFS('Raw Data'!$R$2:$R$50000,$B55))</f>
        <v>2</v>
      </c>
      <c r="E55" s="11">
        <f>IF($B55="","",SUMIFS('Raw Data'!$I$2:$I$50000,'Raw Data'!$R$2:$R$50000,$B55))</f>
        <v>47500</v>
      </c>
      <c r="F55" s="11">
        <f>IF($B55="","",RANK($E55,$E$2:$E$1501)+COUNTIF($E$2:E55,$E55)-1)</f>
        <v>81</v>
      </c>
      <c r="G55" s="11">
        <f>IF($B55="","",RANK($D55,$D$2:$D$1501)+COUNTIF($D$2:D55,$D55)-1)</f>
        <v>60</v>
      </c>
    </row>
    <row r="56" spans="1:7">
      <c r="A56" s="11">
        <v>55</v>
      </c>
      <c r="B56" s="11" t="str">
        <f>IFERROR(INDEX('Raw Data'!$R$2:$R$50000,MATCH(55,'Raw Data'!$W$2:$W$50000,0)),"")</f>
        <v>Alma</v>
      </c>
      <c r="C56" s="11" t="str">
        <f t="shared" si="0"/>
        <v>Alma</v>
      </c>
      <c r="D56" s="11">
        <f>IF($B56="","",COUNTIFS('Raw Data'!$R$2:$R$50000,$B56))</f>
        <v>2</v>
      </c>
      <c r="E56" s="11">
        <f>IF($B56="","",SUMIFS('Raw Data'!$I$2:$I$50000,'Raw Data'!$R$2:$R$50000,$B56))</f>
        <v>31000</v>
      </c>
      <c r="F56" s="11">
        <f>IF($B56="","",RANK($E56,$E$2:$E$1501)+COUNTIF($E$2:E56,$E56)-1)</f>
        <v>101</v>
      </c>
      <c r="G56" s="11">
        <f>IF($B56="","",RANK($D56,$D$2:$D$1501)+COUNTIF($D$2:D56,$D56)-1)</f>
        <v>61</v>
      </c>
    </row>
    <row r="57" spans="1:7">
      <c r="A57" s="11">
        <v>56</v>
      </c>
      <c r="B57" s="11" t="str">
        <f>IFERROR(INDEX('Raw Data'!$R$2:$R$50000,MATCH(56,'Raw Data'!$W$2:$W$50000,0)),"")</f>
        <v>Wintercoat.id store</v>
      </c>
      <c r="C57" s="11" t="str">
        <f t="shared" si="0"/>
        <v>Wintercoat.id store</v>
      </c>
      <c r="D57" s="11">
        <f>IF($B57="","",COUNTIFS('Raw Data'!$R$2:$R$50000,$B57))</f>
        <v>1</v>
      </c>
      <c r="E57" s="11">
        <f>IF($B57="","",SUMIFS('Raw Data'!$I$2:$I$50000,'Raw Data'!$R$2:$R$50000,$B57))</f>
        <v>27000</v>
      </c>
      <c r="F57" s="11">
        <f>IF($B57="","",RANK($E57,$E$2:$E$1501)+COUNTIF($E$2:E57,$E57)-1)</f>
        <v>111</v>
      </c>
      <c r="G57" s="11">
        <f>IF($B57="","",RANK($D57,$D$2:$D$1501)+COUNTIF($D$2:D57,$D57)-1)</f>
        <v>107</v>
      </c>
    </row>
    <row r="58" spans="1:7">
      <c r="A58" s="11">
        <v>57</v>
      </c>
      <c r="B58" s="11" t="str">
        <f>IFERROR(INDEX('Raw Data'!$R$2:$R$50000,MATCH(57,'Raw Data'!$W$2:$W$50000,0)),"")</f>
        <v>JastipNaila__</v>
      </c>
      <c r="C58" s="11" t="str">
        <f t="shared" si="0"/>
        <v>JastipNaila__</v>
      </c>
      <c r="D58" s="11">
        <f>IF($B58="","",COUNTIFS('Raw Data'!$R$2:$R$50000,$B58))</f>
        <v>1</v>
      </c>
      <c r="E58" s="11">
        <f>IF($B58="","",SUMIFS('Raw Data'!$I$2:$I$50000,'Raw Data'!$R$2:$R$50000,$B58))</f>
        <v>78000</v>
      </c>
      <c r="F58" s="11">
        <f>IF($B58="","",RANK($E58,$E$2:$E$1501)+COUNTIF($E$2:E58,$E58)-1)</f>
        <v>48</v>
      </c>
      <c r="G58" s="11">
        <f>IF($B58="","",RANK($D58,$D$2:$D$1501)+COUNTIF($D$2:D58,$D58)-1)</f>
        <v>108</v>
      </c>
    </row>
    <row r="59" spans="1:7">
      <c r="A59" s="11">
        <v>58</v>
      </c>
      <c r="B59" s="11" t="str">
        <f>IFERROR(INDEX('Raw Data'!$R$2:$R$50000,MATCH(58,'Raw Data'!$W$2:$W$50000,0)),"")</f>
        <v>Novi</v>
      </c>
      <c r="C59" s="11" t="str">
        <f t="shared" si="0"/>
        <v>Novi</v>
      </c>
      <c r="D59" s="11">
        <f>IF($B59="","",COUNTIFS('Raw Data'!$R$2:$R$50000,$B59))</f>
        <v>2</v>
      </c>
      <c r="E59" s="11">
        <f>IF($B59="","",SUMIFS('Raw Data'!$I$2:$I$50000,'Raw Data'!$R$2:$R$50000,$B59))</f>
        <v>48500</v>
      </c>
      <c r="F59" s="11">
        <f>IF($B59="","",RANK($E59,$E$2:$E$1501)+COUNTIF($E$2:E59,$E59)-1)</f>
        <v>75</v>
      </c>
      <c r="G59" s="11">
        <f>IF($B59="","",RANK($D59,$D$2:$D$1501)+COUNTIF($D$2:D59,$D59)-1)</f>
        <v>62</v>
      </c>
    </row>
    <row r="60" spans="1:7">
      <c r="A60" s="11">
        <v>59</v>
      </c>
      <c r="B60" s="11" t="str">
        <f>IFERROR(INDEX('Raw Data'!$R$2:$R$50000,MATCH(59,'Raw Data'!$W$2:$W$50000,0)),"")</f>
        <v>Nita Jumbo Collection</v>
      </c>
      <c r="C60" s="11" t="str">
        <f t="shared" si="0"/>
        <v>Nita Jumbo Collection</v>
      </c>
      <c r="D60" s="11">
        <f>IF($B60="","",COUNTIFS('Raw Data'!$R$2:$R$50000,$B60))</f>
        <v>1</v>
      </c>
      <c r="E60" s="11">
        <f>IF($B60="","",SUMIFS('Raw Data'!$I$2:$I$50000,'Raw Data'!$R$2:$R$50000,$B60))</f>
        <v>234000</v>
      </c>
      <c r="F60" s="11">
        <f>IF($B60="","",RANK($E60,$E$2:$E$1501)+COUNTIF($E$2:E60,$E60)-1)</f>
        <v>16</v>
      </c>
      <c r="G60" s="11">
        <f>IF($B60="","",RANK($D60,$D$2:$D$1501)+COUNTIF($D$2:D60,$D60)-1)</f>
        <v>109</v>
      </c>
    </row>
    <row r="61" spans="1:7">
      <c r="A61" s="11">
        <v>60</v>
      </c>
      <c r="B61" s="11" t="str">
        <f>IFERROR(INDEX('Raw Data'!$R$2:$R$50000,MATCH(60,'Raw Data'!$W$2:$W$50000,0)),"")</f>
        <v>Heri / Nita</v>
      </c>
      <c r="C61" s="11" t="str">
        <f t="shared" si="0"/>
        <v>Heri / Nita</v>
      </c>
      <c r="D61" s="11">
        <f>IF($B61="","",COUNTIFS('Raw Data'!$R$2:$R$50000,$B61))</f>
        <v>1</v>
      </c>
      <c r="E61" s="11">
        <f>IF($B61="","",SUMIFS('Raw Data'!$I$2:$I$50000,'Raw Data'!$R$2:$R$50000,$B61))</f>
        <v>48000</v>
      </c>
      <c r="F61" s="11">
        <f>IF($B61="","",RANK($E61,$E$2:$E$1501)+COUNTIF($E$2:E61,$E61)-1)</f>
        <v>77</v>
      </c>
      <c r="G61" s="11">
        <f>IF($B61="","",RANK($D61,$D$2:$D$1501)+COUNTIF($D$2:D61,$D61)-1)</f>
        <v>110</v>
      </c>
    </row>
    <row r="62" spans="1:7">
      <c r="A62" s="11">
        <v>61</v>
      </c>
      <c r="B62" s="11" t="str">
        <f>IFERROR(INDEX('Raw Data'!$R$2:$R$50000,MATCH(61,'Raw Data'!$W$2:$W$50000,0)),"")</f>
        <v xml:space="preserve">HERLINA </v>
      </c>
      <c r="C62" s="11" t="str">
        <f t="shared" si="0"/>
        <v xml:space="preserve">HERLINA </v>
      </c>
      <c r="D62" s="11">
        <f>IF($B62="","",COUNTIFS('Raw Data'!$R$2:$R$50000,$B62))</f>
        <v>1</v>
      </c>
      <c r="E62" s="11">
        <f>IF($B62="","",SUMIFS('Raw Data'!$I$2:$I$50000,'Raw Data'!$R$2:$R$50000,$B62))</f>
        <v>12000</v>
      </c>
      <c r="F62" s="11">
        <f>IF($B62="","",RANK($E62,$E$2:$E$1501)+COUNTIF($E$2:E62,$E62)-1)</f>
        <v>163</v>
      </c>
      <c r="G62" s="11">
        <f>IF($B62="","",RANK($D62,$D$2:$D$1501)+COUNTIF($D$2:D62,$D62)-1)</f>
        <v>111</v>
      </c>
    </row>
    <row r="63" spans="1:7">
      <c r="A63" s="11">
        <v>62</v>
      </c>
      <c r="B63" s="11" t="str">
        <f>IFERROR(INDEX('Raw Data'!$R$2:$R$50000,MATCH(62,'Raw Data'!$W$2:$W$50000,0)),"")</f>
        <v>bymegamutia</v>
      </c>
      <c r="C63" s="11" t="str">
        <f t="shared" si="0"/>
        <v>bymegamutia</v>
      </c>
      <c r="D63" s="11">
        <f>IF($B63="","",COUNTIFS('Raw Data'!$R$2:$R$50000,$B63))</f>
        <v>1</v>
      </c>
      <c r="E63" s="11">
        <f>IF($B63="","",SUMIFS('Raw Data'!$I$2:$I$50000,'Raw Data'!$R$2:$R$50000,$B63))</f>
        <v>18000</v>
      </c>
      <c r="F63" s="11">
        <f>IF($B63="","",RANK($E63,$E$2:$E$1501)+COUNTIF($E$2:E63,$E63)-1)</f>
        <v>146</v>
      </c>
      <c r="G63" s="11">
        <f>IF($B63="","",RANK($D63,$D$2:$D$1501)+COUNTIF($D$2:D63,$D63)-1)</f>
        <v>112</v>
      </c>
    </row>
    <row r="64" spans="1:7">
      <c r="A64" s="11">
        <v>63</v>
      </c>
      <c r="B64" s="11" t="str">
        <f>IFERROR(INDEX('Raw Data'!$R$2:$R$50000,MATCH(63,'Raw Data'!$W$2:$W$50000,0)),"")</f>
        <v>Andrea Erry Octavian</v>
      </c>
      <c r="C64" s="11" t="str">
        <f t="shared" si="0"/>
        <v>Andrea Erry Octavian</v>
      </c>
      <c r="D64" s="11">
        <f>IF($B64="","",COUNTIFS('Raw Data'!$R$2:$R$50000,$B64))</f>
        <v>8</v>
      </c>
      <c r="E64" s="11">
        <f>IF($B64="","",SUMIFS('Raw Data'!$I$2:$I$50000,'Raw Data'!$R$2:$R$50000,$B64))</f>
        <v>170000</v>
      </c>
      <c r="F64" s="11">
        <f>IF($B64="","",RANK($E64,$E$2:$E$1501)+COUNTIF($E$2:E64,$E64)-1)</f>
        <v>22</v>
      </c>
      <c r="G64" s="11">
        <f>IF($B64="","",RANK($D64,$D$2:$D$1501)+COUNTIF($D$2:D64,$D64)-1)</f>
        <v>13</v>
      </c>
    </row>
    <row r="65" spans="1:7">
      <c r="A65" s="11">
        <v>64</v>
      </c>
      <c r="B65" s="11" t="str">
        <f>IFERROR(INDEX('Raw Data'!$R$2:$R$50000,MATCH(64,'Raw Data'!$W$2:$W$50000,0)),"")</f>
        <v>Djolek Shop</v>
      </c>
      <c r="C65" s="11" t="str">
        <f t="shared" si="0"/>
        <v>Djolek Shop</v>
      </c>
      <c r="D65" s="11">
        <f>IF($B65="","",COUNTIFS('Raw Data'!$R$2:$R$50000,$B65))</f>
        <v>1</v>
      </c>
      <c r="E65" s="11">
        <f>IF($B65="","",SUMIFS('Raw Data'!$I$2:$I$50000,'Raw Data'!$R$2:$R$50000,$B65))</f>
        <v>12000</v>
      </c>
      <c r="F65" s="11">
        <f>IF($B65="","",RANK($E65,$E$2:$E$1501)+COUNTIF($E$2:E65,$E65)-1)</f>
        <v>164</v>
      </c>
      <c r="G65" s="11">
        <f>IF($B65="","",RANK($D65,$D$2:$D$1501)+COUNTIF($D$2:D65,$D65)-1)</f>
        <v>113</v>
      </c>
    </row>
    <row r="66" spans="1:7">
      <c r="A66" s="11">
        <v>65</v>
      </c>
      <c r="B66" s="11" t="str">
        <f>IFERROR(INDEX('Raw Data'!$R$2:$R$50000,MATCH(65,'Raw Data'!$W$2:$W$50000,0)),"")</f>
        <v>Vies</v>
      </c>
      <c r="C66" s="11" t="str">
        <f t="shared" ref="C66:C129" si="1">IF($B66="","",$B66)</f>
        <v>Vies</v>
      </c>
      <c r="D66" s="11">
        <f>IF($B66="","",COUNTIFS('Raw Data'!$R$2:$R$50000,$B66))</f>
        <v>2</v>
      </c>
      <c r="E66" s="11">
        <f>IF($B66="","",SUMIFS('Raw Data'!$I$2:$I$50000,'Raw Data'!$R$2:$R$50000,$B66))</f>
        <v>24000</v>
      </c>
      <c r="F66" s="11">
        <f>IF($B66="","",RANK($E66,$E$2:$E$1501)+COUNTIF($E$2:E66,$E66)-1)</f>
        <v>121</v>
      </c>
      <c r="G66" s="11">
        <f>IF($B66="","",RANK($D66,$D$2:$D$1501)+COUNTIF($D$2:D66,$D66)-1)</f>
        <v>63</v>
      </c>
    </row>
    <row r="67" spans="1:7">
      <c r="A67" s="11">
        <v>66</v>
      </c>
      <c r="B67" s="11" t="str">
        <f>IFERROR(INDEX('Raw Data'!$R$2:$R$50000,MATCH(66,'Raw Data'!$W$2:$W$50000,0)),"")</f>
        <v>Iqbal Devy</v>
      </c>
      <c r="C67" s="11" t="str">
        <f t="shared" si="1"/>
        <v>Iqbal Devy</v>
      </c>
      <c r="D67" s="11">
        <f>IF($B67="","",COUNTIFS('Raw Data'!$R$2:$R$50000,$B67))</f>
        <v>1</v>
      </c>
      <c r="E67" s="11">
        <f>IF($B67="","",SUMIFS('Raw Data'!$I$2:$I$50000,'Raw Data'!$R$2:$R$50000,$B67))</f>
        <v>12000</v>
      </c>
      <c r="F67" s="11">
        <f>IF($B67="","",RANK($E67,$E$2:$E$1501)+COUNTIF($E$2:E67,$E67)-1)</f>
        <v>165</v>
      </c>
      <c r="G67" s="11">
        <f>IF($B67="","",RANK($D67,$D$2:$D$1501)+COUNTIF($D$2:D67,$D67)-1)</f>
        <v>114</v>
      </c>
    </row>
    <row r="68" spans="1:7">
      <c r="A68" s="11">
        <v>67</v>
      </c>
      <c r="B68" s="11" t="str">
        <f>IFERROR(INDEX('Raw Data'!$R$2:$R$50000,MATCH(67,'Raw Data'!$W$2:$W$50000,0)),"")</f>
        <v>Nadia Kho</v>
      </c>
      <c r="C68" s="11" t="str">
        <f t="shared" si="1"/>
        <v>Nadia Kho</v>
      </c>
      <c r="D68" s="11">
        <f>IF($B68="","",COUNTIFS('Raw Data'!$R$2:$R$50000,$B68))</f>
        <v>2</v>
      </c>
      <c r="E68" s="11">
        <f>IF($B68="","",SUMIFS('Raw Data'!$I$2:$I$50000,'Raw Data'!$R$2:$R$50000,$B68))</f>
        <v>38000</v>
      </c>
      <c r="F68" s="11">
        <f>IF($B68="","",RANK($E68,$E$2:$E$1501)+COUNTIF($E$2:E68,$E68)-1)</f>
        <v>89</v>
      </c>
      <c r="G68" s="11">
        <f>IF($B68="","",RANK($D68,$D$2:$D$1501)+COUNTIF($D$2:D68,$D68)-1)</f>
        <v>64</v>
      </c>
    </row>
    <row r="69" spans="1:7">
      <c r="A69" s="11">
        <v>68</v>
      </c>
      <c r="B69" s="11" t="str">
        <f>IFERROR(INDEX('Raw Data'!$R$2:$R$50000,MATCH(68,'Raw Data'!$W$2:$W$50000,0)),"")</f>
        <v>Irfan riansyah</v>
      </c>
      <c r="C69" s="11" t="str">
        <f t="shared" si="1"/>
        <v>Irfan riansyah</v>
      </c>
      <c r="D69" s="11">
        <f>IF($B69="","",COUNTIFS('Raw Data'!$R$2:$R$50000,$B69))</f>
        <v>5</v>
      </c>
      <c r="E69" s="11">
        <f>IF($B69="","",SUMIFS('Raw Data'!$I$2:$I$50000,'Raw Data'!$R$2:$R$50000,$B69))</f>
        <v>69000</v>
      </c>
      <c r="F69" s="11">
        <f>IF($B69="","",RANK($E69,$E$2:$E$1501)+COUNTIF($E$2:E69,$E69)-1)</f>
        <v>52</v>
      </c>
      <c r="G69" s="11">
        <f>IF($B69="","",RANK($D69,$D$2:$D$1501)+COUNTIF($D$2:D69,$D69)-1)</f>
        <v>23</v>
      </c>
    </row>
    <row r="70" spans="1:7">
      <c r="A70" s="11">
        <v>69</v>
      </c>
      <c r="B70" s="11" t="str">
        <f>IFERROR(INDEX('Raw Data'!$R$2:$R$50000,MATCH(69,'Raw Data'!$W$2:$W$50000,0)),"")</f>
        <v>ryan nuryurian prakasa</v>
      </c>
      <c r="C70" s="11" t="str">
        <f t="shared" si="1"/>
        <v>ryan nuryurian prakasa</v>
      </c>
      <c r="D70" s="11">
        <f>IF($B70="","",COUNTIFS('Raw Data'!$R$2:$R$50000,$B70))</f>
        <v>2</v>
      </c>
      <c r="E70" s="11">
        <f>IF($B70="","",SUMIFS('Raw Data'!$I$2:$I$50000,'Raw Data'!$R$2:$R$50000,$B70))</f>
        <v>36000</v>
      </c>
      <c r="F70" s="11">
        <f>IF($B70="","",RANK($E70,$E$2:$E$1501)+COUNTIF($E$2:E70,$E70)-1)</f>
        <v>92</v>
      </c>
      <c r="G70" s="11">
        <f>IF($B70="","",RANK($D70,$D$2:$D$1501)+COUNTIF($D$2:D70,$D70)-1)</f>
        <v>65</v>
      </c>
    </row>
    <row r="71" spans="1:7">
      <c r="A71" s="11">
        <v>70</v>
      </c>
      <c r="B71" s="11" t="str">
        <f>IFERROR(INDEX('Raw Data'!$R$2:$R$50000,MATCH(70,'Raw Data'!$W$2:$W$50000,0)),"")</f>
        <v>FAZA - JASTIPSAMAIMOO</v>
      </c>
      <c r="C71" s="11" t="str">
        <f t="shared" si="1"/>
        <v>FAZA - JASTIPSAMAIMOO</v>
      </c>
      <c r="D71" s="11">
        <f>IF($B71="","",COUNTIFS('Raw Data'!$R$2:$R$50000,$B71))</f>
        <v>8</v>
      </c>
      <c r="E71" s="11">
        <f>IF($B71="","",SUMIFS('Raw Data'!$I$2:$I$50000,'Raw Data'!$R$2:$R$50000,$B71))</f>
        <v>162000</v>
      </c>
      <c r="F71" s="11">
        <f>IF($B71="","",RANK($E71,$E$2:$E$1501)+COUNTIF($E$2:E71,$E71)-1)</f>
        <v>23</v>
      </c>
      <c r="G71" s="11">
        <f>IF($B71="","",RANK($D71,$D$2:$D$1501)+COUNTIF($D$2:D71,$D71)-1)</f>
        <v>14</v>
      </c>
    </row>
    <row r="72" spans="1:7">
      <c r="A72" s="11">
        <v>71</v>
      </c>
      <c r="B72" s="11" t="str">
        <f>IFERROR(INDEX('Raw Data'!$R$2:$R$50000,MATCH(71,'Raw Data'!$W$2:$W$50000,0)),"")</f>
        <v>Putri Rahmawati</v>
      </c>
      <c r="C72" s="11" t="str">
        <f t="shared" si="1"/>
        <v>Putri Rahmawati</v>
      </c>
      <c r="D72" s="11">
        <f>IF($B72="","",COUNTIFS('Raw Data'!$R$2:$R$50000,$B72))</f>
        <v>4</v>
      </c>
      <c r="E72" s="11">
        <f>IF($B72="","",SUMIFS('Raw Data'!$I$2:$I$50000,'Raw Data'!$R$2:$R$50000,$B72))</f>
        <v>131000</v>
      </c>
      <c r="F72" s="11">
        <f>IF($B72="","",RANK($E72,$E$2:$E$1501)+COUNTIF($E$2:E72,$E72)-1)</f>
        <v>29</v>
      </c>
      <c r="G72" s="11">
        <f>IF($B72="","",RANK($D72,$D$2:$D$1501)+COUNTIF($D$2:D72,$D72)-1)</f>
        <v>34</v>
      </c>
    </row>
    <row r="73" spans="1:7">
      <c r="A73" s="11">
        <v>72</v>
      </c>
      <c r="B73" s="11" t="str">
        <f>IFERROR(INDEX('Raw Data'!$R$2:$R$50000,MATCH(72,'Raw Data'!$W$2:$W$50000,0)),"")</f>
        <v>SHOPEE SELLER</v>
      </c>
      <c r="C73" s="11" t="str">
        <f t="shared" si="1"/>
        <v>SHOPEE SELLER</v>
      </c>
      <c r="D73" s="11">
        <f>IF($B73="","",COUNTIFS('Raw Data'!$R$2:$R$50000,$B73))</f>
        <v>7</v>
      </c>
      <c r="E73" s="11">
        <f>IF($B73="","",SUMIFS('Raw Data'!$I$2:$I$50000,'Raw Data'!$R$2:$R$50000,$B73))</f>
        <v>159500</v>
      </c>
      <c r="F73" s="11">
        <f>IF($B73="","",RANK($E73,$E$2:$E$1501)+COUNTIF($E$2:E73,$E73)-1)</f>
        <v>24</v>
      </c>
      <c r="G73" s="11">
        <f>IF($B73="","",RANK($D73,$D$2:$D$1501)+COUNTIF($D$2:D73,$D73)-1)</f>
        <v>17</v>
      </c>
    </row>
    <row r="74" spans="1:7">
      <c r="A74" s="11">
        <v>73</v>
      </c>
      <c r="B74" s="11" t="str">
        <f>IFERROR(INDEX('Raw Data'!$R$2:$R$50000,MATCH(73,'Raw Data'!$W$2:$W$50000,0)),"")</f>
        <v>Denn Cun Shop 2</v>
      </c>
      <c r="C74" s="11" t="str">
        <f t="shared" si="1"/>
        <v>Denn Cun Shop 2</v>
      </c>
      <c r="D74" s="11">
        <f>IF($B74="","",COUNTIFS('Raw Data'!$R$2:$R$50000,$B74))</f>
        <v>2</v>
      </c>
      <c r="E74" s="11">
        <f>IF($B74="","",SUMIFS('Raw Data'!$I$2:$I$50000,'Raw Data'!$R$2:$R$50000,$B74))</f>
        <v>24000</v>
      </c>
      <c r="F74" s="11">
        <f>IF($B74="","",RANK($E74,$E$2:$E$1501)+COUNTIF($E$2:E74,$E74)-1)</f>
        <v>122</v>
      </c>
      <c r="G74" s="11">
        <f>IF($B74="","",RANK($D74,$D$2:$D$1501)+COUNTIF($D$2:D74,$D74)-1)</f>
        <v>66</v>
      </c>
    </row>
    <row r="75" spans="1:7">
      <c r="A75" s="11">
        <v>74</v>
      </c>
      <c r="B75" s="11" t="str">
        <f>IFERROR(INDEX('Raw Data'!$R$2:$R$50000,MATCH(74,'Raw Data'!$W$2:$W$50000,0)),"")</f>
        <v>Sydney.co</v>
      </c>
      <c r="C75" s="11" t="str">
        <f t="shared" si="1"/>
        <v>Sydney.co</v>
      </c>
      <c r="D75" s="11">
        <f>IF($B75="","",COUNTIFS('Raw Data'!$R$2:$R$50000,$B75))</f>
        <v>1</v>
      </c>
      <c r="E75" s="11">
        <f>IF($B75="","",SUMIFS('Raw Data'!$I$2:$I$50000,'Raw Data'!$R$2:$R$50000,$B75))</f>
        <v>13000</v>
      </c>
      <c r="F75" s="11">
        <f>IF($B75="","",RANK($E75,$E$2:$E$1501)+COUNTIF($E$2:E75,$E75)-1)</f>
        <v>155</v>
      </c>
      <c r="G75" s="11">
        <f>IF($B75="","",RANK($D75,$D$2:$D$1501)+COUNTIF($D$2:D75,$D75)-1)</f>
        <v>115</v>
      </c>
    </row>
    <row r="76" spans="1:7">
      <c r="A76" s="11">
        <v>75</v>
      </c>
      <c r="B76" s="11" t="str">
        <f>IFERROR(INDEX('Raw Data'!$R$2:$R$50000,MATCH(75,'Raw Data'!$W$2:$W$50000,0)),"")</f>
        <v>Rama Admin Online</v>
      </c>
      <c r="C76" s="11" t="str">
        <f t="shared" si="1"/>
        <v>Rama Admin Online</v>
      </c>
      <c r="D76" s="11">
        <f>IF($B76="","",COUNTIFS('Raw Data'!$R$2:$R$50000,$B76))</f>
        <v>3</v>
      </c>
      <c r="E76" s="11">
        <f>IF($B76="","",SUMIFS('Raw Data'!$I$2:$I$50000,'Raw Data'!$R$2:$R$50000,$B76))</f>
        <v>80000</v>
      </c>
      <c r="F76" s="11">
        <f>IF($B76="","",RANK($E76,$E$2:$E$1501)+COUNTIF($E$2:E76,$E76)-1)</f>
        <v>45</v>
      </c>
      <c r="G76" s="11">
        <f>IF($B76="","",RANK($D76,$D$2:$D$1501)+COUNTIF($D$2:D76,$D76)-1)</f>
        <v>43</v>
      </c>
    </row>
    <row r="77" spans="1:7">
      <c r="A77" s="11">
        <v>76</v>
      </c>
      <c r="B77" s="11" t="str">
        <f>IFERROR(INDEX('Raw Data'!$R$2:$R$50000,MATCH(76,'Raw Data'!$W$2:$W$50000,0)),"")</f>
        <v>Ibu nengsih</v>
      </c>
      <c r="C77" s="11" t="str">
        <f t="shared" si="1"/>
        <v>Ibu nengsih</v>
      </c>
      <c r="D77" s="11">
        <f>IF($B77="","",COUNTIFS('Raw Data'!$R$2:$R$50000,$B77))</f>
        <v>5</v>
      </c>
      <c r="E77" s="11">
        <f>IF($B77="","",SUMIFS('Raw Data'!$I$2:$I$50000,'Raw Data'!$R$2:$R$50000,$B77))</f>
        <v>60000</v>
      </c>
      <c r="F77" s="11">
        <f>IF($B77="","",RANK($E77,$E$2:$E$1501)+COUNTIF($E$2:E77,$E77)-1)</f>
        <v>57</v>
      </c>
      <c r="G77" s="11">
        <f>IF($B77="","",RANK($D77,$D$2:$D$1501)+COUNTIF($D$2:D77,$D77)-1)</f>
        <v>24</v>
      </c>
    </row>
    <row r="78" spans="1:7">
      <c r="A78" s="11">
        <v>77</v>
      </c>
      <c r="B78" s="11" t="str">
        <f>IFERROR(INDEX('Raw Data'!$R$2:$R$50000,MATCH(77,'Raw Data'!$W$2:$W$50000,0)),"")</f>
        <v>BM STORE ORIGINAL FOOTWEAR</v>
      </c>
      <c r="C78" s="11" t="str">
        <f t="shared" si="1"/>
        <v>BM STORE ORIGINAL FOOTWEAR</v>
      </c>
      <c r="D78" s="11">
        <f>IF($B78="","",COUNTIFS('Raw Data'!$R$2:$R$50000,$B78))</f>
        <v>3</v>
      </c>
      <c r="E78" s="11">
        <f>IF($B78="","",SUMIFS('Raw Data'!$I$2:$I$50000,'Raw Data'!$R$2:$R$50000,$B78))</f>
        <v>53000</v>
      </c>
      <c r="F78" s="11">
        <f>IF($B78="","",RANK($E78,$E$2:$E$1501)+COUNTIF($E$2:E78,$E78)-1)</f>
        <v>68</v>
      </c>
      <c r="G78" s="11">
        <f>IF($B78="","",RANK($D78,$D$2:$D$1501)+COUNTIF($D$2:D78,$D78)-1)</f>
        <v>44</v>
      </c>
    </row>
    <row r="79" spans="1:7">
      <c r="A79" s="11">
        <v>78</v>
      </c>
      <c r="B79" s="11" t="str">
        <f>IFERROR(INDEX('Raw Data'!$R$2:$R$50000,MATCH(78,'Raw Data'!$W$2:$W$50000,0)),"")</f>
        <v>Diky Herdiawan</v>
      </c>
      <c r="C79" s="11" t="str">
        <f t="shared" si="1"/>
        <v>Diky Herdiawan</v>
      </c>
      <c r="D79" s="11">
        <f>IF($B79="","",COUNTIFS('Raw Data'!$R$2:$R$50000,$B79))</f>
        <v>1</v>
      </c>
      <c r="E79" s="11">
        <f>IF($B79="","",SUMIFS('Raw Data'!$I$2:$I$50000,'Raw Data'!$R$2:$R$50000,$B79))</f>
        <v>12000</v>
      </c>
      <c r="F79" s="11">
        <f>IF($B79="","",RANK($E79,$E$2:$E$1501)+COUNTIF($E$2:E79,$E79)-1)</f>
        <v>166</v>
      </c>
      <c r="G79" s="11">
        <f>IF($B79="","",RANK($D79,$D$2:$D$1501)+COUNTIF($D$2:D79,$D79)-1)</f>
        <v>116</v>
      </c>
    </row>
    <row r="80" spans="1:7">
      <c r="A80" s="11">
        <v>79</v>
      </c>
      <c r="B80" s="11" t="str">
        <f>IFERROR(INDEX('Raw Data'!$R$2:$R$50000,MATCH(79,'Raw Data'!$W$2:$W$50000,0)),"")</f>
        <v>Melco</v>
      </c>
      <c r="C80" s="11" t="str">
        <f t="shared" si="1"/>
        <v>Melco</v>
      </c>
      <c r="D80" s="11">
        <f>IF($B80="","",COUNTIFS('Raw Data'!$R$2:$R$50000,$B80))</f>
        <v>1</v>
      </c>
      <c r="E80" s="11">
        <f>IF($B80="","",SUMIFS('Raw Data'!$I$2:$I$50000,'Raw Data'!$R$2:$R$50000,$B80))</f>
        <v>12000</v>
      </c>
      <c r="F80" s="11">
        <f>IF($B80="","",RANK($E80,$E$2:$E$1501)+COUNTIF($E$2:E80,$E80)-1)</f>
        <v>167</v>
      </c>
      <c r="G80" s="11">
        <f>IF($B80="","",RANK($D80,$D$2:$D$1501)+COUNTIF($D$2:D80,$D80)-1)</f>
        <v>117</v>
      </c>
    </row>
    <row r="81" spans="1:7">
      <c r="A81" s="11">
        <v>80</v>
      </c>
      <c r="B81" s="11" t="str">
        <f>IFERROR(INDEX('Raw Data'!$R$2:$R$50000,MATCH(80,'Raw Data'!$W$2:$W$50000,0)),"")</f>
        <v>Yuyun yuningsih</v>
      </c>
      <c r="C81" s="11" t="str">
        <f t="shared" si="1"/>
        <v>Yuyun yuningsih</v>
      </c>
      <c r="D81" s="11">
        <f>IF($B81="","",COUNTIFS('Raw Data'!$R$2:$R$50000,$B81))</f>
        <v>1</v>
      </c>
      <c r="E81" s="11">
        <f>IF($B81="","",SUMIFS('Raw Data'!$I$2:$I$50000,'Raw Data'!$R$2:$R$50000,$B81))</f>
        <v>12000</v>
      </c>
      <c r="F81" s="11">
        <f>IF($B81="","",RANK($E81,$E$2:$E$1501)+COUNTIF($E$2:E81,$E81)-1)</f>
        <v>168</v>
      </c>
      <c r="G81" s="11">
        <f>IF($B81="","",RANK($D81,$D$2:$D$1501)+COUNTIF($D$2:D81,$D81)-1)</f>
        <v>118</v>
      </c>
    </row>
    <row r="82" spans="1:7">
      <c r="A82" s="11">
        <v>81</v>
      </c>
      <c r="B82" s="11" t="str">
        <f>IFERROR(INDEX('Raw Data'!$R$2:$R$50000,MATCH(81,'Raw Data'!$W$2:$W$50000,0)),"")</f>
        <v>Edhi dwi susilo</v>
      </c>
      <c r="C82" s="11" t="str">
        <f t="shared" si="1"/>
        <v>Edhi dwi susilo</v>
      </c>
      <c r="D82" s="11">
        <f>IF($B82="","",COUNTIFS('Raw Data'!$R$2:$R$50000,$B82))</f>
        <v>5</v>
      </c>
      <c r="E82" s="11">
        <f>IF($B82="","",SUMIFS('Raw Data'!$I$2:$I$50000,'Raw Data'!$R$2:$R$50000,$B82))</f>
        <v>156000</v>
      </c>
      <c r="F82" s="11">
        <f>IF($B82="","",RANK($E82,$E$2:$E$1501)+COUNTIF($E$2:E82,$E82)-1)</f>
        <v>25</v>
      </c>
      <c r="G82" s="11">
        <f>IF($B82="","",RANK($D82,$D$2:$D$1501)+COUNTIF($D$2:D82,$D82)-1)</f>
        <v>25</v>
      </c>
    </row>
    <row r="83" spans="1:7">
      <c r="A83" s="11">
        <v>82</v>
      </c>
      <c r="B83" s="11" t="str">
        <f>IFERROR(INDEX('Raw Data'!$R$2:$R$50000,MATCH(82,'Raw Data'!$W$2:$W$50000,0)),"")</f>
        <v>Yogi Yogaswara</v>
      </c>
      <c r="C83" s="11" t="str">
        <f t="shared" si="1"/>
        <v>Yogi Yogaswara</v>
      </c>
      <c r="D83" s="11">
        <f>IF($B83="","",COUNTIFS('Raw Data'!$R$2:$R$50000,$B83))</f>
        <v>1</v>
      </c>
      <c r="E83" s="11">
        <f>IF($B83="","",SUMIFS('Raw Data'!$I$2:$I$50000,'Raw Data'!$R$2:$R$50000,$B83))</f>
        <v>12000</v>
      </c>
      <c r="F83" s="11">
        <f>IF($B83="","",RANK($E83,$E$2:$E$1501)+COUNTIF($E$2:E83,$E83)-1)</f>
        <v>169</v>
      </c>
      <c r="G83" s="11">
        <f>IF($B83="","",RANK($D83,$D$2:$D$1501)+COUNTIF($D$2:D83,$D83)-1)</f>
        <v>119</v>
      </c>
    </row>
    <row r="84" spans="1:7">
      <c r="A84" s="11">
        <v>83</v>
      </c>
      <c r="B84" s="11" t="str">
        <f>IFERROR(INDEX('Raw Data'!$R$2:$R$50000,MATCH(83,'Raw Data'!$W$2:$W$50000,0)),"")</f>
        <v>Venamelia</v>
      </c>
      <c r="C84" s="11" t="str">
        <f t="shared" si="1"/>
        <v>Venamelia</v>
      </c>
      <c r="D84" s="11">
        <f>IF($B84="","",COUNTIFS('Raw Data'!$R$2:$R$50000,$B84))</f>
        <v>1</v>
      </c>
      <c r="E84" s="11">
        <f>IF($B84="","",SUMIFS('Raw Data'!$I$2:$I$50000,'Raw Data'!$R$2:$R$50000,$B84))</f>
        <v>12000</v>
      </c>
      <c r="F84" s="11">
        <f>IF($B84="","",RANK($E84,$E$2:$E$1501)+COUNTIF($E$2:E84,$E84)-1)</f>
        <v>170</v>
      </c>
      <c r="G84" s="11">
        <f>IF($B84="","",RANK($D84,$D$2:$D$1501)+COUNTIF($D$2:D84,$D84)-1)</f>
        <v>120</v>
      </c>
    </row>
    <row r="85" spans="1:7">
      <c r="A85" s="11">
        <v>84</v>
      </c>
      <c r="B85" s="11" t="str">
        <f>IFERROR(INDEX('Raw Data'!$R$2:$R$50000,MATCH(84,'Raw Data'!$W$2:$W$50000,0)),"")</f>
        <v>EVI  WIDIYANTI</v>
      </c>
      <c r="C85" s="11" t="str">
        <f t="shared" si="1"/>
        <v>EVI  WIDIYANTI</v>
      </c>
      <c r="D85" s="11">
        <f>IF($B85="","",COUNTIFS('Raw Data'!$R$2:$R$50000,$B85))</f>
        <v>2</v>
      </c>
      <c r="E85" s="11">
        <f>IF($B85="","",SUMIFS('Raw Data'!$I$2:$I$50000,'Raw Data'!$R$2:$R$50000,$B85))</f>
        <v>20000</v>
      </c>
      <c r="F85" s="11">
        <f>IF($B85="","",RANK($E85,$E$2:$E$1501)+COUNTIF($E$2:E85,$E85)-1)</f>
        <v>143</v>
      </c>
      <c r="G85" s="11">
        <f>IF($B85="","",RANK($D85,$D$2:$D$1501)+COUNTIF($D$2:D85,$D85)-1)</f>
        <v>67</v>
      </c>
    </row>
    <row r="86" spans="1:7">
      <c r="A86" s="11">
        <v>85</v>
      </c>
      <c r="B86" s="11" t="str">
        <f>IFERROR(INDEX('Raw Data'!$R$2:$R$50000,MATCH(85,'Raw Data'!$W$2:$W$50000,0)),"")</f>
        <v>Mami Lui</v>
      </c>
      <c r="C86" s="11" t="str">
        <f t="shared" si="1"/>
        <v>Mami Lui</v>
      </c>
      <c r="D86" s="11">
        <f>IF($B86="","",COUNTIFS('Raw Data'!$R$2:$R$50000,$B86))</f>
        <v>1</v>
      </c>
      <c r="E86" s="11">
        <f>IF($B86="","",SUMIFS('Raw Data'!$I$2:$I$50000,'Raw Data'!$R$2:$R$50000,$B86))</f>
        <v>24000</v>
      </c>
      <c r="F86" s="11">
        <f>IF($B86="","",RANK($E86,$E$2:$E$1501)+COUNTIF($E$2:E86,$E86)-1)</f>
        <v>123</v>
      </c>
      <c r="G86" s="11">
        <f>IF($B86="","",RANK($D86,$D$2:$D$1501)+COUNTIF($D$2:D86,$D86)-1)</f>
        <v>121</v>
      </c>
    </row>
    <row r="87" spans="1:7">
      <c r="A87" s="11">
        <v>86</v>
      </c>
      <c r="B87" s="11" t="str">
        <f>IFERROR(INDEX('Raw Data'!$R$2:$R$50000,MATCH(86,'Raw Data'!$W$2:$W$50000,0)),"")</f>
        <v>Bukubekas.id</v>
      </c>
      <c r="C87" s="11" t="str">
        <f t="shared" si="1"/>
        <v>Bukubekas.id</v>
      </c>
      <c r="D87" s="11">
        <f>IF($B87="","",COUNTIFS('Raw Data'!$R$2:$R$50000,$B87))</f>
        <v>2</v>
      </c>
      <c r="E87" s="11">
        <f>IF($B87="","",SUMIFS('Raw Data'!$I$2:$I$50000,'Raw Data'!$R$2:$R$50000,$B87))</f>
        <v>18000</v>
      </c>
      <c r="F87" s="11">
        <f>IF($B87="","",RANK($E87,$E$2:$E$1501)+COUNTIF($E$2:E87,$E87)-1)</f>
        <v>147</v>
      </c>
      <c r="G87" s="11">
        <f>IF($B87="","",RANK($D87,$D$2:$D$1501)+COUNTIF($D$2:D87,$D87)-1)</f>
        <v>68</v>
      </c>
    </row>
    <row r="88" spans="1:7">
      <c r="A88" s="11">
        <v>87</v>
      </c>
      <c r="B88" s="11" t="str">
        <f>IFERROR(INDEX('Raw Data'!$R$2:$R$50000,MATCH(87,'Raw Data'!$W$2:$W$50000,0)),"")</f>
        <v>Chase The Use</v>
      </c>
      <c r="C88" s="11" t="str">
        <f t="shared" si="1"/>
        <v>Chase The Use</v>
      </c>
      <c r="D88" s="11">
        <f>IF($B88="","",COUNTIFS('Raw Data'!$R$2:$R$50000,$B88))</f>
        <v>4</v>
      </c>
      <c r="E88" s="11">
        <f>IF($B88="","",SUMIFS('Raw Data'!$I$2:$I$50000,'Raw Data'!$R$2:$R$50000,$B88))</f>
        <v>75000</v>
      </c>
      <c r="F88" s="11">
        <f>IF($B88="","",RANK($E88,$E$2:$E$1501)+COUNTIF($E$2:E88,$E88)-1)</f>
        <v>50</v>
      </c>
      <c r="G88" s="11">
        <f>IF($B88="","",RANK($D88,$D$2:$D$1501)+COUNTIF($D$2:D88,$D88)-1)</f>
        <v>35</v>
      </c>
    </row>
    <row r="89" spans="1:7">
      <c r="A89" s="11">
        <v>88</v>
      </c>
      <c r="B89" s="11" t="str">
        <f>IFERROR(INDEX('Raw Data'!$R$2:$R$50000,MATCH(88,'Raw Data'!$W$2:$W$50000,0)),"")</f>
        <v>Laba Sihombing</v>
      </c>
      <c r="C89" s="11" t="str">
        <f t="shared" si="1"/>
        <v>Laba Sihombing</v>
      </c>
      <c r="D89" s="11">
        <f>IF($B89="","",COUNTIFS('Raw Data'!$R$2:$R$50000,$B89))</f>
        <v>1</v>
      </c>
      <c r="E89" s="11">
        <f>IF($B89="","",SUMIFS('Raw Data'!$I$2:$I$50000,'Raw Data'!$R$2:$R$50000,$B89))</f>
        <v>12000</v>
      </c>
      <c r="F89" s="11">
        <f>IF($B89="","",RANK($E89,$E$2:$E$1501)+COUNTIF($E$2:E89,$E89)-1)</f>
        <v>171</v>
      </c>
      <c r="G89" s="11">
        <f>IF($B89="","",RANK($D89,$D$2:$D$1501)+COUNTIF($D$2:D89,$D89)-1)</f>
        <v>122</v>
      </c>
    </row>
    <row r="90" spans="1:7">
      <c r="A90" s="11">
        <v>89</v>
      </c>
      <c r="B90" s="11" t="str">
        <f>IFERROR(INDEX('Raw Data'!$R$2:$R$50000,MATCH(89,'Raw Data'!$W$2:$W$50000,0)),"")</f>
        <v>Baby Kids</v>
      </c>
      <c r="C90" s="11" t="str">
        <f t="shared" si="1"/>
        <v>Baby Kids</v>
      </c>
      <c r="D90" s="11">
        <f>IF($B90="","",COUNTIFS('Raw Data'!$R$2:$R$50000,$B90))</f>
        <v>7</v>
      </c>
      <c r="E90" s="11">
        <f>IF($B90="","",SUMIFS('Raw Data'!$I$2:$I$50000,'Raw Data'!$R$2:$R$50000,$B90))</f>
        <v>95000</v>
      </c>
      <c r="F90" s="11">
        <f>IF($B90="","",RANK($E90,$E$2:$E$1501)+COUNTIF($E$2:E90,$E90)-1)</f>
        <v>40</v>
      </c>
      <c r="G90" s="11">
        <f>IF($B90="","",RANK($D90,$D$2:$D$1501)+COUNTIF($D$2:D90,$D90)-1)</f>
        <v>18</v>
      </c>
    </row>
    <row r="91" spans="1:7">
      <c r="A91" s="11">
        <v>90</v>
      </c>
      <c r="B91" s="11" t="str">
        <f>IFERROR(INDEX('Raw Data'!$R$2:$R$50000,MATCH(90,'Raw Data'!$W$2:$W$50000,0)),"")</f>
        <v>Niear Olshop</v>
      </c>
      <c r="C91" s="11" t="str">
        <f t="shared" si="1"/>
        <v>Niear Olshop</v>
      </c>
      <c r="D91" s="11">
        <f>IF($B91="","",COUNTIFS('Raw Data'!$R$2:$R$50000,$B91))</f>
        <v>5</v>
      </c>
      <c r="E91" s="11">
        <f>IF($B91="","",SUMIFS('Raw Data'!$I$2:$I$50000,'Raw Data'!$R$2:$R$50000,$B91))</f>
        <v>202000</v>
      </c>
      <c r="F91" s="11">
        <f>IF($B91="","",RANK($E91,$E$2:$E$1501)+COUNTIF($E$2:E91,$E91)-1)</f>
        <v>18</v>
      </c>
      <c r="G91" s="11">
        <f>IF($B91="","",RANK($D91,$D$2:$D$1501)+COUNTIF($D$2:D91,$D91)-1)</f>
        <v>26</v>
      </c>
    </row>
    <row r="92" spans="1:7">
      <c r="A92" s="11">
        <v>91</v>
      </c>
      <c r="B92" s="11" t="str">
        <f>IFERROR(INDEX('Raw Data'!$R$2:$R$50000,MATCH(91,'Raw Data'!$W$2:$W$50000,0)),"")</f>
        <v>Shella Karunia</v>
      </c>
      <c r="C92" s="11" t="str">
        <f t="shared" si="1"/>
        <v>Shella Karunia</v>
      </c>
      <c r="D92" s="11">
        <f>IF($B92="","",COUNTIFS('Raw Data'!$R$2:$R$50000,$B92))</f>
        <v>2</v>
      </c>
      <c r="E92" s="11">
        <f>IF($B92="","",SUMIFS('Raw Data'!$I$2:$I$50000,'Raw Data'!$R$2:$R$50000,$B92))</f>
        <v>24000</v>
      </c>
      <c r="F92" s="11">
        <f>IF($B92="","",RANK($E92,$E$2:$E$1501)+COUNTIF($E$2:E92,$E92)-1)</f>
        <v>124</v>
      </c>
      <c r="G92" s="11">
        <f>IF($B92="","",RANK($D92,$D$2:$D$1501)+COUNTIF($D$2:D92,$D92)-1)</f>
        <v>69</v>
      </c>
    </row>
    <row r="93" spans="1:7">
      <c r="A93" s="11">
        <v>92</v>
      </c>
      <c r="B93" s="11" t="str">
        <f>IFERROR(INDEX('Raw Data'!$R$2:$R$50000,MATCH(92,'Raw Data'!$W$2:$W$50000,0)),"")</f>
        <v>Herry janto</v>
      </c>
      <c r="C93" s="11" t="str">
        <f t="shared" si="1"/>
        <v>Herry janto</v>
      </c>
      <c r="D93" s="11">
        <f>IF($B93="","",COUNTIFS('Raw Data'!$R$2:$R$50000,$B93))</f>
        <v>3</v>
      </c>
      <c r="E93" s="11">
        <f>IF($B93="","",SUMIFS('Raw Data'!$I$2:$I$50000,'Raw Data'!$R$2:$R$50000,$B93))</f>
        <v>36000</v>
      </c>
      <c r="F93" s="11">
        <f>IF($B93="","",RANK($E93,$E$2:$E$1501)+COUNTIF($E$2:E93,$E93)-1)</f>
        <v>93</v>
      </c>
      <c r="G93" s="11">
        <f>IF($B93="","",RANK($D93,$D$2:$D$1501)+COUNTIF($D$2:D93,$D93)-1)</f>
        <v>45</v>
      </c>
    </row>
    <row r="94" spans="1:7">
      <c r="A94" s="11">
        <v>93</v>
      </c>
      <c r="B94" s="11" t="str">
        <f>IFERROR(INDEX('Raw Data'!$R$2:$R$50000,MATCH(93,'Raw Data'!$W$2:$W$50000,0)),"")</f>
        <v>Sucy Purnamasari</v>
      </c>
      <c r="C94" s="11" t="str">
        <f t="shared" si="1"/>
        <v>Sucy Purnamasari</v>
      </c>
      <c r="D94" s="11">
        <f>IF($B94="","",COUNTIFS('Raw Data'!$R$2:$R$50000,$B94))</f>
        <v>1</v>
      </c>
      <c r="E94" s="11">
        <f>IF($B94="","",SUMIFS('Raw Data'!$I$2:$I$50000,'Raw Data'!$R$2:$R$50000,$B94))</f>
        <v>12000</v>
      </c>
      <c r="F94" s="11">
        <f>IF($B94="","",RANK($E94,$E$2:$E$1501)+COUNTIF($E$2:E94,$E94)-1)</f>
        <v>172</v>
      </c>
      <c r="G94" s="11">
        <f>IF($B94="","",RANK($D94,$D$2:$D$1501)+COUNTIF($D$2:D94,$D94)-1)</f>
        <v>123</v>
      </c>
    </row>
    <row r="95" spans="1:7">
      <c r="A95" s="11">
        <v>94</v>
      </c>
      <c r="B95" s="11" t="str">
        <f>IFERROR(INDEX('Raw Data'!$R$2:$R$50000,MATCH(94,'Raw Data'!$W$2:$W$50000,0)),"")</f>
        <v>herbal propolis</v>
      </c>
      <c r="C95" s="11" t="str">
        <f t="shared" si="1"/>
        <v>herbal propolis</v>
      </c>
      <c r="D95" s="11">
        <f>IF($B95="","",COUNTIFS('Raw Data'!$R$2:$R$50000,$B95))</f>
        <v>4</v>
      </c>
      <c r="E95" s="11">
        <f>IF($B95="","",SUMIFS('Raw Data'!$I$2:$I$50000,'Raw Data'!$R$2:$R$50000,$B95))</f>
        <v>100500</v>
      </c>
      <c r="F95" s="11">
        <f>IF($B95="","",RANK($E95,$E$2:$E$1501)+COUNTIF($E$2:E95,$E95)-1)</f>
        <v>37</v>
      </c>
      <c r="G95" s="11">
        <f>IF($B95="","",RANK($D95,$D$2:$D$1501)+COUNTIF($D$2:D95,$D95)-1)</f>
        <v>36</v>
      </c>
    </row>
    <row r="96" spans="1:7">
      <c r="A96" s="11">
        <v>95</v>
      </c>
      <c r="B96" s="11" t="str">
        <f>IFERROR(INDEX('Raw Data'!$R$2:$R$50000,MATCH(95,'Raw Data'!$W$2:$W$50000,0)),"")</f>
        <v>opi</v>
      </c>
      <c r="C96" s="11" t="str">
        <f t="shared" si="1"/>
        <v>opi</v>
      </c>
      <c r="D96" s="11">
        <f>IF($B96="","",COUNTIFS('Raw Data'!$R$2:$R$50000,$B96))</f>
        <v>1</v>
      </c>
      <c r="E96" s="11">
        <f>IF($B96="","",SUMIFS('Raw Data'!$I$2:$I$50000,'Raw Data'!$R$2:$R$50000,$B96))</f>
        <v>12000</v>
      </c>
      <c r="F96" s="11">
        <f>IF($B96="","",RANK($E96,$E$2:$E$1501)+COUNTIF($E$2:E96,$E96)-1)</f>
        <v>173</v>
      </c>
      <c r="G96" s="11">
        <f>IF($B96="","",RANK($D96,$D$2:$D$1501)+COUNTIF($D$2:D96,$D96)-1)</f>
        <v>124</v>
      </c>
    </row>
    <row r="97" spans="1:7">
      <c r="A97" s="11">
        <v>96</v>
      </c>
      <c r="B97" s="11" t="str">
        <f>IFERROR(INDEX('Raw Data'!$R$2:$R$50000,MATCH(96,'Raw Data'!$W$2:$W$50000,0)),"")</f>
        <v>fahiraa</v>
      </c>
      <c r="C97" s="11" t="str">
        <f t="shared" si="1"/>
        <v>fahiraa</v>
      </c>
      <c r="D97" s="11">
        <f>IF($B97="","",COUNTIFS('Raw Data'!$R$2:$R$50000,$B97))</f>
        <v>1</v>
      </c>
      <c r="E97" s="11">
        <f>IF($B97="","",SUMIFS('Raw Data'!$I$2:$I$50000,'Raw Data'!$R$2:$R$50000,$B97))</f>
        <v>14000</v>
      </c>
      <c r="F97" s="11">
        <f>IF($B97="","",RANK($E97,$E$2:$E$1501)+COUNTIF($E$2:E97,$E97)-1)</f>
        <v>154</v>
      </c>
      <c r="G97" s="11">
        <f>IF($B97="","",RANK($D97,$D$2:$D$1501)+COUNTIF($D$2:D97,$D97)-1)</f>
        <v>125</v>
      </c>
    </row>
    <row r="98" spans="1:7">
      <c r="A98" s="11">
        <v>97</v>
      </c>
      <c r="B98" s="11" t="str">
        <f>IFERROR(INDEX('Raw Data'!$R$2:$R$50000,MATCH(97,'Raw Data'!$W$2:$W$50000,0)),"")</f>
        <v>Lulu Ayu Lestari</v>
      </c>
      <c r="C98" s="11" t="str">
        <f t="shared" si="1"/>
        <v>Lulu Ayu Lestari</v>
      </c>
      <c r="D98" s="11">
        <f>IF($B98="","",COUNTIFS('Raw Data'!$R$2:$R$50000,$B98))</f>
        <v>2</v>
      </c>
      <c r="E98" s="11">
        <f>IF($B98="","",SUMIFS('Raw Data'!$I$2:$I$50000,'Raw Data'!$R$2:$R$50000,$B98))</f>
        <v>40000</v>
      </c>
      <c r="F98" s="11">
        <f>IF($B98="","",RANK($E98,$E$2:$E$1501)+COUNTIF($E$2:E98,$E98)-1)</f>
        <v>87</v>
      </c>
      <c r="G98" s="11">
        <f>IF($B98="","",RANK($D98,$D$2:$D$1501)+COUNTIF($D$2:D98,$D98)-1)</f>
        <v>70</v>
      </c>
    </row>
    <row r="99" spans="1:7">
      <c r="A99" s="11">
        <v>98</v>
      </c>
      <c r="B99" s="11" t="str">
        <f>IFERROR(INDEX('Raw Data'!$R$2:$R$50000,MATCH(98,'Raw Data'!$W$2:$W$50000,0)),"")</f>
        <v>Deffie</v>
      </c>
      <c r="C99" s="11" t="str">
        <f t="shared" si="1"/>
        <v>Deffie</v>
      </c>
      <c r="D99" s="11">
        <f>IF($B99="","",COUNTIFS('Raw Data'!$R$2:$R$50000,$B99))</f>
        <v>2</v>
      </c>
      <c r="E99" s="11">
        <f>IF($B99="","",SUMIFS('Raw Data'!$I$2:$I$50000,'Raw Data'!$R$2:$R$50000,$B99))</f>
        <v>36000</v>
      </c>
      <c r="F99" s="11">
        <f>IF($B99="","",RANK($E99,$E$2:$E$1501)+COUNTIF($E$2:E99,$E99)-1)</f>
        <v>94</v>
      </c>
      <c r="G99" s="11">
        <f>IF($B99="","",RANK($D99,$D$2:$D$1501)+COUNTIF($D$2:D99,$D99)-1)</f>
        <v>71</v>
      </c>
    </row>
    <row r="100" spans="1:7">
      <c r="A100" s="11">
        <v>99</v>
      </c>
      <c r="B100" s="11" t="str">
        <f>IFERROR(INDEX('Raw Data'!$R$2:$R$50000,MATCH(99,'Raw Data'!$W$2:$W$50000,0)),"")</f>
        <v>y.Susana</v>
      </c>
      <c r="C100" s="11" t="str">
        <f t="shared" si="1"/>
        <v>y.Susana</v>
      </c>
      <c r="D100" s="11">
        <f>IF($B100="","",COUNTIFS('Raw Data'!$R$2:$R$50000,$B100))</f>
        <v>2</v>
      </c>
      <c r="E100" s="11">
        <f>IF($B100="","",SUMIFS('Raw Data'!$I$2:$I$50000,'Raw Data'!$R$2:$R$50000,$B100))</f>
        <v>24000</v>
      </c>
      <c r="F100" s="11">
        <f>IF($B100="","",RANK($E100,$E$2:$E$1501)+COUNTIF($E$2:E100,$E100)-1)</f>
        <v>125</v>
      </c>
      <c r="G100" s="11">
        <f>IF($B100="","",RANK($D100,$D$2:$D$1501)+COUNTIF($D$2:D100,$D100)-1)</f>
        <v>72</v>
      </c>
    </row>
    <row r="101" spans="1:7">
      <c r="A101" s="11">
        <v>100</v>
      </c>
      <c r="B101" s="11" t="str">
        <f>IFERROR(INDEX('Raw Data'!$R$2:$R$50000,MATCH(100,'Raw Data'!$W$2:$W$50000,0)),"")</f>
        <v>AJprom house</v>
      </c>
      <c r="C101" s="11" t="str">
        <f t="shared" si="1"/>
        <v>AJprom house</v>
      </c>
      <c r="D101" s="11">
        <f>IF($B101="","",COUNTIFS('Raw Data'!$R$2:$R$50000,$B101))</f>
        <v>1</v>
      </c>
      <c r="E101" s="11">
        <f>IF($B101="","",SUMIFS('Raw Data'!$I$2:$I$50000,'Raw Data'!$R$2:$R$50000,$B101))</f>
        <v>12000</v>
      </c>
      <c r="F101" s="11">
        <f>IF($B101="","",RANK($E101,$E$2:$E$1501)+COUNTIF($E$2:E101,$E101)-1)</f>
        <v>174</v>
      </c>
      <c r="G101" s="11">
        <f>IF($B101="","",RANK($D101,$D$2:$D$1501)+COUNTIF($D$2:D101,$D101)-1)</f>
        <v>126</v>
      </c>
    </row>
    <row r="102" spans="1:7">
      <c r="A102" s="11">
        <v>101</v>
      </c>
      <c r="B102" s="11" t="str">
        <f>IFERROR(INDEX('Raw Data'!$R$2:$R$50000,MATCH(101,'Raw Data'!$W$2:$W$50000,0)),"")</f>
        <v>GUDANGSTOCK</v>
      </c>
      <c r="C102" s="11" t="str">
        <f t="shared" si="1"/>
        <v>GUDANGSTOCK</v>
      </c>
      <c r="D102" s="11">
        <f>IF($B102="","",COUNTIFS('Raw Data'!$R$2:$R$50000,$B102))</f>
        <v>1</v>
      </c>
      <c r="E102" s="11">
        <f>IF($B102="","",SUMIFS('Raw Data'!$I$2:$I$50000,'Raw Data'!$R$2:$R$50000,$B102))</f>
        <v>10000</v>
      </c>
      <c r="F102" s="11">
        <f>IF($B102="","",RANK($E102,$E$2:$E$1501)+COUNTIF($E$2:E102,$E102)-1)</f>
        <v>220</v>
      </c>
      <c r="G102" s="11">
        <f>IF($B102="","",RANK($D102,$D$2:$D$1501)+COUNTIF($D$2:D102,$D102)-1)</f>
        <v>127</v>
      </c>
    </row>
    <row r="103" spans="1:7">
      <c r="A103" s="11">
        <v>102</v>
      </c>
      <c r="B103" s="11" t="str">
        <f>IFERROR(INDEX('Raw Data'!$R$2:$R$50000,MATCH(102,'Raw Data'!$W$2:$W$50000,0)),"")</f>
        <v>Ayu Apriliana PS Eva</v>
      </c>
      <c r="C103" s="11" t="str">
        <f t="shared" si="1"/>
        <v>Ayu Apriliana PS Eva</v>
      </c>
      <c r="D103" s="11">
        <f>IF($B103="","",COUNTIFS('Raw Data'!$R$2:$R$50000,$B103))</f>
        <v>1</v>
      </c>
      <c r="E103" s="11">
        <f>IF($B103="","",SUMIFS('Raw Data'!$I$2:$I$50000,'Raw Data'!$R$2:$R$50000,$B103))</f>
        <v>12000</v>
      </c>
      <c r="F103" s="11">
        <f>IF($B103="","",RANK($E103,$E$2:$E$1501)+COUNTIF($E$2:E103,$E103)-1)</f>
        <v>175</v>
      </c>
      <c r="G103" s="11">
        <f>IF($B103="","",RANK($D103,$D$2:$D$1501)+COUNTIF($D$2:D103,$D103)-1)</f>
        <v>128</v>
      </c>
    </row>
    <row r="104" spans="1:7">
      <c r="A104" s="11">
        <v>103</v>
      </c>
      <c r="B104" s="11" t="str">
        <f>IFERROR(INDEX('Raw Data'!$R$2:$R$50000,MATCH(103,'Raw Data'!$W$2:$W$50000,0)),"")</f>
        <v>MAGU Kids Wear</v>
      </c>
      <c r="C104" s="11" t="str">
        <f t="shared" si="1"/>
        <v>MAGU Kids Wear</v>
      </c>
      <c r="D104" s="11">
        <f>IF($B104="","",COUNTIFS('Raw Data'!$R$2:$R$50000,$B104))</f>
        <v>1</v>
      </c>
      <c r="E104" s="11">
        <f>IF($B104="","",SUMIFS('Raw Data'!$I$2:$I$50000,'Raw Data'!$R$2:$R$50000,$B104))</f>
        <v>6000</v>
      </c>
      <c r="F104" s="11">
        <f>IF($B104="","",RANK($E104,$E$2:$E$1501)+COUNTIF($E$2:E104,$E104)-1)</f>
        <v>222</v>
      </c>
      <c r="G104" s="11">
        <f>IF($B104="","",RANK($D104,$D$2:$D$1501)+COUNTIF($D$2:D104,$D104)-1)</f>
        <v>129</v>
      </c>
    </row>
    <row r="105" spans="1:7">
      <c r="A105" s="11">
        <v>104</v>
      </c>
      <c r="B105" s="11" t="str">
        <f>IFERROR(INDEX('Raw Data'!$R$2:$R$50000,MATCH(104,'Raw Data'!$W$2:$W$50000,0)),"")</f>
        <v>nengsih</v>
      </c>
      <c r="C105" s="11" t="str">
        <f t="shared" si="1"/>
        <v>nengsih</v>
      </c>
      <c r="D105" s="11">
        <f>IF($B105="","",COUNTIFS('Raw Data'!$R$2:$R$50000,$B105))</f>
        <v>3</v>
      </c>
      <c r="E105" s="11">
        <f>IF($B105="","",SUMIFS('Raw Data'!$I$2:$I$50000,'Raw Data'!$R$2:$R$50000,$B105))</f>
        <v>66000</v>
      </c>
      <c r="F105" s="11">
        <f>IF($B105="","",RANK($E105,$E$2:$E$1501)+COUNTIF($E$2:E105,$E105)-1)</f>
        <v>55</v>
      </c>
      <c r="G105" s="11">
        <f>IF($B105="","",RANK($D105,$D$2:$D$1501)+COUNTIF($D$2:D105,$D105)-1)</f>
        <v>46</v>
      </c>
    </row>
    <row r="106" spans="1:7">
      <c r="A106" s="11">
        <v>105</v>
      </c>
      <c r="B106" s="11" t="str">
        <f>IFERROR(INDEX('Raw Data'!$R$2:$R$50000,MATCH(105,'Raw Data'!$W$2:$W$50000,0)),"")</f>
        <v>Pacificdental_Jabodetabek</v>
      </c>
      <c r="C106" s="11" t="str">
        <f t="shared" si="1"/>
        <v>Pacificdental_Jabodetabek</v>
      </c>
      <c r="D106" s="11">
        <f>IF($B106="","",COUNTIFS('Raw Data'!$R$2:$R$50000,$B106))</f>
        <v>1</v>
      </c>
      <c r="E106" s="11">
        <f>IF($B106="","",SUMIFS('Raw Data'!$I$2:$I$50000,'Raw Data'!$R$2:$R$50000,$B106))</f>
        <v>18000</v>
      </c>
      <c r="F106" s="11">
        <f>IF($B106="","",RANK($E106,$E$2:$E$1501)+COUNTIF($E$2:E106,$E106)-1)</f>
        <v>148</v>
      </c>
      <c r="G106" s="11">
        <f>IF($B106="","",RANK($D106,$D$2:$D$1501)+COUNTIF($D$2:D106,$D106)-1)</f>
        <v>130</v>
      </c>
    </row>
    <row r="107" spans="1:7">
      <c r="A107" s="11">
        <v>106</v>
      </c>
      <c r="B107" s="11" t="str">
        <f>IFERROR(INDEX('Raw Data'!$R$2:$R$50000,MATCH(106,'Raw Data'!$W$2:$W$50000,0)),"")</f>
        <v>Anisa</v>
      </c>
      <c r="C107" s="11" t="str">
        <f t="shared" si="1"/>
        <v>Anisa</v>
      </c>
      <c r="D107" s="11">
        <f>IF($B107="","",COUNTIFS('Raw Data'!$R$2:$R$50000,$B107))</f>
        <v>1</v>
      </c>
      <c r="E107" s="11">
        <f>IF($B107="","",SUMIFS('Raw Data'!$I$2:$I$50000,'Raw Data'!$R$2:$R$50000,$B107))</f>
        <v>12000</v>
      </c>
      <c r="F107" s="11">
        <f>IF($B107="","",RANK($E107,$E$2:$E$1501)+COUNTIF($E$2:E107,$E107)-1)</f>
        <v>176</v>
      </c>
      <c r="G107" s="11">
        <f>IF($B107="","",RANK($D107,$D$2:$D$1501)+COUNTIF($D$2:D107,$D107)-1)</f>
        <v>131</v>
      </c>
    </row>
    <row r="108" spans="1:7">
      <c r="A108" s="11">
        <v>107</v>
      </c>
      <c r="B108" s="11" t="str">
        <f>IFERROR(INDEX('Raw Data'!$R$2:$R$50000,MATCH(107,'Raw Data'!$W$2:$W$50000,0)),"")</f>
        <v>maulana (lana)</v>
      </c>
      <c r="C108" s="11" t="str">
        <f t="shared" si="1"/>
        <v>maulana (lana)</v>
      </c>
      <c r="D108" s="11">
        <f>IF($B108="","",COUNTIFS('Raw Data'!$R$2:$R$50000,$B108))</f>
        <v>2</v>
      </c>
      <c r="E108" s="11">
        <f>IF($B108="","",SUMIFS('Raw Data'!$I$2:$I$50000,'Raw Data'!$R$2:$R$50000,$B108))</f>
        <v>56000</v>
      </c>
      <c r="F108" s="11">
        <f>IF($B108="","",RANK($E108,$E$2:$E$1501)+COUNTIF($E$2:E108,$E108)-1)</f>
        <v>65</v>
      </c>
      <c r="G108" s="11">
        <f>IF($B108="","",RANK($D108,$D$2:$D$1501)+COUNTIF($D$2:D108,$D108)-1)</f>
        <v>73</v>
      </c>
    </row>
    <row r="109" spans="1:7">
      <c r="A109" s="11">
        <v>108</v>
      </c>
      <c r="B109" s="11" t="str">
        <f>IFERROR(INDEX('Raw Data'!$R$2:$R$50000,MATCH(108,'Raw Data'!$W$2:$W$50000,0)),"")</f>
        <v>Fatur Fatkhurosidi</v>
      </c>
      <c r="C109" s="11" t="str">
        <f t="shared" si="1"/>
        <v>Fatur Fatkhurosidi</v>
      </c>
      <c r="D109" s="11">
        <f>IF($B109="","",COUNTIFS('Raw Data'!$R$2:$R$50000,$B109))</f>
        <v>1</v>
      </c>
      <c r="E109" s="11">
        <f>IF($B109="","",SUMIFS('Raw Data'!$I$2:$I$50000,'Raw Data'!$R$2:$R$50000,$B109))</f>
        <v>12000</v>
      </c>
      <c r="F109" s="11">
        <f>IF($B109="","",RANK($E109,$E$2:$E$1501)+COUNTIF($E$2:E109,$E109)-1)</f>
        <v>177</v>
      </c>
      <c r="G109" s="11">
        <f>IF($B109="","",RANK($D109,$D$2:$D$1501)+COUNTIF($D$2:D109,$D109)-1)</f>
        <v>132</v>
      </c>
    </row>
    <row r="110" spans="1:7">
      <c r="A110" s="11">
        <v>109</v>
      </c>
      <c r="B110" s="11" t="str">
        <f>IFERROR(INDEX('Raw Data'!$R$2:$R$50000,MATCH(109,'Raw Data'!$W$2:$W$50000,0)),"")</f>
        <v xml:space="preserve">MARIA BUDIATMAB </v>
      </c>
      <c r="C110" s="11" t="str">
        <f t="shared" si="1"/>
        <v xml:space="preserve">MARIA BUDIATMAB </v>
      </c>
      <c r="D110" s="11">
        <f>IF($B110="","",COUNTIFS('Raw Data'!$R$2:$R$50000,$B110))</f>
        <v>1</v>
      </c>
      <c r="E110" s="11">
        <f>IF($B110="","",SUMIFS('Raw Data'!$I$2:$I$50000,'Raw Data'!$R$2:$R$50000,$B110))</f>
        <v>30000</v>
      </c>
      <c r="F110" s="11">
        <f>IF($B110="","",RANK($E110,$E$2:$E$1501)+COUNTIF($E$2:E110,$E110)-1)</f>
        <v>103</v>
      </c>
      <c r="G110" s="11">
        <f>IF($B110="","",RANK($D110,$D$2:$D$1501)+COUNTIF($D$2:D110,$D110)-1)</f>
        <v>133</v>
      </c>
    </row>
    <row r="111" spans="1:7">
      <c r="A111" s="11">
        <v>110</v>
      </c>
      <c r="B111" s="11" t="str">
        <f>IFERROR(INDEX('Raw Data'!$R$2:$R$50000,MATCH(110,'Raw Data'!$W$2:$W$50000,0)),"")</f>
        <v>maria budiatman</v>
      </c>
      <c r="C111" s="11" t="str">
        <f t="shared" si="1"/>
        <v>maria budiatman</v>
      </c>
      <c r="D111" s="11">
        <f>IF($B111="","",COUNTIFS('Raw Data'!$R$2:$R$50000,$B111))</f>
        <v>1</v>
      </c>
      <c r="E111" s="11">
        <f>IF($B111="","",SUMIFS('Raw Data'!$I$2:$I$50000,'Raw Data'!$R$2:$R$50000,$B111))</f>
        <v>24000</v>
      </c>
      <c r="F111" s="11">
        <f>IF($B111="","",RANK($E111,$E$2:$E$1501)+COUNTIF($E$2:E111,$E111)-1)</f>
        <v>126</v>
      </c>
      <c r="G111" s="11">
        <f>IF($B111="","",RANK($D111,$D$2:$D$1501)+COUNTIF($D$2:D111,$D111)-1)</f>
        <v>134</v>
      </c>
    </row>
    <row r="112" spans="1:7">
      <c r="A112" s="11">
        <v>111</v>
      </c>
      <c r="B112" s="11" t="str">
        <f>IFERROR(INDEX('Raw Data'!$R$2:$R$50000,MATCH(111,'Raw Data'!$W$2:$W$50000,0)),"")</f>
        <v>Herrnandez / Vapebar Karawang</v>
      </c>
      <c r="C112" s="11" t="str">
        <f t="shared" si="1"/>
        <v>Herrnandez / Vapebar Karawang</v>
      </c>
      <c r="D112" s="11">
        <f>IF($B112="","",COUNTIFS('Raw Data'!$R$2:$R$50000,$B112))</f>
        <v>1</v>
      </c>
      <c r="E112" s="11">
        <f>IF($B112="","",SUMIFS('Raw Data'!$I$2:$I$50000,'Raw Data'!$R$2:$R$50000,$B112))</f>
        <v>76000</v>
      </c>
      <c r="F112" s="11">
        <f>IF($B112="","",RANK($E112,$E$2:$E$1501)+COUNTIF($E$2:E112,$E112)-1)</f>
        <v>49</v>
      </c>
      <c r="G112" s="11">
        <f>IF($B112="","",RANK($D112,$D$2:$D$1501)+COUNTIF($D$2:D112,$D112)-1)</f>
        <v>135</v>
      </c>
    </row>
    <row r="113" spans="1:7">
      <c r="A113" s="11">
        <v>112</v>
      </c>
      <c r="B113" s="11" t="str">
        <f>IFERROR(INDEX('Raw Data'!$R$2:$R$50000,MATCH(112,'Raw Data'!$W$2:$W$50000,0)),"")</f>
        <v>Yan Ge</v>
      </c>
      <c r="C113" s="11" t="str">
        <f t="shared" si="1"/>
        <v>Yan Ge</v>
      </c>
      <c r="D113" s="11">
        <f>IF($B113="","",COUNTIFS('Raw Data'!$R$2:$R$50000,$B113))</f>
        <v>2</v>
      </c>
      <c r="E113" s="11">
        <f>IF($B113="","",SUMIFS('Raw Data'!$I$2:$I$50000,'Raw Data'!$R$2:$R$50000,$B113))</f>
        <v>36000</v>
      </c>
      <c r="F113" s="11">
        <f>IF($B113="","",RANK($E113,$E$2:$E$1501)+COUNTIF($E$2:E113,$E113)-1)</f>
        <v>95</v>
      </c>
      <c r="G113" s="11">
        <f>IF($B113="","",RANK($D113,$D$2:$D$1501)+COUNTIF($D$2:D113,$D113)-1)</f>
        <v>74</v>
      </c>
    </row>
    <row r="114" spans="1:7">
      <c r="A114" s="11">
        <v>113</v>
      </c>
      <c r="B114" s="11" t="str">
        <f>IFERROR(INDEX('Raw Data'!$R$2:$R$50000,MATCH(113,'Raw Data'!$W$2:$W$50000,0)),"")</f>
        <v>Jessica</v>
      </c>
      <c r="C114" s="11" t="str">
        <f t="shared" si="1"/>
        <v>Jessica</v>
      </c>
      <c r="D114" s="11">
        <f>IF($B114="","",COUNTIFS('Raw Data'!$R$2:$R$50000,$B114))</f>
        <v>3</v>
      </c>
      <c r="E114" s="11">
        <f>IF($B114="","",SUMIFS('Raw Data'!$I$2:$I$50000,'Raw Data'!$R$2:$R$50000,$B114))</f>
        <v>48000</v>
      </c>
      <c r="F114" s="11">
        <f>IF($B114="","",RANK($E114,$E$2:$E$1501)+COUNTIF($E$2:E114,$E114)-1)</f>
        <v>78</v>
      </c>
      <c r="G114" s="11">
        <f>IF($B114="","",RANK($D114,$D$2:$D$1501)+COUNTIF($D$2:D114,$D114)-1)</f>
        <v>47</v>
      </c>
    </row>
    <row r="115" spans="1:7">
      <c r="A115" s="11">
        <v>114</v>
      </c>
      <c r="B115" s="11" t="str">
        <f>IFERROR(INDEX('Raw Data'!$R$2:$R$50000,MATCH(114,'Raw Data'!$W$2:$W$50000,0)),"")</f>
        <v>wintercoat.id</v>
      </c>
      <c r="C115" s="11" t="str">
        <f t="shared" si="1"/>
        <v>wintercoat.id</v>
      </c>
      <c r="D115" s="11">
        <f>IF($B115="","",COUNTIFS('Raw Data'!$R$2:$R$50000,$B115))</f>
        <v>2</v>
      </c>
      <c r="E115" s="11">
        <f>IF($B115="","",SUMIFS('Raw Data'!$I$2:$I$50000,'Raw Data'!$R$2:$R$50000,$B115))</f>
        <v>33000</v>
      </c>
      <c r="F115" s="11">
        <f>IF($B115="","",RANK($E115,$E$2:$E$1501)+COUNTIF($E$2:E115,$E115)-1)</f>
        <v>100</v>
      </c>
      <c r="G115" s="11">
        <f>IF($B115="","",RANK($D115,$D$2:$D$1501)+COUNTIF($D$2:D115,$D115)-1)</f>
        <v>75</v>
      </c>
    </row>
    <row r="116" spans="1:7">
      <c r="A116" s="11">
        <v>115</v>
      </c>
      <c r="B116" s="11" t="str">
        <f>IFERROR(INDEX('Raw Data'!$R$2:$R$50000,MATCH(115,'Raw Data'!$W$2:$W$50000,0)),"")</f>
        <v>Buccheri Cikampek</v>
      </c>
      <c r="C116" s="11" t="str">
        <f t="shared" si="1"/>
        <v>Buccheri Cikampek</v>
      </c>
      <c r="D116" s="11">
        <f>IF($B116="","",COUNTIFS('Raw Data'!$R$2:$R$50000,$B116))</f>
        <v>1</v>
      </c>
      <c r="E116" s="11">
        <f>IF($B116="","",SUMIFS('Raw Data'!$I$2:$I$50000,'Raw Data'!$R$2:$R$50000,$B116))</f>
        <v>82000</v>
      </c>
      <c r="F116" s="11">
        <f>IF($B116="","",RANK($E116,$E$2:$E$1501)+COUNTIF($E$2:E116,$E116)-1)</f>
        <v>44</v>
      </c>
      <c r="G116" s="11">
        <f>IF($B116="","",RANK($D116,$D$2:$D$1501)+COUNTIF($D$2:D116,$D116)-1)</f>
        <v>136</v>
      </c>
    </row>
    <row r="117" spans="1:7">
      <c r="A117" s="11">
        <v>116</v>
      </c>
      <c r="B117" s="11" t="str">
        <f>IFERROR(INDEX('Raw Data'!$R$2:$R$50000,MATCH(116,'Raw Data'!$W$2:$W$50000,0)),"")</f>
        <v>MD Tech</v>
      </c>
      <c r="C117" s="11" t="str">
        <f t="shared" si="1"/>
        <v>MD Tech</v>
      </c>
      <c r="D117" s="11">
        <f>IF($B117="","",COUNTIFS('Raw Data'!$R$2:$R$50000,$B117))</f>
        <v>1</v>
      </c>
      <c r="E117" s="11">
        <f>IF($B117="","",SUMIFS('Raw Data'!$I$2:$I$50000,'Raw Data'!$R$2:$R$50000,$B117))</f>
        <v>27000</v>
      </c>
      <c r="F117" s="11">
        <f>IF($B117="","",RANK($E117,$E$2:$E$1501)+COUNTIF($E$2:E117,$E117)-1)</f>
        <v>112</v>
      </c>
      <c r="G117" s="11">
        <f>IF($B117="","",RANK($D117,$D$2:$D$1501)+COUNTIF($D$2:D117,$D117)-1)</f>
        <v>137</v>
      </c>
    </row>
    <row r="118" spans="1:7">
      <c r="A118" s="11">
        <v>117</v>
      </c>
      <c r="B118" s="11" t="str">
        <f>IFERROR(INDEX('Raw Data'!$R$2:$R$50000,MATCH(117,'Raw Data'!$W$2:$W$50000,0)),"")</f>
        <v>Arci Cell</v>
      </c>
      <c r="C118" s="11" t="str">
        <f t="shared" si="1"/>
        <v>Arci Cell</v>
      </c>
      <c r="D118" s="11">
        <f>IF($B118="","",COUNTIFS('Raw Data'!$R$2:$R$50000,$B118))</f>
        <v>2</v>
      </c>
      <c r="E118" s="11">
        <f>IF($B118="","",SUMIFS('Raw Data'!$I$2:$I$50000,'Raw Data'!$R$2:$R$50000,$B118))</f>
        <v>114000</v>
      </c>
      <c r="F118" s="11">
        <f>IF($B118="","",RANK($E118,$E$2:$E$1501)+COUNTIF($E$2:E118,$E118)-1)</f>
        <v>33</v>
      </c>
      <c r="G118" s="11">
        <f>IF($B118="","",RANK($D118,$D$2:$D$1501)+COUNTIF($D$2:D118,$D118)-1)</f>
        <v>76</v>
      </c>
    </row>
    <row r="119" spans="1:7">
      <c r="A119" s="11">
        <v>118</v>
      </c>
      <c r="B119" s="11" t="str">
        <f>IFERROR(INDEX('Raw Data'!$R$2:$R$50000,MATCH(118,'Raw Data'!$W$2:$W$50000,0)),"")</f>
        <v>.:CupaCup:.</v>
      </c>
      <c r="C119" s="11" t="str">
        <f t="shared" si="1"/>
        <v>.:CupaCup:.</v>
      </c>
      <c r="D119" s="11">
        <f>IF($B119="","",COUNTIFS('Raw Data'!$R$2:$R$50000,$B119))</f>
        <v>1</v>
      </c>
      <c r="E119" s="11">
        <f>IF($B119="","",SUMIFS('Raw Data'!$I$2:$I$50000,'Raw Data'!$R$2:$R$50000,$B119))</f>
        <v>306000</v>
      </c>
      <c r="F119" s="11">
        <f>IF($B119="","",RANK($E119,$E$2:$E$1501)+COUNTIF($E$2:E119,$E119)-1)</f>
        <v>15</v>
      </c>
      <c r="G119" s="11">
        <f>IF($B119="","",RANK($D119,$D$2:$D$1501)+COUNTIF($D$2:D119,$D119)-1)</f>
        <v>138</v>
      </c>
    </row>
    <row r="120" spans="1:7">
      <c r="A120" s="11">
        <v>119</v>
      </c>
      <c r="B120" s="11" t="str">
        <f>IFERROR(INDEX('Raw Data'!$R$2:$R$50000,MATCH(119,'Raw Data'!$W$2:$W$50000,0)),"")</f>
        <v>De Zidan</v>
      </c>
      <c r="C120" s="11" t="str">
        <f t="shared" si="1"/>
        <v>De Zidan</v>
      </c>
      <c r="D120" s="11">
        <f>IF($B120="","",COUNTIFS('Raw Data'!$R$2:$R$50000,$B120))</f>
        <v>1</v>
      </c>
      <c r="E120" s="11">
        <f>IF($B120="","",SUMIFS('Raw Data'!$I$2:$I$50000,'Raw Data'!$R$2:$R$50000,$B120))</f>
        <v>19000</v>
      </c>
      <c r="F120" s="11">
        <f>IF($B120="","",RANK($E120,$E$2:$E$1501)+COUNTIF($E$2:E120,$E120)-1)</f>
        <v>145</v>
      </c>
      <c r="G120" s="11">
        <f>IF($B120="","",RANK($D120,$D$2:$D$1501)+COUNTIF($D$2:D120,$D120)-1)</f>
        <v>139</v>
      </c>
    </row>
    <row r="121" spans="1:7">
      <c r="A121" s="11">
        <v>120</v>
      </c>
      <c r="B121" s="11" t="str">
        <f>IFERROR(INDEX('Raw Data'!$R$2:$R$50000,MATCH(120,'Raw Data'!$W$2:$W$50000,0)),"")</f>
        <v>Satria</v>
      </c>
      <c r="C121" s="11" t="str">
        <f t="shared" si="1"/>
        <v>Satria</v>
      </c>
      <c r="D121" s="11">
        <f>IF($B121="","",COUNTIFS('Raw Data'!$R$2:$R$50000,$B121))</f>
        <v>2</v>
      </c>
      <c r="E121" s="11">
        <f>IF($B121="","",SUMIFS('Raw Data'!$I$2:$I$50000,'Raw Data'!$R$2:$R$50000,$B121))</f>
        <v>51000</v>
      </c>
      <c r="F121" s="11">
        <f>IF($B121="","",RANK($E121,$E$2:$E$1501)+COUNTIF($E$2:E121,$E121)-1)</f>
        <v>71</v>
      </c>
      <c r="G121" s="11">
        <f>IF($B121="","",RANK($D121,$D$2:$D$1501)+COUNTIF($D$2:D121,$D121)-1)</f>
        <v>77</v>
      </c>
    </row>
    <row r="122" spans="1:7">
      <c r="A122" s="11">
        <v>121</v>
      </c>
      <c r="B122" s="11" t="str">
        <f>IFERROR(INDEX('Raw Data'!$R$2:$R$50000,MATCH(121,'Raw Data'!$W$2:$W$50000,0)),"")</f>
        <v>RIFKY</v>
      </c>
      <c r="C122" s="11" t="str">
        <f t="shared" si="1"/>
        <v>RIFKY</v>
      </c>
      <c r="D122" s="11">
        <f>IF($B122="","",COUNTIFS('Raw Data'!$R$2:$R$50000,$B122))</f>
        <v>1</v>
      </c>
      <c r="E122" s="11">
        <f>IF($B122="","",SUMIFS('Raw Data'!$I$2:$I$50000,'Raw Data'!$R$2:$R$50000,$B122))</f>
        <v>10000</v>
      </c>
      <c r="F122" s="11">
        <f>IF($B122="","",RANK($E122,$E$2:$E$1501)+COUNTIF($E$2:E122,$E122)-1)</f>
        <v>221</v>
      </c>
      <c r="G122" s="11">
        <f>IF($B122="","",RANK($D122,$D$2:$D$1501)+COUNTIF($D$2:D122,$D122)-1)</f>
        <v>140</v>
      </c>
    </row>
    <row r="123" spans="1:7">
      <c r="A123" s="11">
        <v>122</v>
      </c>
      <c r="B123" s="11" t="str">
        <f>IFERROR(INDEX('Raw Data'!$R$2:$R$50000,MATCH(122,'Raw Data'!$W$2:$W$50000,0)),"")</f>
        <v xml:space="preserve">LUSIANA CITRA DEWI </v>
      </c>
      <c r="C123" s="11" t="str">
        <f t="shared" si="1"/>
        <v xml:space="preserve">LUSIANA CITRA DEWI </v>
      </c>
      <c r="D123" s="11">
        <f>IF($B123="","",COUNTIFS('Raw Data'!$R$2:$R$50000,$B123))</f>
        <v>1</v>
      </c>
      <c r="E123" s="11">
        <f>IF($B123="","",SUMIFS('Raw Data'!$I$2:$I$50000,'Raw Data'!$R$2:$R$50000,$B123))</f>
        <v>12000</v>
      </c>
      <c r="F123" s="11">
        <f>IF($B123="","",RANK($E123,$E$2:$E$1501)+COUNTIF($E$2:E123,$E123)-1)</f>
        <v>178</v>
      </c>
      <c r="G123" s="11">
        <f>IF($B123="","",RANK($D123,$D$2:$D$1501)+COUNTIF($D$2:D123,$D123)-1)</f>
        <v>141</v>
      </c>
    </row>
    <row r="124" spans="1:7">
      <c r="A124" s="11">
        <v>123</v>
      </c>
      <c r="B124" s="11" t="str">
        <f>IFERROR(INDEX('Raw Data'!$R$2:$R$50000,MATCH(123,'Raw Data'!$W$2:$W$50000,0)),"")</f>
        <v>Lusiana Citra Dewi</v>
      </c>
      <c r="C124" s="11" t="str">
        <f t="shared" si="1"/>
        <v>Lusiana Citra Dewi</v>
      </c>
      <c r="D124" s="11">
        <f>IF($B124="","",COUNTIFS('Raw Data'!$R$2:$R$50000,$B124))</f>
        <v>4</v>
      </c>
      <c r="E124" s="11">
        <f>IF($B124="","",SUMIFS('Raw Data'!$I$2:$I$50000,'Raw Data'!$R$2:$R$50000,$B124))</f>
        <v>48000</v>
      </c>
      <c r="F124" s="11">
        <f>IF($B124="","",RANK($E124,$E$2:$E$1501)+COUNTIF($E$2:E124,$E124)-1)</f>
        <v>79</v>
      </c>
      <c r="G124" s="11">
        <f>IF($B124="","",RANK($D124,$D$2:$D$1501)+COUNTIF($D$2:D124,$D124)-1)</f>
        <v>37</v>
      </c>
    </row>
    <row r="125" spans="1:7">
      <c r="A125" s="11">
        <v>124</v>
      </c>
      <c r="B125" s="11" t="str">
        <f>IFERROR(INDEX('Raw Data'!$R$2:$R$50000,MATCH(124,'Raw Data'!$W$2:$W$50000,0)),"")</f>
        <v>Shella</v>
      </c>
      <c r="C125" s="11" t="str">
        <f t="shared" si="1"/>
        <v>Shella</v>
      </c>
      <c r="D125" s="11">
        <f>IF($B125="","",COUNTIFS('Raw Data'!$R$2:$R$50000,$B125))</f>
        <v>1</v>
      </c>
      <c r="E125" s="11">
        <f>IF($B125="","",SUMIFS('Raw Data'!$I$2:$I$50000,'Raw Data'!$R$2:$R$50000,$B125))</f>
        <v>12000</v>
      </c>
      <c r="F125" s="11">
        <f>IF($B125="","",RANK($E125,$E$2:$E$1501)+COUNTIF($E$2:E125,$E125)-1)</f>
        <v>179</v>
      </c>
      <c r="G125" s="11">
        <f>IF($B125="","",RANK($D125,$D$2:$D$1501)+COUNTIF($D$2:D125,$D125)-1)</f>
        <v>142</v>
      </c>
    </row>
    <row r="126" spans="1:7">
      <c r="A126" s="11">
        <v>125</v>
      </c>
      <c r="B126" s="11" t="str">
        <f>IFERROR(INDEX('Raw Data'!$R$2:$R$50000,MATCH(125,'Raw Data'!$W$2:$W$50000,0)),"")</f>
        <v>Joko Kuswoyo</v>
      </c>
      <c r="C126" s="11" t="str">
        <f t="shared" si="1"/>
        <v>Joko Kuswoyo</v>
      </c>
      <c r="D126" s="11">
        <f>IF($B126="","",COUNTIFS('Raw Data'!$R$2:$R$50000,$B126))</f>
        <v>5</v>
      </c>
      <c r="E126" s="11">
        <f>IF($B126="","",SUMIFS('Raw Data'!$I$2:$I$50000,'Raw Data'!$R$2:$R$50000,$B126))</f>
        <v>213000</v>
      </c>
      <c r="F126" s="11">
        <f>IF($B126="","",RANK($E126,$E$2:$E$1501)+COUNTIF($E$2:E126,$E126)-1)</f>
        <v>17</v>
      </c>
      <c r="G126" s="11">
        <f>IF($B126="","",RANK($D126,$D$2:$D$1501)+COUNTIF($D$2:D126,$D126)-1)</f>
        <v>27</v>
      </c>
    </row>
    <row r="127" spans="1:7">
      <c r="A127" s="11">
        <v>126</v>
      </c>
      <c r="B127" s="11" t="str">
        <f>IFERROR(INDEX('Raw Data'!$R$2:$R$50000,MATCH(126,'Raw Data'!$W$2:$W$50000,0)),"")</f>
        <v>Henry</v>
      </c>
      <c r="C127" s="11" t="str">
        <f t="shared" si="1"/>
        <v>Henry</v>
      </c>
      <c r="D127" s="11">
        <f>IF($B127="","",COUNTIFS('Raw Data'!$R$2:$R$50000,$B127))</f>
        <v>6</v>
      </c>
      <c r="E127" s="11">
        <f>IF($B127="","",SUMIFS('Raw Data'!$I$2:$I$50000,'Raw Data'!$R$2:$R$50000,$B127))</f>
        <v>108000</v>
      </c>
      <c r="F127" s="11">
        <f>IF($B127="","",RANK($E127,$E$2:$E$1501)+COUNTIF($E$2:E127,$E127)-1)</f>
        <v>34</v>
      </c>
      <c r="G127" s="11">
        <f>IF($B127="","",RANK($D127,$D$2:$D$1501)+COUNTIF($D$2:D127,$D127)-1)</f>
        <v>22</v>
      </c>
    </row>
    <row r="128" spans="1:7">
      <c r="A128" s="11">
        <v>127</v>
      </c>
      <c r="B128" s="11" t="str">
        <f>IFERROR(INDEX('Raw Data'!$R$2:$R$50000,MATCH(127,'Raw Data'!$W$2:$W$50000,0)),"")</f>
        <v>Manda</v>
      </c>
      <c r="C128" s="11" t="str">
        <f t="shared" si="1"/>
        <v>Manda</v>
      </c>
      <c r="D128" s="11">
        <f>IF($B128="","",COUNTIFS('Raw Data'!$R$2:$R$50000,$B128))</f>
        <v>1</v>
      </c>
      <c r="E128" s="11">
        <f>IF($B128="","",SUMIFS('Raw Data'!$I$2:$I$50000,'Raw Data'!$R$2:$R$50000,$B128))</f>
        <v>13000</v>
      </c>
      <c r="F128" s="11">
        <f>IF($B128="","",RANK($E128,$E$2:$E$1501)+COUNTIF($E$2:E128,$E128)-1)</f>
        <v>156</v>
      </c>
      <c r="G128" s="11">
        <f>IF($B128="","",RANK($D128,$D$2:$D$1501)+COUNTIF($D$2:D128,$D128)-1)</f>
        <v>143</v>
      </c>
    </row>
    <row r="129" spans="1:7">
      <c r="A129" s="11">
        <v>128</v>
      </c>
      <c r="B129" s="11" t="str">
        <f>IFERROR(INDEX('Raw Data'!$R$2:$R$50000,MATCH(128,'Raw Data'!$W$2:$W$50000,0)),"")</f>
        <v>Merdeka17_Shop</v>
      </c>
      <c r="C129" s="11" t="str">
        <f t="shared" si="1"/>
        <v>Merdeka17_Shop</v>
      </c>
      <c r="D129" s="11">
        <f>IF($B129="","",COUNTIFS('Raw Data'!$R$2:$R$50000,$B129))</f>
        <v>1</v>
      </c>
      <c r="E129" s="11">
        <f>IF($B129="","",SUMIFS('Raw Data'!$I$2:$I$50000,'Raw Data'!$R$2:$R$50000,$B129))</f>
        <v>46000</v>
      </c>
      <c r="F129" s="11">
        <f>IF($B129="","",RANK($E129,$E$2:$E$1501)+COUNTIF($E$2:E129,$E129)-1)</f>
        <v>83</v>
      </c>
      <c r="G129" s="11">
        <f>IF($B129="","",RANK($D129,$D$2:$D$1501)+COUNTIF($D$2:D129,$D129)-1)</f>
        <v>144</v>
      </c>
    </row>
    <row r="130" spans="1:7">
      <c r="A130" s="11">
        <v>129</v>
      </c>
      <c r="B130" s="11" t="str">
        <f>IFERROR(INDEX('Raw Data'!$R$2:$R$50000,MATCH(129,'Raw Data'!$W$2:$W$50000,0)),"")</f>
        <v>Kevin Hartono</v>
      </c>
      <c r="C130" s="11" t="str">
        <f t="shared" ref="C130:C193" si="2">IF($B130="","",$B130)</f>
        <v>Kevin Hartono</v>
      </c>
      <c r="D130" s="11">
        <f>IF($B130="","",COUNTIFS('Raw Data'!$R$2:$R$50000,$B130))</f>
        <v>1</v>
      </c>
      <c r="E130" s="11">
        <f>IF($B130="","",SUMIFS('Raw Data'!$I$2:$I$50000,'Raw Data'!$R$2:$R$50000,$B130))</f>
        <v>24000</v>
      </c>
      <c r="F130" s="11">
        <f>IF($B130="","",RANK($E130,$E$2:$E$1501)+COUNTIF($E$2:E130,$E130)-1)</f>
        <v>127</v>
      </c>
      <c r="G130" s="11">
        <f>IF($B130="","",RANK($D130,$D$2:$D$1501)+COUNTIF($D$2:D130,$D130)-1)</f>
        <v>145</v>
      </c>
    </row>
    <row r="131" spans="1:7">
      <c r="A131" s="11">
        <v>130</v>
      </c>
      <c r="B131" s="11" t="str">
        <f>IFERROR(INDEX('Raw Data'!$R$2:$R$50000,MATCH(130,'Raw Data'!$W$2:$W$50000,0)),"")</f>
        <v>RANGGA ARFIAN GUNAWAN</v>
      </c>
      <c r="C131" s="11" t="str">
        <f t="shared" si="2"/>
        <v>RANGGA ARFIAN GUNAWAN</v>
      </c>
      <c r="D131" s="11">
        <f>IF($B131="","",COUNTIFS('Raw Data'!$R$2:$R$50000,$B131))</f>
        <v>1</v>
      </c>
      <c r="E131" s="11">
        <f>IF($B131="","",SUMIFS('Raw Data'!$I$2:$I$50000,'Raw Data'!$R$2:$R$50000,$B131))</f>
        <v>12000</v>
      </c>
      <c r="F131" s="11">
        <f>IF($B131="","",RANK($E131,$E$2:$E$1501)+COUNTIF($E$2:E131,$E131)-1)</f>
        <v>180</v>
      </c>
      <c r="G131" s="11">
        <f>IF($B131="","",RANK($D131,$D$2:$D$1501)+COUNTIF($D$2:D131,$D131)-1)</f>
        <v>146</v>
      </c>
    </row>
    <row r="132" spans="1:7">
      <c r="A132" s="11">
        <v>131</v>
      </c>
      <c r="B132" s="11" t="str">
        <f>IFERROR(INDEX('Raw Data'!$R$2:$R$50000,MATCH(131,'Raw Data'!$W$2:$W$50000,0)),"")</f>
        <v>Gudang Bocorocco eCommerce</v>
      </c>
      <c r="C132" s="11" t="str">
        <f t="shared" si="2"/>
        <v>Gudang Bocorocco eCommerce</v>
      </c>
      <c r="D132" s="11">
        <f>IF($B132="","",COUNTIFS('Raw Data'!$R$2:$R$50000,$B132))</f>
        <v>2</v>
      </c>
      <c r="E132" s="11">
        <f>IF($B132="","",SUMIFS('Raw Data'!$I$2:$I$50000,'Raw Data'!$R$2:$R$50000,$B132))</f>
        <v>36000</v>
      </c>
      <c r="F132" s="11">
        <f>IF($B132="","",RANK($E132,$E$2:$E$1501)+COUNTIF($E$2:E132,$E132)-1)</f>
        <v>96</v>
      </c>
      <c r="G132" s="11">
        <f>IF($B132="","",RANK($D132,$D$2:$D$1501)+COUNTIF($D$2:D132,$D132)-1)</f>
        <v>78</v>
      </c>
    </row>
    <row r="133" spans="1:7">
      <c r="A133" s="11">
        <v>132</v>
      </c>
      <c r="B133" s="11" t="str">
        <f>IFERROR(INDEX('Raw Data'!$R$2:$R$50000,MATCH(132,'Raw Data'!$W$2:$W$50000,0)),"")</f>
        <v>claudia irene</v>
      </c>
      <c r="C133" s="11" t="str">
        <f t="shared" si="2"/>
        <v>claudia irene</v>
      </c>
      <c r="D133" s="11">
        <f>IF($B133="","",COUNTIFS('Raw Data'!$R$2:$R$50000,$B133))</f>
        <v>1</v>
      </c>
      <c r="E133" s="11">
        <f>IF($B133="","",SUMIFS('Raw Data'!$I$2:$I$50000,'Raw Data'!$R$2:$R$50000,$B133))</f>
        <v>24000</v>
      </c>
      <c r="F133" s="11">
        <f>IF($B133="","",RANK($E133,$E$2:$E$1501)+COUNTIF($E$2:E133,$E133)-1)</f>
        <v>128</v>
      </c>
      <c r="G133" s="11">
        <f>IF($B133="","",RANK($D133,$D$2:$D$1501)+COUNTIF($D$2:D133,$D133)-1)</f>
        <v>147</v>
      </c>
    </row>
    <row r="134" spans="1:7">
      <c r="A134" s="11">
        <v>133</v>
      </c>
      <c r="B134" s="11" t="str">
        <f>IFERROR(INDEX('Raw Data'!$R$2:$R$50000,MATCH(133,'Raw Data'!$W$2:$W$50000,0)),"")</f>
        <v xml:space="preserve">ASTRI OKTAVIA </v>
      </c>
      <c r="C134" s="11" t="str">
        <f t="shared" si="2"/>
        <v xml:space="preserve">ASTRI OKTAVIA </v>
      </c>
      <c r="D134" s="11">
        <f>IF($B134="","",COUNTIFS('Raw Data'!$R$2:$R$50000,$B134))</f>
        <v>1</v>
      </c>
      <c r="E134" s="11">
        <f>IF($B134="","",SUMIFS('Raw Data'!$I$2:$I$50000,'Raw Data'!$R$2:$R$50000,$B134))</f>
        <v>12000</v>
      </c>
      <c r="F134" s="11">
        <f>IF($B134="","",RANK($E134,$E$2:$E$1501)+COUNTIF($E$2:E134,$E134)-1)</f>
        <v>181</v>
      </c>
      <c r="G134" s="11">
        <f>IF($B134="","",RANK($D134,$D$2:$D$1501)+COUNTIF($D$2:D134,$D134)-1)</f>
        <v>148</v>
      </c>
    </row>
    <row r="135" spans="1:7">
      <c r="A135" s="11">
        <v>134</v>
      </c>
      <c r="B135" s="11" t="str">
        <f>IFERROR(INDEX('Raw Data'!$R$2:$R$50000,MATCH(134,'Raw Data'!$W$2:$W$50000,0)),"")</f>
        <v>Hendra W. Wardhana</v>
      </c>
      <c r="C135" s="11" t="str">
        <f t="shared" si="2"/>
        <v>Hendra W. Wardhana</v>
      </c>
      <c r="D135" s="11">
        <f>IF($B135="","",COUNTIFS('Raw Data'!$R$2:$R$50000,$B135))</f>
        <v>1</v>
      </c>
      <c r="E135" s="11">
        <f>IF($B135="","",SUMIFS('Raw Data'!$I$2:$I$50000,'Raw Data'!$R$2:$R$50000,$B135))</f>
        <v>12000</v>
      </c>
      <c r="F135" s="11">
        <f>IF($B135="","",RANK($E135,$E$2:$E$1501)+COUNTIF($E$2:E135,$E135)-1)</f>
        <v>182</v>
      </c>
      <c r="G135" s="11">
        <f>IF($B135="","",RANK($D135,$D$2:$D$1501)+COUNTIF($D$2:D135,$D135)-1)</f>
        <v>149</v>
      </c>
    </row>
    <row r="136" spans="1:7">
      <c r="A136" s="11">
        <v>135</v>
      </c>
      <c r="B136" s="11" t="str">
        <f>IFERROR(INDEX('Raw Data'!$R$2:$R$50000,MATCH(135,'Raw Data'!$W$2:$W$50000,0)),"")</f>
        <v>Tania martalia wijaya</v>
      </c>
      <c r="C136" s="11" t="str">
        <f t="shared" si="2"/>
        <v>Tania martalia wijaya</v>
      </c>
      <c r="D136" s="11">
        <f>IF($B136="","",COUNTIFS('Raw Data'!$R$2:$R$50000,$B136))</f>
        <v>1</v>
      </c>
      <c r="E136" s="11">
        <f>IF($B136="","",SUMIFS('Raw Data'!$I$2:$I$50000,'Raw Data'!$R$2:$R$50000,$B136))</f>
        <v>12000</v>
      </c>
      <c r="F136" s="11">
        <f>IF($B136="","",RANK($E136,$E$2:$E$1501)+COUNTIF($E$2:E136,$E136)-1)</f>
        <v>183</v>
      </c>
      <c r="G136" s="11">
        <f>IF($B136="","",RANK($D136,$D$2:$D$1501)+COUNTIF($D$2:D136,$D136)-1)</f>
        <v>150</v>
      </c>
    </row>
    <row r="137" spans="1:7">
      <c r="A137" s="11">
        <v>136</v>
      </c>
      <c r="B137" s="11" t="str">
        <f>IFERROR(INDEX('Raw Data'!$R$2:$R$50000,MATCH(136,'Raw Data'!$W$2:$W$50000,0)),"")</f>
        <v>Ade Sutisna</v>
      </c>
      <c r="C137" s="11" t="str">
        <f t="shared" si="2"/>
        <v>Ade Sutisna</v>
      </c>
      <c r="D137" s="11">
        <f>IF($B137="","",COUNTIFS('Raw Data'!$R$2:$R$50000,$B137))</f>
        <v>1</v>
      </c>
      <c r="E137" s="11">
        <f>IF($B137="","",SUMIFS('Raw Data'!$I$2:$I$50000,'Raw Data'!$R$2:$R$50000,$B137))</f>
        <v>156000</v>
      </c>
      <c r="F137" s="11">
        <f>IF($B137="","",RANK($E137,$E$2:$E$1501)+COUNTIF($E$2:E137,$E137)-1)</f>
        <v>26</v>
      </c>
      <c r="G137" s="11">
        <f>IF($B137="","",RANK($D137,$D$2:$D$1501)+COUNTIF($D$2:D137,$D137)-1)</f>
        <v>151</v>
      </c>
    </row>
    <row r="138" spans="1:7">
      <c r="A138" s="11">
        <v>137</v>
      </c>
      <c r="B138" s="11" t="str">
        <f>IFERROR(INDEX('Raw Data'!$R$2:$R$50000,MATCH(137,'Raw Data'!$W$2:$W$50000,0)),"")</f>
        <v>MUHAMMAD NURCHOLIS (MAINTENANC</v>
      </c>
      <c r="C138" s="11" t="str">
        <f t="shared" si="2"/>
        <v>MUHAMMAD NURCHOLIS (MAINTENANC</v>
      </c>
      <c r="D138" s="11">
        <f>IF($B138="","",COUNTIFS('Raw Data'!$R$2:$R$50000,$B138))</f>
        <v>1</v>
      </c>
      <c r="E138" s="11">
        <f>IF($B138="","",SUMIFS('Raw Data'!$I$2:$I$50000,'Raw Data'!$R$2:$R$50000,$B138))</f>
        <v>24000</v>
      </c>
      <c r="F138" s="11">
        <f>IF($B138="","",RANK($E138,$E$2:$E$1501)+COUNTIF($E$2:E138,$E138)-1)</f>
        <v>129</v>
      </c>
      <c r="G138" s="11">
        <f>IF($B138="","",RANK($D138,$D$2:$D$1501)+COUNTIF($D$2:D138,$D138)-1)</f>
        <v>152</v>
      </c>
    </row>
    <row r="139" spans="1:7">
      <c r="A139" s="11">
        <v>138</v>
      </c>
      <c r="B139" s="11" t="str">
        <f>IFERROR(INDEX('Raw Data'!$R$2:$R$50000,MATCH(138,'Raw Data'!$W$2:$W$50000,0)),"")</f>
        <v>Ocha</v>
      </c>
      <c r="C139" s="11" t="str">
        <f t="shared" si="2"/>
        <v>Ocha</v>
      </c>
      <c r="D139" s="11">
        <f>IF($B139="","",COUNTIFS('Raw Data'!$R$2:$R$50000,$B139))</f>
        <v>1</v>
      </c>
      <c r="E139" s="11">
        <f>IF($B139="","",SUMIFS('Raw Data'!$I$2:$I$50000,'Raw Data'!$R$2:$R$50000,$B139))</f>
        <v>12000</v>
      </c>
      <c r="F139" s="11">
        <f>IF($B139="","",RANK($E139,$E$2:$E$1501)+COUNTIF($E$2:E139,$E139)-1)</f>
        <v>184</v>
      </c>
      <c r="G139" s="11">
        <f>IF($B139="","",RANK($D139,$D$2:$D$1501)+COUNTIF($D$2:D139,$D139)-1)</f>
        <v>153</v>
      </c>
    </row>
    <row r="140" spans="1:7">
      <c r="A140" s="11">
        <v>139</v>
      </c>
      <c r="B140" s="11" t="str">
        <f>IFERROR(INDEX('Raw Data'!$R$2:$R$50000,MATCH(139,'Raw Data'!$W$2:$W$50000,0)),"")</f>
        <v>agnes</v>
      </c>
      <c r="C140" s="11" t="str">
        <f t="shared" si="2"/>
        <v>agnes</v>
      </c>
      <c r="D140" s="11">
        <f>IF($B140="","",COUNTIFS('Raw Data'!$R$2:$R$50000,$B140))</f>
        <v>1</v>
      </c>
      <c r="E140" s="11">
        <f>IF($B140="","",SUMIFS('Raw Data'!$I$2:$I$50000,'Raw Data'!$R$2:$R$50000,$B140))</f>
        <v>16000</v>
      </c>
      <c r="F140" s="11">
        <f>IF($B140="","",RANK($E140,$E$2:$E$1501)+COUNTIF($E$2:E140,$E140)-1)</f>
        <v>151</v>
      </c>
      <c r="G140" s="11">
        <f>IF($B140="","",RANK($D140,$D$2:$D$1501)+COUNTIF($D$2:D140,$D140)-1)</f>
        <v>154</v>
      </c>
    </row>
    <row r="141" spans="1:7">
      <c r="A141" s="11">
        <v>140</v>
      </c>
      <c r="B141" s="11" t="str">
        <f>IFERROR(INDEX('Raw Data'!$R$2:$R$50000,MATCH(140,'Raw Data'!$W$2:$W$50000,0)),"")</f>
        <v>Geraldine Luxury Boutique</v>
      </c>
      <c r="C141" s="11" t="str">
        <f t="shared" si="2"/>
        <v>Geraldine Luxury Boutique</v>
      </c>
      <c r="D141" s="11">
        <f>IF($B141="","",COUNTIFS('Raw Data'!$R$2:$R$50000,$B141))</f>
        <v>1</v>
      </c>
      <c r="E141" s="11">
        <f>IF($B141="","",SUMIFS('Raw Data'!$I$2:$I$50000,'Raw Data'!$R$2:$R$50000,$B141))</f>
        <v>12000</v>
      </c>
      <c r="F141" s="11">
        <f>IF($B141="","",RANK($E141,$E$2:$E$1501)+COUNTIF($E$2:E141,$E141)-1)</f>
        <v>185</v>
      </c>
      <c r="G141" s="11">
        <f>IF($B141="","",RANK($D141,$D$2:$D$1501)+COUNTIF($D$2:D141,$D141)-1)</f>
        <v>155</v>
      </c>
    </row>
    <row r="142" spans="1:7">
      <c r="A142" s="11">
        <v>141</v>
      </c>
      <c r="B142" s="11" t="str">
        <f>IFERROR(INDEX('Raw Data'!$R$2:$R$50000,MATCH(141,'Raw Data'!$W$2:$W$50000,0)),"")</f>
        <v>IYANG RICKY</v>
      </c>
      <c r="C142" s="11" t="str">
        <f t="shared" si="2"/>
        <v>IYANG RICKY</v>
      </c>
      <c r="D142" s="11">
        <f>IF($B142="","",COUNTIFS('Raw Data'!$R$2:$R$50000,$B142))</f>
        <v>1</v>
      </c>
      <c r="E142" s="11">
        <f>IF($B142="","",SUMIFS('Raw Data'!$I$2:$I$50000,'Raw Data'!$R$2:$R$50000,$B142))</f>
        <v>36000</v>
      </c>
      <c r="F142" s="11">
        <f>IF($B142="","",RANK($E142,$E$2:$E$1501)+COUNTIF($E$2:E142,$E142)-1)</f>
        <v>97</v>
      </c>
      <c r="G142" s="11">
        <f>IF($B142="","",RANK($D142,$D$2:$D$1501)+COUNTIF($D$2:D142,$D142)-1)</f>
        <v>156</v>
      </c>
    </row>
    <row r="143" spans="1:7">
      <c r="A143" s="11">
        <v>142</v>
      </c>
      <c r="B143" s="11" t="str">
        <f>IFERROR(INDEX('Raw Data'!$R$2:$R$50000,MATCH(142,'Raw Data'!$W$2:$W$50000,0)),"")</f>
        <v>Toko Buku Fadhil</v>
      </c>
      <c r="C143" s="11" t="str">
        <f t="shared" si="2"/>
        <v>Toko Buku Fadhil</v>
      </c>
      <c r="D143" s="11">
        <f>IF($B143="","",COUNTIFS('Raw Data'!$R$2:$R$50000,$B143))</f>
        <v>1</v>
      </c>
      <c r="E143" s="11">
        <f>IF($B143="","",SUMIFS('Raw Data'!$I$2:$I$50000,'Raw Data'!$R$2:$R$50000,$B143))</f>
        <v>18000</v>
      </c>
      <c r="F143" s="11">
        <f>IF($B143="","",RANK($E143,$E$2:$E$1501)+COUNTIF($E$2:E143,$E143)-1)</f>
        <v>149</v>
      </c>
      <c r="G143" s="11">
        <f>IF($B143="","",RANK($D143,$D$2:$D$1501)+COUNTIF($D$2:D143,$D143)-1)</f>
        <v>157</v>
      </c>
    </row>
    <row r="144" spans="1:7">
      <c r="A144" s="11">
        <v>143</v>
      </c>
      <c r="B144" s="11" t="str">
        <f>IFERROR(INDEX('Raw Data'!$R$2:$R$50000,MATCH(143,'Raw Data'!$W$2:$W$50000,0)),"")</f>
        <v xml:space="preserve">DEN </v>
      </c>
      <c r="C144" s="11" t="str">
        <f t="shared" si="2"/>
        <v xml:space="preserve">DEN </v>
      </c>
      <c r="D144" s="11">
        <f>IF($B144="","",COUNTIFS('Raw Data'!$R$2:$R$50000,$B144))</f>
        <v>3</v>
      </c>
      <c r="E144" s="11">
        <f>IF($B144="","",SUMIFS('Raw Data'!$I$2:$I$50000,'Raw Data'!$R$2:$R$50000,$B144))</f>
        <v>48000</v>
      </c>
      <c r="F144" s="11">
        <f>IF($B144="","",RANK($E144,$E$2:$E$1501)+COUNTIF($E$2:E144,$E144)-1)</f>
        <v>80</v>
      </c>
      <c r="G144" s="11">
        <f>IF($B144="","",RANK($D144,$D$2:$D$1501)+COUNTIF($D$2:D144,$D144)-1)</f>
        <v>48</v>
      </c>
    </row>
    <row r="145" spans="1:7">
      <c r="A145" s="11">
        <v>144</v>
      </c>
      <c r="B145" s="11" t="str">
        <f>IFERROR(INDEX('Raw Data'!$R$2:$R$50000,MATCH(144,'Raw Data'!$W$2:$W$50000,0)),"")</f>
        <v>Muhammad Tegar Sucianto</v>
      </c>
      <c r="C145" s="11" t="str">
        <f t="shared" si="2"/>
        <v>Muhammad Tegar Sucianto</v>
      </c>
      <c r="D145" s="11">
        <f>IF($B145="","",COUNTIFS('Raw Data'!$R$2:$R$50000,$B145))</f>
        <v>1</v>
      </c>
      <c r="E145" s="11">
        <f>IF($B145="","",SUMIFS('Raw Data'!$I$2:$I$50000,'Raw Data'!$R$2:$R$50000,$B145))</f>
        <v>24000</v>
      </c>
      <c r="F145" s="11">
        <f>IF($B145="","",RANK($E145,$E$2:$E$1501)+COUNTIF($E$2:E145,$E145)-1)</f>
        <v>130</v>
      </c>
      <c r="G145" s="11">
        <f>IF($B145="","",RANK($D145,$D$2:$D$1501)+COUNTIF($D$2:D145,$D145)-1)</f>
        <v>158</v>
      </c>
    </row>
    <row r="146" spans="1:7">
      <c r="A146" s="11">
        <v>145</v>
      </c>
      <c r="B146" s="11" t="str">
        <f>IFERROR(INDEX('Raw Data'!$R$2:$R$50000,MATCH(145,'Raw Data'!$W$2:$W$50000,0)),"")</f>
        <v>William Hartanto</v>
      </c>
      <c r="C146" s="11" t="str">
        <f t="shared" si="2"/>
        <v>William Hartanto</v>
      </c>
      <c r="D146" s="11">
        <f>IF($B146="","",COUNTIFS('Raw Data'!$R$2:$R$50000,$B146))</f>
        <v>1</v>
      </c>
      <c r="E146" s="11">
        <f>IF($B146="","",SUMIFS('Raw Data'!$I$2:$I$50000,'Raw Data'!$R$2:$R$50000,$B146))</f>
        <v>24000</v>
      </c>
      <c r="F146" s="11">
        <f>IF($B146="","",RANK($E146,$E$2:$E$1501)+COUNTIF($E$2:E146,$E146)-1)</f>
        <v>131</v>
      </c>
      <c r="G146" s="11">
        <f>IF($B146="","",RANK($D146,$D$2:$D$1501)+COUNTIF($D$2:D146,$D146)-1)</f>
        <v>159</v>
      </c>
    </row>
    <row r="147" spans="1:7">
      <c r="A147" s="11">
        <v>146</v>
      </c>
      <c r="B147" s="11" t="str">
        <f>IFERROR(INDEX('Raw Data'!$R$2:$R$50000,MATCH(146,'Raw Data'!$W$2:$W$50000,0)),"")</f>
        <v>Hendra</v>
      </c>
      <c r="C147" s="11" t="str">
        <f t="shared" si="2"/>
        <v>Hendra</v>
      </c>
      <c r="D147" s="11">
        <f>IF($B147="","",COUNTIFS('Raw Data'!$R$2:$R$50000,$B147))</f>
        <v>1</v>
      </c>
      <c r="E147" s="11">
        <f>IF($B147="","",SUMIFS('Raw Data'!$I$2:$I$50000,'Raw Data'!$R$2:$R$50000,$B147))</f>
        <v>54000</v>
      </c>
      <c r="F147" s="11">
        <f>IF($B147="","",RANK($E147,$E$2:$E$1501)+COUNTIF($E$2:E147,$E147)-1)</f>
        <v>67</v>
      </c>
      <c r="G147" s="11">
        <f>IF($B147="","",RANK($D147,$D$2:$D$1501)+COUNTIF($D$2:D147,$D147)-1)</f>
        <v>160</v>
      </c>
    </row>
    <row r="148" spans="1:7">
      <c r="A148" s="11">
        <v>147</v>
      </c>
      <c r="B148" s="11" t="str">
        <f>IFERROR(INDEX('Raw Data'!$R$2:$R$50000,MATCH(147,'Raw Data'!$W$2:$W$50000,0)),"")</f>
        <v xml:space="preserve">AAN </v>
      </c>
      <c r="C148" s="11" t="str">
        <f t="shared" si="2"/>
        <v xml:space="preserve">AAN </v>
      </c>
      <c r="D148" s="11">
        <f>IF($B148="","",COUNTIFS('Raw Data'!$R$2:$R$50000,$B148))</f>
        <v>1</v>
      </c>
      <c r="E148" s="11">
        <f>IF($B148="","",SUMIFS('Raw Data'!$I$2:$I$50000,'Raw Data'!$R$2:$R$50000,$B148))</f>
        <v>20000</v>
      </c>
      <c r="F148" s="11">
        <f>IF($B148="","",RANK($E148,$E$2:$E$1501)+COUNTIF($E$2:E148,$E148)-1)</f>
        <v>144</v>
      </c>
      <c r="G148" s="11">
        <f>IF($B148="","",RANK($D148,$D$2:$D$1501)+COUNTIF($D$2:D148,$D148)-1)</f>
        <v>161</v>
      </c>
    </row>
    <row r="149" spans="1:7">
      <c r="A149" s="11">
        <v>148</v>
      </c>
      <c r="B149" s="11" t="str">
        <f>IFERROR(INDEX('Raw Data'!$R$2:$R$50000,MATCH(148,'Raw Data'!$W$2:$W$50000,0)),"")</f>
        <v>Fitri Saleha</v>
      </c>
      <c r="C149" s="11" t="str">
        <f t="shared" si="2"/>
        <v>Fitri Saleha</v>
      </c>
      <c r="D149" s="11">
        <f>IF($B149="","",COUNTIFS('Raw Data'!$R$2:$R$50000,$B149))</f>
        <v>1</v>
      </c>
      <c r="E149" s="11">
        <f>IF($B149="","",SUMIFS('Raw Data'!$I$2:$I$50000,'Raw Data'!$R$2:$R$50000,$B149))</f>
        <v>12000</v>
      </c>
      <c r="F149" s="11">
        <f>IF($B149="","",RANK($E149,$E$2:$E$1501)+COUNTIF($E$2:E149,$E149)-1)</f>
        <v>186</v>
      </c>
      <c r="G149" s="11">
        <f>IF($B149="","",RANK($D149,$D$2:$D$1501)+COUNTIF($D$2:D149,$D149)-1)</f>
        <v>162</v>
      </c>
    </row>
    <row r="150" spans="1:7">
      <c r="A150" s="11">
        <v>149</v>
      </c>
      <c r="B150" s="11" t="str">
        <f>IFERROR(INDEX('Raw Data'!$R$2:$R$50000,MATCH(149,'Raw Data'!$W$2:$W$50000,0)),"")</f>
        <v>May</v>
      </c>
      <c r="C150" s="11" t="str">
        <f t="shared" si="2"/>
        <v>May</v>
      </c>
      <c r="D150" s="11">
        <f>IF($B150="","",COUNTIFS('Raw Data'!$R$2:$R$50000,$B150))</f>
        <v>1</v>
      </c>
      <c r="E150" s="11">
        <f>IF($B150="","",SUMIFS('Raw Data'!$I$2:$I$50000,'Raw Data'!$R$2:$R$50000,$B150))</f>
        <v>464000</v>
      </c>
      <c r="F150" s="11">
        <f>IF($B150="","",RANK($E150,$E$2:$E$1501)+COUNTIF($E$2:E150,$E150)-1)</f>
        <v>10</v>
      </c>
      <c r="G150" s="11">
        <f>IF($B150="","",RANK($D150,$D$2:$D$1501)+COUNTIF($D$2:D150,$D150)-1)</f>
        <v>163</v>
      </c>
    </row>
    <row r="151" spans="1:7">
      <c r="A151" s="11">
        <v>150</v>
      </c>
      <c r="B151" s="11" t="str">
        <f>IFERROR(INDEX('Raw Data'!$R$2:$R$50000,MATCH(150,'Raw Data'!$W$2:$W$50000,0)),"")</f>
        <v>Jastipsamaimoo</v>
      </c>
      <c r="C151" s="11" t="str">
        <f t="shared" si="2"/>
        <v>Jastipsamaimoo</v>
      </c>
      <c r="D151" s="11">
        <f>IF($B151="","",COUNTIFS('Raw Data'!$R$2:$R$50000,$B151))</f>
        <v>3</v>
      </c>
      <c r="E151" s="11">
        <f>IF($B151="","",SUMIFS('Raw Data'!$I$2:$I$50000,'Raw Data'!$R$2:$R$50000,$B151))</f>
        <v>198000</v>
      </c>
      <c r="F151" s="11">
        <f>IF($B151="","",RANK($E151,$E$2:$E$1501)+COUNTIF($E$2:E151,$E151)-1)</f>
        <v>19</v>
      </c>
      <c r="G151" s="11">
        <f>IF($B151="","",RANK($D151,$D$2:$D$1501)+COUNTIF($D$2:D151,$D151)-1)</f>
        <v>49</v>
      </c>
    </row>
    <row r="152" spans="1:7">
      <c r="A152" s="11">
        <v>151</v>
      </c>
      <c r="B152" s="11" t="str">
        <f>IFERROR(INDEX('Raw Data'!$R$2:$R$50000,MATCH(151,'Raw Data'!$W$2:$W$50000,0)),"")</f>
        <v>Fahri,Gatot</v>
      </c>
      <c r="C152" s="11" t="str">
        <f t="shared" si="2"/>
        <v>Fahri,Gatot</v>
      </c>
      <c r="D152" s="11">
        <f>IF($B152="","",COUNTIFS('Raw Data'!$R$2:$R$50000,$B152))</f>
        <v>1</v>
      </c>
      <c r="E152" s="11">
        <f>IF($B152="","",SUMIFS('Raw Data'!$I$2:$I$50000,'Raw Data'!$R$2:$R$50000,$B152))</f>
        <v>70000</v>
      </c>
      <c r="F152" s="11">
        <f>IF($B152="","",RANK($E152,$E$2:$E$1501)+COUNTIF($E$2:E152,$E152)-1)</f>
        <v>51</v>
      </c>
      <c r="G152" s="11">
        <f>IF($B152="","",RANK($D152,$D$2:$D$1501)+COUNTIF($D$2:D152,$D152)-1)</f>
        <v>164</v>
      </c>
    </row>
    <row r="153" spans="1:7">
      <c r="A153" s="11">
        <v>152</v>
      </c>
      <c r="B153" s="11" t="str">
        <f>IFERROR(INDEX('Raw Data'!$R$2:$R$50000,MATCH(152,'Raw Data'!$W$2:$W$50000,0)),"")</f>
        <v>Jefta Edward Mandagie</v>
      </c>
      <c r="C153" s="11" t="str">
        <f t="shared" si="2"/>
        <v>Jefta Edward Mandagie</v>
      </c>
      <c r="D153" s="11">
        <f>IF($B153="","",COUNTIFS('Raw Data'!$R$2:$R$50000,$B153))</f>
        <v>1</v>
      </c>
      <c r="E153" s="11">
        <f>IF($B153="","",SUMIFS('Raw Data'!$I$2:$I$50000,'Raw Data'!$R$2:$R$50000,$B153))</f>
        <v>12000</v>
      </c>
      <c r="F153" s="11">
        <f>IF($B153="","",RANK($E153,$E$2:$E$1501)+COUNTIF($E$2:E153,$E153)-1)</f>
        <v>187</v>
      </c>
      <c r="G153" s="11">
        <f>IF($B153="","",RANK($D153,$D$2:$D$1501)+COUNTIF($D$2:D153,$D153)-1)</f>
        <v>165</v>
      </c>
    </row>
    <row r="154" spans="1:7">
      <c r="A154" s="11">
        <v>153</v>
      </c>
      <c r="B154" s="11" t="str">
        <f>IFERROR(INDEX('Raw Data'!$R$2:$R$50000,MATCH(153,'Raw Data'!$W$2:$W$50000,0)),"")</f>
        <v xml:space="preserve">VICTOR, MAMA YAYAH </v>
      </c>
      <c r="C154" s="11" t="str">
        <f t="shared" si="2"/>
        <v xml:space="preserve">VICTOR, MAMA YAYAH </v>
      </c>
      <c r="D154" s="11">
        <f>IF($B154="","",COUNTIFS('Raw Data'!$R$2:$R$50000,$B154))</f>
        <v>2</v>
      </c>
      <c r="E154" s="11">
        <f>IF($B154="","",SUMIFS('Raw Data'!$I$2:$I$50000,'Raw Data'!$R$2:$R$50000,$B154))</f>
        <v>24000</v>
      </c>
      <c r="F154" s="11">
        <f>IF($B154="","",RANK($E154,$E$2:$E$1501)+COUNTIF($E$2:E154,$E154)-1)</f>
        <v>132</v>
      </c>
      <c r="G154" s="11">
        <f>IF($B154="","",RANK($D154,$D$2:$D$1501)+COUNTIF($D$2:D154,$D154)-1)</f>
        <v>79</v>
      </c>
    </row>
    <row r="155" spans="1:7">
      <c r="A155" s="11">
        <v>154</v>
      </c>
      <c r="B155" s="11" t="str">
        <f>IFERROR(INDEX('Raw Data'!$R$2:$R$50000,MATCH(154,'Raw Data'!$W$2:$W$50000,0)),"")</f>
        <v xml:space="preserve">CENCEN </v>
      </c>
      <c r="C155" s="11" t="str">
        <f t="shared" si="2"/>
        <v xml:space="preserve">CENCEN </v>
      </c>
      <c r="D155" s="11">
        <f>IF($B155="","",COUNTIFS('Raw Data'!$R$2:$R$50000,$B155))</f>
        <v>5</v>
      </c>
      <c r="E155" s="11">
        <f>IF($B155="","",SUMIFS('Raw Data'!$I$2:$I$50000,'Raw Data'!$R$2:$R$50000,$B155))</f>
        <v>91000</v>
      </c>
      <c r="F155" s="11">
        <f>IF($B155="","",RANK($E155,$E$2:$E$1501)+COUNTIF($E$2:E155,$E155)-1)</f>
        <v>41</v>
      </c>
      <c r="G155" s="11">
        <f>IF($B155="","",RANK($D155,$D$2:$D$1501)+COUNTIF($D$2:D155,$D155)-1)</f>
        <v>28</v>
      </c>
    </row>
    <row r="156" spans="1:7">
      <c r="A156" s="11">
        <v>155</v>
      </c>
      <c r="B156" s="11" t="str">
        <f>IFERROR(INDEX('Raw Data'!$R$2:$R$50000,MATCH(155,'Raw Data'!$W$2:$W$50000,0)),"")</f>
        <v>Floopyhouse</v>
      </c>
      <c r="C156" s="11" t="str">
        <f t="shared" si="2"/>
        <v>Floopyhouse</v>
      </c>
      <c r="D156" s="11">
        <f>IF($B156="","",COUNTIFS('Raw Data'!$R$2:$R$50000,$B156))</f>
        <v>1</v>
      </c>
      <c r="E156" s="11">
        <f>IF($B156="","",SUMIFS('Raw Data'!$I$2:$I$50000,'Raw Data'!$R$2:$R$50000,$B156))</f>
        <v>12000</v>
      </c>
      <c r="F156" s="11">
        <f>IF($B156="","",RANK($E156,$E$2:$E$1501)+COUNTIF($E$2:E156,$E156)-1)</f>
        <v>188</v>
      </c>
      <c r="G156" s="11">
        <f>IF($B156="","",RANK($D156,$D$2:$D$1501)+COUNTIF($D$2:D156,$D156)-1)</f>
        <v>166</v>
      </c>
    </row>
    <row r="157" spans="1:7">
      <c r="A157" s="11">
        <v>156</v>
      </c>
      <c r="B157" s="11" t="str">
        <f>IFERROR(INDEX('Raw Data'!$R$2:$R$50000,MATCH(156,'Raw Data'!$W$2:$W$50000,0)),"")</f>
        <v>Niken Hartanti</v>
      </c>
      <c r="C157" s="11" t="str">
        <f t="shared" si="2"/>
        <v>Niken Hartanti</v>
      </c>
      <c r="D157" s="11">
        <f>IF($B157="","",COUNTIFS('Raw Data'!$R$2:$R$50000,$B157))</f>
        <v>2</v>
      </c>
      <c r="E157" s="11">
        <f>IF($B157="","",SUMIFS('Raw Data'!$I$2:$I$50000,'Raw Data'!$R$2:$R$50000,$B157))</f>
        <v>36000</v>
      </c>
      <c r="F157" s="11">
        <f>IF($B157="","",RANK($E157,$E$2:$E$1501)+COUNTIF($E$2:E157,$E157)-1)</f>
        <v>98</v>
      </c>
      <c r="G157" s="11">
        <f>IF($B157="","",RANK($D157,$D$2:$D$1501)+COUNTIF($D$2:D157,$D157)-1)</f>
        <v>80</v>
      </c>
    </row>
    <row r="158" spans="1:7">
      <c r="A158" s="11">
        <v>157</v>
      </c>
      <c r="B158" s="11" t="str">
        <f>IFERROR(INDEX('Raw Data'!$R$2:$R$50000,MATCH(157,'Raw Data'!$W$2:$W$50000,0)),"")</f>
        <v>Kerin Putri</v>
      </c>
      <c r="C158" s="11" t="str">
        <f t="shared" si="2"/>
        <v>Kerin Putri</v>
      </c>
      <c r="D158" s="11">
        <f>IF($B158="","",COUNTIFS('Raw Data'!$R$2:$R$50000,$B158))</f>
        <v>1</v>
      </c>
      <c r="E158" s="11">
        <f>IF($B158="","",SUMIFS('Raw Data'!$I$2:$I$50000,'Raw Data'!$R$2:$R$50000,$B158))</f>
        <v>12000</v>
      </c>
      <c r="F158" s="11">
        <f>IF($B158="","",RANK($E158,$E$2:$E$1501)+COUNTIF($E$2:E158,$E158)-1)</f>
        <v>189</v>
      </c>
      <c r="G158" s="11">
        <f>IF($B158="","",RANK($D158,$D$2:$D$1501)+COUNTIF($D$2:D158,$D158)-1)</f>
        <v>167</v>
      </c>
    </row>
    <row r="159" spans="1:7">
      <c r="A159" s="11">
        <v>158</v>
      </c>
      <c r="B159" s="11" t="str">
        <f>IFERROR(INDEX('Raw Data'!$R$2:$R$50000,MATCH(158,'Raw Data'!$W$2:$W$50000,0)),"")</f>
        <v>Siti Julaeha</v>
      </c>
      <c r="C159" s="11" t="str">
        <f t="shared" si="2"/>
        <v>Siti Julaeha</v>
      </c>
      <c r="D159" s="11">
        <f>IF($B159="","",COUNTIFS('Raw Data'!$R$2:$R$50000,$B159))</f>
        <v>1</v>
      </c>
      <c r="E159" s="11">
        <f>IF($B159="","",SUMIFS('Raw Data'!$I$2:$I$50000,'Raw Data'!$R$2:$R$50000,$B159))</f>
        <v>21000</v>
      </c>
      <c r="F159" s="11">
        <f>IF($B159="","",RANK($E159,$E$2:$E$1501)+COUNTIF($E$2:E159,$E159)-1)</f>
        <v>138</v>
      </c>
      <c r="G159" s="11">
        <f>IF($B159="","",RANK($D159,$D$2:$D$1501)+COUNTIF($D$2:D159,$D159)-1)</f>
        <v>168</v>
      </c>
    </row>
    <row r="160" spans="1:7">
      <c r="A160" s="11">
        <v>159</v>
      </c>
      <c r="B160" s="11" t="str">
        <f>IFERROR(INDEX('Raw Data'!$R$2:$R$50000,MATCH(159,'Raw Data'!$W$2:$W$50000,0)),"")</f>
        <v xml:space="preserve">SANDER </v>
      </c>
      <c r="C160" s="11" t="str">
        <f t="shared" si="2"/>
        <v xml:space="preserve">SANDER </v>
      </c>
      <c r="D160" s="11">
        <f>IF($B160="","",COUNTIFS('Raw Data'!$R$2:$R$50000,$B160))</f>
        <v>1</v>
      </c>
      <c r="E160" s="11">
        <f>IF($B160="","",SUMIFS('Raw Data'!$I$2:$I$50000,'Raw Data'!$R$2:$R$50000,$B160))</f>
        <v>12000</v>
      </c>
      <c r="F160" s="11">
        <f>IF($B160="","",RANK($E160,$E$2:$E$1501)+COUNTIF($E$2:E160,$E160)-1)</f>
        <v>190</v>
      </c>
      <c r="G160" s="11">
        <f>IF($B160="","",RANK($D160,$D$2:$D$1501)+COUNTIF($D$2:D160,$D160)-1)</f>
        <v>169</v>
      </c>
    </row>
    <row r="161" spans="1:7">
      <c r="A161" s="11">
        <v>160</v>
      </c>
      <c r="B161" s="11" t="str">
        <f>IFERROR(INDEX('Raw Data'!$R$2:$R$50000,MATCH(160,'Raw Data'!$W$2:$W$50000,0)),"")</f>
        <v>Dhella Laksana</v>
      </c>
      <c r="C161" s="11" t="str">
        <f t="shared" si="2"/>
        <v>Dhella Laksana</v>
      </c>
      <c r="D161" s="11">
        <f>IF($B161="","",COUNTIFS('Raw Data'!$R$2:$R$50000,$B161))</f>
        <v>1</v>
      </c>
      <c r="E161" s="11">
        <f>IF($B161="","",SUMIFS('Raw Data'!$I$2:$I$50000,'Raw Data'!$R$2:$R$50000,$B161))</f>
        <v>12000</v>
      </c>
      <c r="F161" s="11">
        <f>IF($B161="","",RANK($E161,$E$2:$E$1501)+COUNTIF($E$2:E161,$E161)-1)</f>
        <v>191</v>
      </c>
      <c r="G161" s="11">
        <f>IF($B161="","",RANK($D161,$D$2:$D$1501)+COUNTIF($D$2:D161,$D161)-1)</f>
        <v>170</v>
      </c>
    </row>
    <row r="162" spans="1:7">
      <c r="A162" s="11">
        <v>161</v>
      </c>
      <c r="B162" s="11" t="str">
        <f>IFERROR(INDEX('Raw Data'!$R$2:$R$50000,MATCH(161,'Raw Data'!$W$2:$W$50000,0)),"")</f>
        <v>Mayall</v>
      </c>
      <c r="C162" s="11" t="str">
        <f t="shared" si="2"/>
        <v>Mayall</v>
      </c>
      <c r="D162" s="11">
        <f>IF($B162="","",COUNTIFS('Raw Data'!$R$2:$R$50000,$B162))</f>
        <v>1</v>
      </c>
      <c r="E162" s="11">
        <f>IF($B162="","",SUMIFS('Raw Data'!$I$2:$I$50000,'Raw Data'!$R$2:$R$50000,$B162))</f>
        <v>12000</v>
      </c>
      <c r="F162" s="11">
        <f>IF($B162="","",RANK($E162,$E$2:$E$1501)+COUNTIF($E$2:E162,$E162)-1)</f>
        <v>192</v>
      </c>
      <c r="G162" s="11">
        <f>IF($B162="","",RANK($D162,$D$2:$D$1501)+COUNTIF($D$2:D162,$D162)-1)</f>
        <v>171</v>
      </c>
    </row>
    <row r="163" spans="1:7">
      <c r="A163" s="11">
        <v>162</v>
      </c>
      <c r="B163" s="11" t="str">
        <f>IFERROR(INDEX('Raw Data'!$R$2:$R$50000,MATCH(162,'Raw Data'!$W$2:$W$50000,0)),"")</f>
        <v>Hodijah</v>
      </c>
      <c r="C163" s="11" t="str">
        <f t="shared" si="2"/>
        <v>Hodijah</v>
      </c>
      <c r="D163" s="11">
        <f>IF($B163="","",COUNTIFS('Raw Data'!$R$2:$R$50000,$B163))</f>
        <v>1</v>
      </c>
      <c r="E163" s="11">
        <f>IF($B163="","",SUMIFS('Raw Data'!$I$2:$I$50000,'Raw Data'!$R$2:$R$50000,$B163))</f>
        <v>12000</v>
      </c>
      <c r="F163" s="11">
        <f>IF($B163="","",RANK($E163,$E$2:$E$1501)+COUNTIF($E$2:E163,$E163)-1)</f>
        <v>193</v>
      </c>
      <c r="G163" s="11">
        <f>IF($B163="","",RANK($D163,$D$2:$D$1501)+COUNTIF($D$2:D163,$D163)-1)</f>
        <v>172</v>
      </c>
    </row>
    <row r="164" spans="1:7">
      <c r="A164" s="11">
        <v>163</v>
      </c>
      <c r="B164" s="11" t="str">
        <f>IFERROR(INDEX('Raw Data'!$R$2:$R$50000,MATCH(163,'Raw Data'!$W$2:$W$50000,0)),"")</f>
        <v>Rangga Adi Wicaksono</v>
      </c>
      <c r="C164" s="11" t="str">
        <f t="shared" si="2"/>
        <v>Rangga Adi Wicaksono</v>
      </c>
      <c r="D164" s="11">
        <f>IF($B164="","",COUNTIFS('Raw Data'!$R$2:$R$50000,$B164))</f>
        <v>1</v>
      </c>
      <c r="E164" s="11">
        <f>IF($B164="","",SUMIFS('Raw Data'!$I$2:$I$50000,'Raw Data'!$R$2:$R$50000,$B164))</f>
        <v>30000</v>
      </c>
      <c r="F164" s="11">
        <f>IF($B164="","",RANK($E164,$E$2:$E$1501)+COUNTIF($E$2:E164,$E164)-1)</f>
        <v>104</v>
      </c>
      <c r="G164" s="11">
        <f>IF($B164="","",RANK($D164,$D$2:$D$1501)+COUNTIF($D$2:D164,$D164)-1)</f>
        <v>173</v>
      </c>
    </row>
    <row r="165" spans="1:7">
      <c r="A165" s="11">
        <v>164</v>
      </c>
      <c r="B165" s="11" t="str">
        <f>IFERROR(INDEX('Raw Data'!$R$2:$R$50000,MATCH(164,'Raw Data'!$W$2:$W$50000,0)),"")</f>
        <v>Nia</v>
      </c>
      <c r="C165" s="11" t="str">
        <f t="shared" si="2"/>
        <v>Nia</v>
      </c>
      <c r="D165" s="11">
        <f>IF($B165="","",COUNTIFS('Raw Data'!$R$2:$R$50000,$B165))</f>
        <v>1</v>
      </c>
      <c r="E165" s="11">
        <f>IF($B165="","",SUMIFS('Raw Data'!$I$2:$I$50000,'Raw Data'!$R$2:$R$50000,$B165))</f>
        <v>29000</v>
      </c>
      <c r="F165" s="11">
        <f>IF($B165="","",RANK($E165,$E$2:$E$1501)+COUNTIF($E$2:E165,$E165)-1)</f>
        <v>108</v>
      </c>
      <c r="G165" s="11">
        <f>IF($B165="","",RANK($D165,$D$2:$D$1501)+COUNTIF($D$2:D165,$D165)-1)</f>
        <v>174</v>
      </c>
    </row>
    <row r="166" spans="1:7">
      <c r="A166" s="11">
        <v>165</v>
      </c>
      <c r="B166" s="11" t="str">
        <f>IFERROR(INDEX('Raw Data'!$R$2:$R$50000,MATCH(165,'Raw Data'!$W$2:$W$50000,0)),"")</f>
        <v>bimbim ramadhan</v>
      </c>
      <c r="C166" s="11" t="str">
        <f t="shared" si="2"/>
        <v>bimbim ramadhan</v>
      </c>
      <c r="D166" s="11">
        <f>IF($B166="","",COUNTIFS('Raw Data'!$R$2:$R$50000,$B166))</f>
        <v>2</v>
      </c>
      <c r="E166" s="11">
        <f>IF($B166="","",SUMIFS('Raw Data'!$I$2:$I$50000,'Raw Data'!$R$2:$R$50000,$B166))</f>
        <v>21000</v>
      </c>
      <c r="F166" s="11">
        <f>IF($B166="","",RANK($E166,$E$2:$E$1501)+COUNTIF($E$2:E166,$E166)-1)</f>
        <v>139</v>
      </c>
      <c r="G166" s="11">
        <f>IF($B166="","",RANK($D166,$D$2:$D$1501)+COUNTIF($D$2:D166,$D166)-1)</f>
        <v>81</v>
      </c>
    </row>
    <row r="167" spans="1:7">
      <c r="A167" s="11">
        <v>166</v>
      </c>
      <c r="B167" s="11" t="str">
        <f>IFERROR(INDEX('Raw Data'!$R$2:$R$50000,MATCH(166,'Raw Data'!$W$2:$W$50000,0)),"")</f>
        <v>RAHMAT KURNIA</v>
      </c>
      <c r="C167" s="11" t="str">
        <f t="shared" si="2"/>
        <v>RAHMAT KURNIA</v>
      </c>
      <c r="D167" s="11">
        <f>IF($B167="","",COUNTIFS('Raw Data'!$R$2:$R$50000,$B167))</f>
        <v>1</v>
      </c>
      <c r="E167" s="11">
        <f>IF($B167="","",SUMIFS('Raw Data'!$I$2:$I$50000,'Raw Data'!$R$2:$R$50000,$B167))</f>
        <v>49500</v>
      </c>
      <c r="F167" s="11">
        <f>IF($B167="","",RANK($E167,$E$2:$E$1501)+COUNTIF($E$2:E167,$E167)-1)</f>
        <v>73</v>
      </c>
      <c r="G167" s="11">
        <f>IF($B167="","",RANK($D167,$D$2:$D$1501)+COUNTIF($D$2:D167,$D167)-1)</f>
        <v>175</v>
      </c>
    </row>
    <row r="168" spans="1:7">
      <c r="A168" s="11">
        <v>167</v>
      </c>
      <c r="B168" s="11" t="str">
        <f>IFERROR(INDEX('Raw Data'!$R$2:$R$50000,MATCH(167,'Raw Data'!$W$2:$W$50000,0)),"")</f>
        <v>FUKOUHEI STORE</v>
      </c>
      <c r="C168" s="11" t="str">
        <f t="shared" si="2"/>
        <v>FUKOUHEI STORE</v>
      </c>
      <c r="D168" s="11">
        <f>IF($B168="","",COUNTIFS('Raw Data'!$R$2:$R$50000,$B168))</f>
        <v>1</v>
      </c>
      <c r="E168" s="11">
        <f>IF($B168="","",SUMIFS('Raw Data'!$I$2:$I$50000,'Raw Data'!$R$2:$R$50000,$B168))</f>
        <v>12000</v>
      </c>
      <c r="F168" s="11">
        <f>IF($B168="","",RANK($E168,$E$2:$E$1501)+COUNTIF($E$2:E168,$E168)-1)</f>
        <v>194</v>
      </c>
      <c r="G168" s="11">
        <f>IF($B168="","",RANK($D168,$D$2:$D$1501)+COUNTIF($D$2:D168,$D168)-1)</f>
        <v>176</v>
      </c>
    </row>
    <row r="169" spans="1:7">
      <c r="A169" s="11">
        <v>168</v>
      </c>
      <c r="B169" s="11" t="str">
        <f>IFERROR(INDEX('Raw Data'!$R$2:$R$50000,MATCH(168,'Raw Data'!$W$2:$W$50000,0)),"")</f>
        <v>Lynkids Collection</v>
      </c>
      <c r="C169" s="11" t="str">
        <f t="shared" si="2"/>
        <v>Lynkids Collection</v>
      </c>
      <c r="D169" s="11">
        <f>IF($B169="","",COUNTIFS('Raw Data'!$R$2:$R$50000,$B169))</f>
        <v>1</v>
      </c>
      <c r="E169" s="11">
        <f>IF($B169="","",SUMIFS('Raw Data'!$I$2:$I$50000,'Raw Data'!$R$2:$R$50000,$B169))</f>
        <v>49500</v>
      </c>
      <c r="F169" s="11">
        <f>IF($B169="","",RANK($E169,$E$2:$E$1501)+COUNTIF($E$2:E169,$E169)-1)</f>
        <v>74</v>
      </c>
      <c r="G169" s="11">
        <f>IF($B169="","",RANK($D169,$D$2:$D$1501)+COUNTIF($D$2:D169,$D169)-1)</f>
        <v>177</v>
      </c>
    </row>
    <row r="170" spans="1:7">
      <c r="A170" s="11">
        <v>169</v>
      </c>
      <c r="B170" s="11" t="str">
        <f>IFERROR(INDEX('Raw Data'!$R$2:$R$50000,MATCH(169,'Raw Data'!$W$2:$W$50000,0)),"")</f>
        <v>Alwie Chandra</v>
      </c>
      <c r="C170" s="11" t="str">
        <f t="shared" si="2"/>
        <v>Alwie Chandra</v>
      </c>
      <c r="D170" s="11">
        <f>IF($B170="","",COUNTIFS('Raw Data'!$R$2:$R$50000,$B170))</f>
        <v>1</v>
      </c>
      <c r="E170" s="11">
        <f>IF($B170="","",SUMIFS('Raw Data'!$I$2:$I$50000,'Raw Data'!$R$2:$R$50000,$B170))</f>
        <v>24000</v>
      </c>
      <c r="F170" s="11">
        <f>IF($B170="","",RANK($E170,$E$2:$E$1501)+COUNTIF($E$2:E170,$E170)-1)</f>
        <v>133</v>
      </c>
      <c r="G170" s="11">
        <f>IF($B170="","",RANK($D170,$D$2:$D$1501)+COUNTIF($D$2:D170,$D170)-1)</f>
        <v>178</v>
      </c>
    </row>
    <row r="171" spans="1:7">
      <c r="A171" s="11">
        <v>170</v>
      </c>
      <c r="B171" s="11" t="str">
        <f>IFERROR(INDEX('Raw Data'!$R$2:$R$50000,MATCH(170,'Raw Data'!$W$2:$W$50000,0)),"")</f>
        <v>Billa Zhian</v>
      </c>
      <c r="C171" s="11" t="str">
        <f t="shared" si="2"/>
        <v>Billa Zhian</v>
      </c>
      <c r="D171" s="11">
        <f>IF($B171="","",COUNTIFS('Raw Data'!$R$2:$R$50000,$B171))</f>
        <v>1</v>
      </c>
      <c r="E171" s="11">
        <f>IF($B171="","",SUMIFS('Raw Data'!$I$2:$I$50000,'Raw Data'!$R$2:$R$50000,$B171))</f>
        <v>12000</v>
      </c>
      <c r="F171" s="11">
        <f>IF($B171="","",RANK($E171,$E$2:$E$1501)+COUNTIF($E$2:E171,$E171)-1)</f>
        <v>195</v>
      </c>
      <c r="G171" s="11">
        <f>IF($B171="","",RANK($D171,$D$2:$D$1501)+COUNTIF($D$2:D171,$D171)-1)</f>
        <v>179</v>
      </c>
    </row>
    <row r="172" spans="1:7">
      <c r="A172" s="11">
        <v>171</v>
      </c>
      <c r="B172" s="11" t="str">
        <f>IFERROR(INDEX('Raw Data'!$R$2:$R$50000,MATCH(171,'Raw Data'!$W$2:$W$50000,0)),"")</f>
        <v>tabitaolshop</v>
      </c>
      <c r="C172" s="11" t="str">
        <f t="shared" si="2"/>
        <v>tabitaolshop</v>
      </c>
      <c r="D172" s="11">
        <f>IF($B172="","",COUNTIFS('Raw Data'!$R$2:$R$50000,$B172))</f>
        <v>3</v>
      </c>
      <c r="E172" s="11">
        <f>IF($B172="","",SUMIFS('Raw Data'!$I$2:$I$50000,'Raw Data'!$R$2:$R$50000,$B172))</f>
        <v>40000</v>
      </c>
      <c r="F172" s="11">
        <f>IF($B172="","",RANK($E172,$E$2:$E$1501)+COUNTIF($E$2:E172,$E172)-1)</f>
        <v>88</v>
      </c>
      <c r="G172" s="11">
        <f>IF($B172="","",RANK($D172,$D$2:$D$1501)+COUNTIF($D$2:D172,$D172)-1)</f>
        <v>50</v>
      </c>
    </row>
    <row r="173" spans="1:7">
      <c r="A173" s="11">
        <v>172</v>
      </c>
      <c r="B173" s="11" t="str">
        <f>IFERROR(INDEX('Raw Data'!$R$2:$R$50000,MATCH(172,'Raw Data'!$W$2:$W$50000,0)),"")</f>
        <v xml:space="preserve">SUSANTY </v>
      </c>
      <c r="C173" s="11" t="str">
        <f t="shared" si="2"/>
        <v xml:space="preserve">SUSANTY </v>
      </c>
      <c r="D173" s="11">
        <f>IF($B173="","",COUNTIFS('Raw Data'!$R$2:$R$50000,$B173))</f>
        <v>1</v>
      </c>
      <c r="E173" s="11">
        <f>IF($B173="","",SUMIFS('Raw Data'!$I$2:$I$50000,'Raw Data'!$R$2:$R$50000,$B173))</f>
        <v>30000</v>
      </c>
      <c r="F173" s="11">
        <f>IF($B173="","",RANK($E173,$E$2:$E$1501)+COUNTIF($E$2:E173,$E173)-1)</f>
        <v>105</v>
      </c>
      <c r="G173" s="11">
        <f>IF($B173="","",RANK($D173,$D$2:$D$1501)+COUNTIF($D$2:D173,$D173)-1)</f>
        <v>180</v>
      </c>
    </row>
    <row r="174" spans="1:7">
      <c r="A174" s="11">
        <v>173</v>
      </c>
      <c r="B174" s="11" t="str">
        <f>IFERROR(INDEX('Raw Data'!$R$2:$R$50000,MATCH(173,'Raw Data'!$W$2:$W$50000,0)),"")</f>
        <v>Arjuna</v>
      </c>
      <c r="C174" s="11" t="str">
        <f t="shared" si="2"/>
        <v>Arjuna</v>
      </c>
      <c r="D174" s="11">
        <f>IF($B174="","",COUNTIFS('Raw Data'!$R$2:$R$50000,$B174))</f>
        <v>1</v>
      </c>
      <c r="E174" s="11">
        <f>IF($B174="","",SUMIFS('Raw Data'!$I$2:$I$50000,'Raw Data'!$R$2:$R$50000,$B174))</f>
        <v>34000</v>
      </c>
      <c r="F174" s="11">
        <f>IF($B174="","",RANK($E174,$E$2:$E$1501)+COUNTIF($E$2:E174,$E174)-1)</f>
        <v>99</v>
      </c>
      <c r="G174" s="11">
        <f>IF($B174="","",RANK($D174,$D$2:$D$1501)+COUNTIF($D$2:D174,$D174)-1)</f>
        <v>181</v>
      </c>
    </row>
    <row r="175" spans="1:7">
      <c r="A175" s="11">
        <v>174</v>
      </c>
      <c r="B175" s="11" t="str">
        <f>IFERROR(INDEX('Raw Data'!$R$2:$R$50000,MATCH(174,'Raw Data'!$W$2:$W$50000,0)),"")</f>
        <v xml:space="preserve">VALENTINE FERINA GHEA </v>
      </c>
      <c r="C175" s="11" t="str">
        <f t="shared" si="2"/>
        <v xml:space="preserve">VALENTINE FERINA GHEA </v>
      </c>
      <c r="D175" s="11">
        <f>IF($B175="","",COUNTIFS('Raw Data'!$R$2:$R$50000,$B175))</f>
        <v>1</v>
      </c>
      <c r="E175" s="11">
        <f>IF($B175="","",SUMIFS('Raw Data'!$I$2:$I$50000,'Raw Data'!$R$2:$R$50000,$B175))</f>
        <v>58000</v>
      </c>
      <c r="F175" s="11">
        <f>IF($B175="","",RANK($E175,$E$2:$E$1501)+COUNTIF($E$2:E175,$E175)-1)</f>
        <v>62</v>
      </c>
      <c r="G175" s="11">
        <f>IF($B175="","",RANK($D175,$D$2:$D$1501)+COUNTIF($D$2:D175,$D175)-1)</f>
        <v>182</v>
      </c>
    </row>
    <row r="176" spans="1:7">
      <c r="A176" s="11">
        <v>175</v>
      </c>
      <c r="B176" s="11" t="str">
        <f>IFERROR(INDEX('Raw Data'!$R$2:$R$50000,MATCH(175,'Raw Data'!$W$2:$W$50000,0)),"")</f>
        <v>Sandy Gt</v>
      </c>
      <c r="C176" s="11" t="str">
        <f t="shared" si="2"/>
        <v>Sandy Gt</v>
      </c>
      <c r="D176" s="11">
        <f>IF($B176="","",COUNTIFS('Raw Data'!$R$2:$R$50000,$B176))</f>
        <v>1</v>
      </c>
      <c r="E176" s="11">
        <f>IF($B176="","",SUMIFS('Raw Data'!$I$2:$I$50000,'Raw Data'!$R$2:$R$50000,$B176))</f>
        <v>120000</v>
      </c>
      <c r="F176" s="11">
        <f>IF($B176="","",RANK($E176,$E$2:$E$1501)+COUNTIF($E$2:E176,$E176)-1)</f>
        <v>30</v>
      </c>
      <c r="G176" s="11">
        <f>IF($B176="","",RANK($D176,$D$2:$D$1501)+COUNTIF($D$2:D176,$D176)-1)</f>
        <v>183</v>
      </c>
    </row>
    <row r="177" spans="1:7">
      <c r="A177" s="11">
        <v>176</v>
      </c>
      <c r="B177" s="11" t="str">
        <f>IFERROR(INDEX('Raw Data'!$R$2:$R$50000,MATCH(176,'Raw Data'!$W$2:$W$50000,0)),"")</f>
        <v>cupacup</v>
      </c>
      <c r="C177" s="11" t="str">
        <f t="shared" si="2"/>
        <v>cupacup</v>
      </c>
      <c r="D177" s="11">
        <f>IF($B177="","",COUNTIFS('Raw Data'!$R$2:$R$50000,$B177))</f>
        <v>1</v>
      </c>
      <c r="E177" s="11">
        <f>IF($B177="","",SUMIFS('Raw Data'!$I$2:$I$50000,'Raw Data'!$R$2:$R$50000,$B177))</f>
        <v>105000</v>
      </c>
      <c r="F177" s="11">
        <f>IF($B177="","",RANK($E177,$E$2:$E$1501)+COUNTIF($E$2:E177,$E177)-1)</f>
        <v>36</v>
      </c>
      <c r="G177" s="11">
        <f>IF($B177="","",RANK($D177,$D$2:$D$1501)+COUNTIF($D$2:D177,$D177)-1)</f>
        <v>184</v>
      </c>
    </row>
    <row r="178" spans="1:7">
      <c r="A178" s="11">
        <v>177</v>
      </c>
      <c r="B178" s="11" t="str">
        <f>IFERROR(INDEX('Raw Data'!$R$2:$R$50000,MATCH(177,'Raw Data'!$W$2:$W$50000,0)),"")</f>
        <v xml:space="preserve">ANDRI SUSANTO </v>
      </c>
      <c r="C178" s="11" t="str">
        <f t="shared" si="2"/>
        <v xml:space="preserve">ANDRI SUSANTO </v>
      </c>
      <c r="D178" s="11">
        <f>IF($B178="","",COUNTIFS('Raw Data'!$R$2:$R$50000,$B178))</f>
        <v>3</v>
      </c>
      <c r="E178" s="11">
        <f>IF($B178="","",SUMIFS('Raw Data'!$I$2:$I$50000,'Raw Data'!$R$2:$R$50000,$B178))</f>
        <v>60000</v>
      </c>
      <c r="F178" s="11">
        <f>IF($B178="","",RANK($E178,$E$2:$E$1501)+COUNTIF($E$2:E178,$E178)-1)</f>
        <v>58</v>
      </c>
      <c r="G178" s="11">
        <f>IF($B178="","",RANK($D178,$D$2:$D$1501)+COUNTIF($D$2:D178,$D178)-1)</f>
        <v>51</v>
      </c>
    </row>
    <row r="179" spans="1:7">
      <c r="A179" s="11">
        <v>178</v>
      </c>
      <c r="B179" s="11" t="str">
        <f>IFERROR(INDEX('Raw Data'!$R$2:$R$50000,MATCH(178,'Raw Data'!$W$2:$W$50000,0)),"")</f>
        <v>Wiwik Setyaningsih</v>
      </c>
      <c r="C179" s="11" t="str">
        <f t="shared" si="2"/>
        <v>Wiwik Setyaningsih</v>
      </c>
      <c r="D179" s="11">
        <f>IF($B179="","",COUNTIFS('Raw Data'!$R$2:$R$50000,$B179))</f>
        <v>2</v>
      </c>
      <c r="E179" s="11">
        <f>IF($B179="","",SUMIFS('Raw Data'!$I$2:$I$50000,'Raw Data'!$R$2:$R$50000,$B179))</f>
        <v>56000</v>
      </c>
      <c r="F179" s="11">
        <f>IF($B179="","",RANK($E179,$E$2:$E$1501)+COUNTIF($E$2:E179,$E179)-1)</f>
        <v>66</v>
      </c>
      <c r="G179" s="11">
        <f>IF($B179="","",RANK($D179,$D$2:$D$1501)+COUNTIF($D$2:D179,$D179)-1)</f>
        <v>82</v>
      </c>
    </row>
    <row r="180" spans="1:7">
      <c r="A180" s="11">
        <v>179</v>
      </c>
      <c r="B180" s="11" t="str">
        <f>IFERROR(INDEX('Raw Data'!$R$2:$R$50000,MATCH(179,'Raw Data'!$W$2:$W$50000,0)),"")</f>
        <v>LINDA</v>
      </c>
      <c r="C180" s="11" t="str">
        <f t="shared" si="2"/>
        <v>LINDA</v>
      </c>
      <c r="D180" s="11">
        <f>IF($B180="","",COUNTIFS('Raw Data'!$R$2:$R$50000,$B180))</f>
        <v>1</v>
      </c>
      <c r="E180" s="11">
        <f>IF($B180="","",SUMIFS('Raw Data'!$I$2:$I$50000,'Raw Data'!$R$2:$R$50000,$B180))</f>
        <v>27000</v>
      </c>
      <c r="F180" s="11">
        <f>IF($B180="","",RANK($E180,$E$2:$E$1501)+COUNTIF($E$2:E180,$E180)-1)</f>
        <v>113</v>
      </c>
      <c r="G180" s="11">
        <f>IF($B180="","",RANK($D180,$D$2:$D$1501)+COUNTIF($D$2:D180,$D180)-1)</f>
        <v>185</v>
      </c>
    </row>
    <row r="181" spans="1:7">
      <c r="A181" s="11">
        <v>180</v>
      </c>
      <c r="B181" s="11" t="str">
        <f>IFERROR(INDEX('Raw Data'!$R$2:$R$50000,MATCH(180,'Raw Data'!$W$2:$W$50000,0)),"")</f>
        <v>Marrilyn Gunadi</v>
      </c>
      <c r="C181" s="11" t="str">
        <f t="shared" si="2"/>
        <v>Marrilyn Gunadi</v>
      </c>
      <c r="D181" s="11">
        <f>IF($B181="","",COUNTIFS('Raw Data'!$R$2:$R$50000,$B181))</f>
        <v>1</v>
      </c>
      <c r="E181" s="11">
        <f>IF($B181="","",SUMIFS('Raw Data'!$I$2:$I$50000,'Raw Data'!$R$2:$R$50000,$B181))</f>
        <v>12000</v>
      </c>
      <c r="F181" s="11">
        <f>IF($B181="","",RANK($E181,$E$2:$E$1501)+COUNTIF($E$2:E181,$E181)-1)</f>
        <v>196</v>
      </c>
      <c r="G181" s="11">
        <f>IF($B181="","",RANK($D181,$D$2:$D$1501)+COUNTIF($D$2:D181,$D181)-1)</f>
        <v>186</v>
      </c>
    </row>
    <row r="182" spans="1:7">
      <c r="A182" s="11">
        <v>181</v>
      </c>
      <c r="B182" s="11" t="str">
        <f>IFERROR(INDEX('Raw Data'!$R$2:$R$50000,MATCH(181,'Raw Data'!$W$2:$W$50000,0)),"")</f>
        <v xml:space="preserve">SUSANA21 </v>
      </c>
      <c r="C182" s="11" t="str">
        <f t="shared" si="2"/>
        <v xml:space="preserve">SUSANA21 </v>
      </c>
      <c r="D182" s="11">
        <f>IF($B182="","",COUNTIFS('Raw Data'!$R$2:$R$50000,$B182))</f>
        <v>1</v>
      </c>
      <c r="E182" s="11">
        <f>IF($B182="","",SUMIFS('Raw Data'!$I$2:$I$50000,'Raw Data'!$R$2:$R$50000,$B182))</f>
        <v>12000</v>
      </c>
      <c r="F182" s="11">
        <f>IF($B182="","",RANK($E182,$E$2:$E$1501)+COUNTIF($E$2:E182,$E182)-1)</f>
        <v>197</v>
      </c>
      <c r="G182" s="11">
        <f>IF($B182="","",RANK($D182,$D$2:$D$1501)+COUNTIF($D$2:D182,$D182)-1)</f>
        <v>187</v>
      </c>
    </row>
    <row r="183" spans="1:7">
      <c r="A183" s="11">
        <v>182</v>
      </c>
      <c r="B183" s="11" t="str">
        <f>IFERROR(INDEX('Raw Data'!$R$2:$R$50000,MATCH(182,'Raw Data'!$W$2:$W$50000,0)),"")</f>
        <v>Ayu Monita</v>
      </c>
      <c r="C183" s="11" t="str">
        <f t="shared" si="2"/>
        <v>Ayu Monita</v>
      </c>
      <c r="D183" s="11">
        <f>IF($B183="","",COUNTIFS('Raw Data'!$R$2:$R$50000,$B183))</f>
        <v>1</v>
      </c>
      <c r="E183" s="11">
        <f>IF($B183="","",SUMIFS('Raw Data'!$I$2:$I$50000,'Raw Data'!$R$2:$R$50000,$B183))</f>
        <v>120000</v>
      </c>
      <c r="F183" s="11">
        <f>IF($B183="","",RANK($E183,$E$2:$E$1501)+COUNTIF($E$2:E183,$E183)-1)</f>
        <v>31</v>
      </c>
      <c r="G183" s="11">
        <f>IF($B183="","",RANK($D183,$D$2:$D$1501)+COUNTIF($D$2:D183,$D183)-1)</f>
        <v>188</v>
      </c>
    </row>
    <row r="184" spans="1:7">
      <c r="A184" s="11">
        <v>183</v>
      </c>
      <c r="B184" s="11" t="str">
        <f>IFERROR(INDEX('Raw Data'!$R$2:$R$50000,MATCH(183,'Raw Data'!$W$2:$W$50000,0)),"")</f>
        <v>Herlita</v>
      </c>
      <c r="C184" s="11" t="str">
        <f t="shared" si="2"/>
        <v>Herlita</v>
      </c>
      <c r="D184" s="11">
        <f>IF($B184="","",COUNTIFS('Raw Data'!$R$2:$R$50000,$B184))</f>
        <v>1</v>
      </c>
      <c r="E184" s="11">
        <f>IF($B184="","",SUMIFS('Raw Data'!$I$2:$I$50000,'Raw Data'!$R$2:$R$50000,$B184))</f>
        <v>12000</v>
      </c>
      <c r="F184" s="11">
        <f>IF($B184="","",RANK($E184,$E$2:$E$1501)+COUNTIF($E$2:E184,$E184)-1)</f>
        <v>198</v>
      </c>
      <c r="G184" s="11">
        <f>IF($B184="","",RANK($D184,$D$2:$D$1501)+COUNTIF($D$2:D184,$D184)-1)</f>
        <v>189</v>
      </c>
    </row>
    <row r="185" spans="1:7">
      <c r="A185" s="11">
        <v>184</v>
      </c>
      <c r="B185" s="11" t="str">
        <f>IFERROR(INDEX('Raw Data'!$R$2:$R$50000,MATCH(184,'Raw Data'!$W$2:$W$50000,0)),"")</f>
        <v>Hayatan Frozenmart</v>
      </c>
      <c r="C185" s="11" t="str">
        <f t="shared" si="2"/>
        <v>Hayatan Frozenmart</v>
      </c>
      <c r="D185" s="11">
        <f>IF($B185="","",COUNTIFS('Raw Data'!$R$2:$R$50000,$B185))</f>
        <v>1</v>
      </c>
      <c r="E185" s="11">
        <f>IF($B185="","",SUMIFS('Raw Data'!$I$2:$I$50000,'Raw Data'!$R$2:$R$50000,$B185))</f>
        <v>6000</v>
      </c>
      <c r="F185" s="11">
        <f>IF($B185="","",RANK($E185,$E$2:$E$1501)+COUNTIF($E$2:E185,$E185)-1)</f>
        <v>223</v>
      </c>
      <c r="G185" s="11">
        <f>IF($B185="","",RANK($D185,$D$2:$D$1501)+COUNTIF($D$2:D185,$D185)-1)</f>
        <v>190</v>
      </c>
    </row>
    <row r="186" spans="1:7">
      <c r="A186" s="11">
        <v>185</v>
      </c>
      <c r="B186" s="11" t="str">
        <f>IFERROR(INDEX('Raw Data'!$R$2:$R$50000,MATCH(185,'Raw Data'!$W$2:$W$50000,0)),"")</f>
        <v>Nur Aisah Jamil</v>
      </c>
      <c r="C186" s="11" t="str">
        <f t="shared" si="2"/>
        <v>Nur Aisah Jamil</v>
      </c>
      <c r="D186" s="11">
        <f>IF($B186="","",COUNTIFS('Raw Data'!$R$2:$R$50000,$B186))</f>
        <v>1</v>
      </c>
      <c r="E186" s="11">
        <f>IF($B186="","",SUMIFS('Raw Data'!$I$2:$I$50000,'Raw Data'!$R$2:$R$50000,$B186))</f>
        <v>12000</v>
      </c>
      <c r="F186" s="11">
        <f>IF($B186="","",RANK($E186,$E$2:$E$1501)+COUNTIF($E$2:E186,$E186)-1)</f>
        <v>199</v>
      </c>
      <c r="G186" s="11">
        <f>IF($B186="","",RANK($D186,$D$2:$D$1501)+COUNTIF($D$2:D186,$D186)-1)</f>
        <v>191</v>
      </c>
    </row>
    <row r="187" spans="1:7">
      <c r="A187" s="11">
        <v>186</v>
      </c>
      <c r="B187" s="11" t="str">
        <f>IFERROR(INDEX('Raw Data'!$R$2:$R$50000,MATCH(186,'Raw Data'!$W$2:$W$50000,0)),"")</f>
        <v>Suwartini</v>
      </c>
      <c r="C187" s="11" t="str">
        <f t="shared" si="2"/>
        <v>Suwartini</v>
      </c>
      <c r="D187" s="11">
        <f>IF($B187="","",COUNTIFS('Raw Data'!$R$2:$R$50000,$B187))</f>
        <v>1</v>
      </c>
      <c r="E187" s="11">
        <f>IF($B187="","",SUMIFS('Raw Data'!$I$2:$I$50000,'Raw Data'!$R$2:$R$50000,$B187))</f>
        <v>12000</v>
      </c>
      <c r="F187" s="11">
        <f>IF($B187="","",RANK($E187,$E$2:$E$1501)+COUNTIF($E$2:E187,$E187)-1)</f>
        <v>200</v>
      </c>
      <c r="G187" s="11">
        <f>IF($B187="","",RANK($D187,$D$2:$D$1501)+COUNTIF($D$2:D187,$D187)-1)</f>
        <v>192</v>
      </c>
    </row>
    <row r="188" spans="1:7">
      <c r="A188" s="11">
        <v>187</v>
      </c>
      <c r="B188" s="11" t="str">
        <f>IFERROR(INDEX('Raw Data'!$R$2:$R$50000,MATCH(187,'Raw Data'!$W$2:$W$50000,0)),"")</f>
        <v>Ali Murtado</v>
      </c>
      <c r="C188" s="11" t="str">
        <f t="shared" si="2"/>
        <v>Ali Murtado</v>
      </c>
      <c r="D188" s="11">
        <f>IF($B188="","",COUNTIFS('Raw Data'!$R$2:$R$50000,$B188))</f>
        <v>1</v>
      </c>
      <c r="E188" s="11">
        <f>IF($B188="","",SUMIFS('Raw Data'!$I$2:$I$50000,'Raw Data'!$R$2:$R$50000,$B188))</f>
        <v>6000</v>
      </c>
      <c r="F188" s="11">
        <f>IF($B188="","",RANK($E188,$E$2:$E$1501)+COUNTIF($E$2:E188,$E188)-1)</f>
        <v>224</v>
      </c>
      <c r="G188" s="11">
        <f>IF($B188="","",RANK($D188,$D$2:$D$1501)+COUNTIF($D$2:D188,$D188)-1)</f>
        <v>193</v>
      </c>
    </row>
    <row r="189" spans="1:7">
      <c r="A189" s="11">
        <v>188</v>
      </c>
      <c r="B189" s="11" t="str">
        <f>IFERROR(INDEX('Raw Data'!$R$2:$R$50000,MATCH(188,'Raw Data'!$W$2:$W$50000,0)),"")</f>
        <v>Hi Station</v>
      </c>
      <c r="C189" s="11" t="str">
        <f t="shared" si="2"/>
        <v>Hi Station</v>
      </c>
      <c r="D189" s="11">
        <f>IF($B189="","",COUNTIFS('Raw Data'!$R$2:$R$50000,$B189))</f>
        <v>1</v>
      </c>
      <c r="E189" s="11">
        <f>IF($B189="","",SUMIFS('Raw Data'!$I$2:$I$50000,'Raw Data'!$R$2:$R$50000,$B189))</f>
        <v>53000</v>
      </c>
      <c r="F189" s="11">
        <f>IF($B189="","",RANK($E189,$E$2:$E$1501)+COUNTIF($E$2:E189,$E189)-1)</f>
        <v>69</v>
      </c>
      <c r="G189" s="11">
        <f>IF($B189="","",RANK($D189,$D$2:$D$1501)+COUNTIF($D$2:D189,$D189)-1)</f>
        <v>194</v>
      </c>
    </row>
    <row r="190" spans="1:7">
      <c r="A190" s="11">
        <v>189</v>
      </c>
      <c r="B190" s="11" t="str">
        <f>IFERROR(INDEX('Raw Data'!$R$2:$R$50000,MATCH(189,'Raw Data'!$W$2:$W$50000,0)),"")</f>
        <v>Huha Books</v>
      </c>
      <c r="C190" s="11" t="str">
        <f t="shared" si="2"/>
        <v>Huha Books</v>
      </c>
      <c r="D190" s="11">
        <f>IF($B190="","",COUNTIFS('Raw Data'!$R$2:$R$50000,$B190))</f>
        <v>1</v>
      </c>
      <c r="E190" s="11">
        <f>IF($B190="","",SUMIFS('Raw Data'!$I$2:$I$50000,'Raw Data'!$R$2:$R$50000,$B190))</f>
        <v>12000</v>
      </c>
      <c r="F190" s="11">
        <f>IF($B190="","",RANK($E190,$E$2:$E$1501)+COUNTIF($E$2:E190,$E190)-1)</f>
        <v>201</v>
      </c>
      <c r="G190" s="11">
        <f>IF($B190="","",RANK($D190,$D$2:$D$1501)+COUNTIF($D$2:D190,$D190)-1)</f>
        <v>195</v>
      </c>
    </row>
    <row r="191" spans="1:7">
      <c r="A191" s="11">
        <v>190</v>
      </c>
      <c r="B191" s="11" t="str">
        <f>IFERROR(INDEX('Raw Data'!$R$2:$R$50000,MATCH(190,'Raw Data'!$W$2:$W$50000,0)),"")</f>
        <v>Catur Soriya</v>
      </c>
      <c r="C191" s="11" t="str">
        <f t="shared" si="2"/>
        <v>Catur Soriya</v>
      </c>
      <c r="D191" s="11">
        <f>IF($B191="","",COUNTIFS('Raw Data'!$R$2:$R$50000,$B191))</f>
        <v>1</v>
      </c>
      <c r="E191" s="11">
        <f>IF($B191="","",SUMIFS('Raw Data'!$I$2:$I$50000,'Raw Data'!$R$2:$R$50000,$B191))</f>
        <v>96000</v>
      </c>
      <c r="F191" s="11">
        <f>IF($B191="","",RANK($E191,$E$2:$E$1501)+COUNTIF($E$2:E191,$E191)-1)</f>
        <v>39</v>
      </c>
      <c r="G191" s="11">
        <f>IF($B191="","",RANK($D191,$D$2:$D$1501)+COUNTIF($D$2:D191,$D191)-1)</f>
        <v>196</v>
      </c>
    </row>
    <row r="192" spans="1:7">
      <c r="A192" s="11">
        <v>191</v>
      </c>
      <c r="B192" s="11" t="str">
        <f>IFERROR(INDEX('Raw Data'!$R$2:$R$50000,MATCH(191,'Raw Data'!$W$2:$W$50000,0)),"")</f>
        <v>Aripin Suryadi</v>
      </c>
      <c r="C192" s="11" t="str">
        <f t="shared" si="2"/>
        <v>Aripin Suryadi</v>
      </c>
      <c r="D192" s="11">
        <f>IF($B192="","",COUNTIFS('Raw Data'!$R$2:$R$50000,$B192))</f>
        <v>1</v>
      </c>
      <c r="E192" s="11">
        <f>IF($B192="","",SUMIFS('Raw Data'!$I$2:$I$50000,'Raw Data'!$R$2:$R$50000,$B192))</f>
        <v>21000</v>
      </c>
      <c r="F192" s="11">
        <f>IF($B192="","",RANK($E192,$E$2:$E$1501)+COUNTIF($E$2:E192,$E192)-1)</f>
        <v>140</v>
      </c>
      <c r="G192" s="11">
        <f>IF($B192="","",RANK($D192,$D$2:$D$1501)+COUNTIF($D$2:D192,$D192)-1)</f>
        <v>197</v>
      </c>
    </row>
    <row r="193" spans="1:7">
      <c r="A193" s="11">
        <v>192</v>
      </c>
      <c r="B193" s="11" t="str">
        <f>IFERROR(INDEX('Raw Data'!$R$2:$R$50000,MATCH(192,'Raw Data'!$W$2:$W$50000,0)),"")</f>
        <v>Nunu Nugraha</v>
      </c>
      <c r="C193" s="11" t="str">
        <f t="shared" si="2"/>
        <v>Nunu Nugraha</v>
      </c>
      <c r="D193" s="11">
        <f>IF($B193="","",COUNTIFS('Raw Data'!$R$2:$R$50000,$B193))</f>
        <v>1</v>
      </c>
      <c r="E193" s="11">
        <f>IF($B193="","",SUMIFS('Raw Data'!$I$2:$I$50000,'Raw Data'!$R$2:$R$50000,$B193))</f>
        <v>12000</v>
      </c>
      <c r="F193" s="11">
        <f>IF($B193="","",RANK($E193,$E$2:$E$1501)+COUNTIF($E$2:E193,$E193)-1)</f>
        <v>202</v>
      </c>
      <c r="G193" s="11">
        <f>IF($B193="","",RANK($D193,$D$2:$D$1501)+COUNTIF($D$2:D193,$D193)-1)</f>
        <v>198</v>
      </c>
    </row>
    <row r="194" spans="1:7">
      <c r="A194" s="11">
        <v>193</v>
      </c>
      <c r="B194" s="11" t="str">
        <f>IFERROR(INDEX('Raw Data'!$R$2:$R$50000,MATCH(193,'Raw Data'!$W$2:$W$50000,0)),"")</f>
        <v>Mana! Tiny Little Things</v>
      </c>
      <c r="C194" s="11" t="str">
        <f t="shared" ref="C194:C257" si="3">IF($B194="","",$B194)</f>
        <v>Mana! Tiny Little Things</v>
      </c>
      <c r="D194" s="11">
        <f>IF($B194="","",COUNTIFS('Raw Data'!$R$2:$R$50000,$B194))</f>
        <v>4</v>
      </c>
      <c r="E194" s="11">
        <f>IF($B194="","",SUMIFS('Raw Data'!$I$2:$I$50000,'Raw Data'!$R$2:$R$50000,$B194))</f>
        <v>69000</v>
      </c>
      <c r="F194" s="11">
        <f>IF($B194="","",RANK($E194,$E$2:$E$1501)+COUNTIF($E$2:E194,$E194)-1)</f>
        <v>53</v>
      </c>
      <c r="G194" s="11">
        <f>IF($B194="","",RANK($D194,$D$2:$D$1501)+COUNTIF($D$2:D194,$D194)-1)</f>
        <v>38</v>
      </c>
    </row>
    <row r="195" spans="1:7">
      <c r="A195" s="11">
        <v>194</v>
      </c>
      <c r="B195" s="11" t="str">
        <f>IFERROR(INDEX('Raw Data'!$R$2:$R$50000,MATCH(194,'Raw Data'!$W$2:$W$50000,0)),"")</f>
        <v>Monika</v>
      </c>
      <c r="C195" s="11" t="str">
        <f t="shared" si="3"/>
        <v>Monika</v>
      </c>
      <c r="D195" s="11">
        <f>IF($B195="","",COUNTIFS('Raw Data'!$R$2:$R$50000,$B195))</f>
        <v>1</v>
      </c>
      <c r="E195" s="11">
        <f>IF($B195="","",SUMIFS('Raw Data'!$I$2:$I$50000,'Raw Data'!$R$2:$R$50000,$B195))</f>
        <v>29000</v>
      </c>
      <c r="F195" s="11">
        <f>IF($B195="","",RANK($E195,$E$2:$E$1501)+COUNTIF($E$2:E195,$E195)-1)</f>
        <v>109</v>
      </c>
      <c r="G195" s="11">
        <f>IF($B195="","",RANK($D195,$D$2:$D$1501)+COUNTIF($D$2:D195,$D195)-1)</f>
        <v>199</v>
      </c>
    </row>
    <row r="196" spans="1:7">
      <c r="A196" s="11">
        <v>195</v>
      </c>
      <c r="B196" s="11" t="str">
        <f>IFERROR(INDEX('Raw Data'!$R$2:$R$50000,MATCH(195,'Raw Data'!$W$2:$W$50000,0)),"")</f>
        <v>Risna Dewi</v>
      </c>
      <c r="C196" s="11" t="str">
        <f t="shared" si="3"/>
        <v>Risna Dewi</v>
      </c>
      <c r="D196" s="11">
        <f>IF($B196="","",COUNTIFS('Raw Data'!$R$2:$R$50000,$B196))</f>
        <v>2</v>
      </c>
      <c r="E196" s="11">
        <f>IF($B196="","",SUMIFS('Raw Data'!$I$2:$I$50000,'Raw Data'!$R$2:$R$50000,$B196))</f>
        <v>151000</v>
      </c>
      <c r="F196" s="11">
        <f>IF($B196="","",RANK($E196,$E$2:$E$1501)+COUNTIF($E$2:E196,$E196)-1)</f>
        <v>27</v>
      </c>
      <c r="G196" s="11">
        <f>IF($B196="","",RANK($D196,$D$2:$D$1501)+COUNTIF($D$2:D196,$D196)-1)</f>
        <v>83</v>
      </c>
    </row>
    <row r="197" spans="1:7">
      <c r="A197" s="11">
        <v>196</v>
      </c>
      <c r="B197" s="11" t="str">
        <f>IFERROR(INDEX('Raw Data'!$R$2:$R$50000,MATCH(196,'Raw Data'!$W$2:$W$50000,0)),"")</f>
        <v>ida rusdiani</v>
      </c>
      <c r="C197" s="11" t="str">
        <f t="shared" si="3"/>
        <v>ida rusdiani</v>
      </c>
      <c r="D197" s="11">
        <f>IF($B197="","",COUNTIFS('Raw Data'!$R$2:$R$50000,$B197))</f>
        <v>1</v>
      </c>
      <c r="E197" s="11">
        <f>IF($B197="","",SUMIFS('Raw Data'!$I$2:$I$50000,'Raw Data'!$R$2:$R$50000,$B197))</f>
        <v>24000</v>
      </c>
      <c r="F197" s="11">
        <f>IF($B197="","",RANK($E197,$E$2:$E$1501)+COUNTIF($E$2:E197,$E197)-1)</f>
        <v>134</v>
      </c>
      <c r="G197" s="11">
        <f>IF($B197="","",RANK($D197,$D$2:$D$1501)+COUNTIF($D$2:D197,$D197)-1)</f>
        <v>200</v>
      </c>
    </row>
    <row r="198" spans="1:7">
      <c r="A198" s="11">
        <v>197</v>
      </c>
      <c r="B198" s="11" t="str">
        <f>IFERROR(INDEX('Raw Data'!$R$2:$R$50000,MATCH(197,'Raw Data'!$W$2:$W$50000,0)),"")</f>
        <v xml:space="preserve">RAGYL IBNU </v>
      </c>
      <c r="C198" s="11" t="str">
        <f t="shared" si="3"/>
        <v xml:space="preserve">RAGYL IBNU </v>
      </c>
      <c r="D198" s="11">
        <f>IF($B198="","",COUNTIFS('Raw Data'!$R$2:$R$50000,$B198))</f>
        <v>1</v>
      </c>
      <c r="E198" s="11">
        <f>IF($B198="","",SUMIFS('Raw Data'!$I$2:$I$50000,'Raw Data'!$R$2:$R$50000,$B198))</f>
        <v>21000</v>
      </c>
      <c r="F198" s="11">
        <f>IF($B198="","",RANK($E198,$E$2:$E$1501)+COUNTIF($E$2:E198,$E198)-1)</f>
        <v>141</v>
      </c>
      <c r="G198" s="11">
        <f>IF($B198="","",RANK($D198,$D$2:$D$1501)+COUNTIF($D$2:D198,$D198)-1)</f>
        <v>201</v>
      </c>
    </row>
    <row r="199" spans="1:7">
      <c r="A199" s="11">
        <v>198</v>
      </c>
      <c r="B199" s="11" t="str">
        <f>IFERROR(INDEX('Raw Data'!$R$2:$R$50000,MATCH(198,'Raw Data'!$W$2:$W$50000,0)),"")</f>
        <v>Elloure.id</v>
      </c>
      <c r="C199" s="11" t="str">
        <f t="shared" si="3"/>
        <v>Elloure.id</v>
      </c>
      <c r="D199" s="11">
        <f>IF($B199="","",COUNTIFS('Raw Data'!$R$2:$R$50000,$B199))</f>
        <v>1</v>
      </c>
      <c r="E199" s="11">
        <f>IF($B199="","",SUMIFS('Raw Data'!$I$2:$I$50000,'Raw Data'!$R$2:$R$50000,$B199))</f>
        <v>18000</v>
      </c>
      <c r="F199" s="11">
        <f>IF($B199="","",RANK($E199,$E$2:$E$1501)+COUNTIF($E$2:E199,$E199)-1)</f>
        <v>150</v>
      </c>
      <c r="G199" s="11">
        <f>IF($B199="","",RANK($D199,$D$2:$D$1501)+COUNTIF($D$2:D199,$D199)-1)</f>
        <v>202</v>
      </c>
    </row>
    <row r="200" spans="1:7">
      <c r="A200" s="11">
        <v>199</v>
      </c>
      <c r="B200" s="11" t="str">
        <f>IFERROR(INDEX('Raw Data'!$R$2:$R$50000,MATCH(199,'Raw Data'!$W$2:$W$50000,0)),"")</f>
        <v>Gammal</v>
      </c>
      <c r="C200" s="11" t="str">
        <f t="shared" si="3"/>
        <v>Gammal</v>
      </c>
      <c r="D200" s="11">
        <f>IF($B200="","",COUNTIFS('Raw Data'!$R$2:$R$50000,$B200))</f>
        <v>1</v>
      </c>
      <c r="E200" s="11">
        <f>IF($B200="","",SUMIFS('Raw Data'!$I$2:$I$50000,'Raw Data'!$R$2:$R$50000,$B200))</f>
        <v>12000</v>
      </c>
      <c r="F200" s="11">
        <f>IF($B200="","",RANK($E200,$E$2:$E$1501)+COUNTIF($E$2:E200,$E200)-1)</f>
        <v>203</v>
      </c>
      <c r="G200" s="11">
        <f>IF($B200="","",RANK($D200,$D$2:$D$1501)+COUNTIF($D$2:D200,$D200)-1)</f>
        <v>203</v>
      </c>
    </row>
    <row r="201" spans="1:7">
      <c r="A201" s="11">
        <v>200</v>
      </c>
      <c r="B201" s="11" t="str">
        <f>IFERROR(INDEX('Raw Data'!$R$2:$R$50000,MATCH(200,'Raw Data'!$W$2:$W$50000,0)),"")</f>
        <v xml:space="preserve">CV. PANCA PILAR ELEKTRIK (PAK </v>
      </c>
      <c r="C201" s="11" t="str">
        <f t="shared" si="3"/>
        <v xml:space="preserve">CV. PANCA PILAR ELEKTRIK (PAK </v>
      </c>
      <c r="D201" s="11">
        <f>IF($B201="","",COUNTIFS('Raw Data'!$R$2:$R$50000,$B201))</f>
        <v>1</v>
      </c>
      <c r="E201" s="11">
        <f>IF($B201="","",SUMIFS('Raw Data'!$I$2:$I$50000,'Raw Data'!$R$2:$R$50000,$B201))</f>
        <v>21000</v>
      </c>
      <c r="F201" s="11">
        <f>IF($B201="","",RANK($E201,$E$2:$E$1501)+COUNTIF($E$2:E201,$E201)-1)</f>
        <v>142</v>
      </c>
      <c r="G201" s="11">
        <f>IF($B201="","",RANK($D201,$D$2:$D$1501)+COUNTIF($D$2:D201,$D201)-1)</f>
        <v>204</v>
      </c>
    </row>
    <row r="202" spans="1:7">
      <c r="A202" s="11">
        <v>201</v>
      </c>
      <c r="B202" s="11" t="str">
        <f>IFERROR(INDEX('Raw Data'!$R$2:$R$50000,MATCH(201,'Raw Data'!$W$2:$W$50000,0)),"")</f>
        <v>Devy Iqbal</v>
      </c>
      <c r="C202" s="11" t="str">
        <f t="shared" si="3"/>
        <v>Devy Iqbal</v>
      </c>
      <c r="D202" s="11">
        <f>IF($B202="","",COUNTIFS('Raw Data'!$R$2:$R$50000,$B202))</f>
        <v>1</v>
      </c>
      <c r="E202" s="11">
        <f>IF($B202="","",SUMIFS('Raw Data'!$I$2:$I$50000,'Raw Data'!$R$2:$R$50000,$B202))</f>
        <v>16000</v>
      </c>
      <c r="F202" s="11">
        <f>IF($B202="","",RANK($E202,$E$2:$E$1501)+COUNTIF($E$2:E202,$E202)-1)</f>
        <v>152</v>
      </c>
      <c r="G202" s="11">
        <f>IF($B202="","",RANK($D202,$D$2:$D$1501)+COUNTIF($D$2:D202,$D202)-1)</f>
        <v>205</v>
      </c>
    </row>
    <row r="203" spans="1:7">
      <c r="A203" s="11">
        <v>202</v>
      </c>
      <c r="B203" s="11" t="str">
        <f>IFERROR(INDEX('Raw Data'!$R$2:$R$50000,MATCH(202,'Raw Data'!$W$2:$W$50000,0)),"")</f>
        <v>Torikidz</v>
      </c>
      <c r="C203" s="11" t="str">
        <f t="shared" si="3"/>
        <v>Torikidz</v>
      </c>
      <c r="D203" s="11">
        <f>IF($B203="","",COUNTIFS('Raw Data'!$R$2:$R$50000,$B203))</f>
        <v>2</v>
      </c>
      <c r="E203" s="11">
        <f>IF($B203="","",SUMIFS('Raw Data'!$I$2:$I$50000,'Raw Data'!$R$2:$R$50000,$B203))</f>
        <v>27000</v>
      </c>
      <c r="F203" s="11">
        <f>IF($B203="","",RANK($E203,$E$2:$E$1501)+COUNTIF($E$2:E203,$E203)-1)</f>
        <v>114</v>
      </c>
      <c r="G203" s="11">
        <f>IF($B203="","",RANK($D203,$D$2:$D$1501)+COUNTIF($D$2:D203,$D203)-1)</f>
        <v>84</v>
      </c>
    </row>
    <row r="204" spans="1:7">
      <c r="A204" s="11">
        <v>203</v>
      </c>
      <c r="B204" s="11" t="str">
        <f>IFERROR(INDEX('Raw Data'!$R$2:$R$50000,MATCH(203,'Raw Data'!$W$2:$W$50000,0)),"")</f>
        <v xml:space="preserve">MEILANY </v>
      </c>
      <c r="C204" s="11" t="str">
        <f t="shared" si="3"/>
        <v xml:space="preserve">MEILANY </v>
      </c>
      <c r="D204" s="11">
        <f>IF($B204="","",COUNTIFS('Raw Data'!$R$2:$R$50000,$B204))</f>
        <v>1</v>
      </c>
      <c r="E204" s="11">
        <f>IF($B204="","",SUMIFS('Raw Data'!$I$2:$I$50000,'Raw Data'!$R$2:$R$50000,$B204))</f>
        <v>12000</v>
      </c>
      <c r="F204" s="11">
        <f>IF($B204="","",RANK($E204,$E$2:$E$1501)+COUNTIF($E$2:E204,$E204)-1)</f>
        <v>204</v>
      </c>
      <c r="G204" s="11">
        <f>IF($B204="","",RANK($D204,$D$2:$D$1501)+COUNTIF($D$2:D204,$D204)-1)</f>
        <v>206</v>
      </c>
    </row>
    <row r="205" spans="1:7">
      <c r="A205" s="11">
        <v>204</v>
      </c>
      <c r="B205" s="11" t="str">
        <f>IFERROR(INDEX('Raw Data'!$R$2:$R$50000,MATCH(204,'Raw Data'!$W$2:$W$50000,0)),"")</f>
        <v>Aprinia (almeera Kost)</v>
      </c>
      <c r="C205" s="11" t="str">
        <f t="shared" si="3"/>
        <v>Aprinia (almeera Kost)</v>
      </c>
      <c r="D205" s="11">
        <f>IF($B205="","",COUNTIFS('Raw Data'!$R$2:$R$50000,$B205))</f>
        <v>1</v>
      </c>
      <c r="E205" s="11">
        <f>IF($B205="","",SUMIFS('Raw Data'!$I$2:$I$50000,'Raw Data'!$R$2:$R$50000,$B205))</f>
        <v>6000</v>
      </c>
      <c r="F205" s="11">
        <f>IF($B205="","",RANK($E205,$E$2:$E$1501)+COUNTIF($E$2:E205,$E205)-1)</f>
        <v>225</v>
      </c>
      <c r="G205" s="11">
        <f>IF($B205="","",RANK($D205,$D$2:$D$1501)+COUNTIF($D$2:D205,$D205)-1)</f>
        <v>207</v>
      </c>
    </row>
    <row r="206" spans="1:7">
      <c r="A206" s="11">
        <v>205</v>
      </c>
      <c r="B206" s="11" t="str">
        <f>IFERROR(INDEX('Raw Data'!$R$2:$R$50000,MATCH(205,'Raw Data'!$W$2:$W$50000,0)),"")</f>
        <v>Ko Chandra Paking</v>
      </c>
      <c r="C206" s="11" t="str">
        <f t="shared" si="3"/>
        <v>Ko Chandra Paking</v>
      </c>
      <c r="D206" s="11">
        <f>IF($B206="","",COUNTIFS('Raw Data'!$R$2:$R$50000,$B206))</f>
        <v>2</v>
      </c>
      <c r="E206" s="11">
        <f>IF($B206="","",SUMIFS('Raw Data'!$I$2:$I$50000,'Raw Data'!$R$2:$R$50000,$B206))</f>
        <v>140500</v>
      </c>
      <c r="F206" s="11">
        <f>IF($B206="","",RANK($E206,$E$2:$E$1501)+COUNTIF($E$2:E206,$E206)-1)</f>
        <v>28</v>
      </c>
      <c r="G206" s="11">
        <f>IF($B206="","",RANK($D206,$D$2:$D$1501)+COUNTIF($D$2:D206,$D206)-1)</f>
        <v>85</v>
      </c>
    </row>
    <row r="207" spans="1:7">
      <c r="A207" s="11">
        <v>206</v>
      </c>
      <c r="B207" s="11" t="str">
        <f>IFERROR(INDEX('Raw Data'!$R$2:$R$50000,MATCH(206,'Raw Data'!$W$2:$W$50000,0)),"")</f>
        <v>Tata</v>
      </c>
      <c r="C207" s="11" t="str">
        <f t="shared" si="3"/>
        <v>Tata</v>
      </c>
      <c r="D207" s="11">
        <f>IF($B207="","",COUNTIFS('Raw Data'!$R$2:$R$50000,$B207))</f>
        <v>1</v>
      </c>
      <c r="E207" s="11">
        <f>IF($B207="","",SUMIFS('Raw Data'!$I$2:$I$50000,'Raw Data'!$R$2:$R$50000,$B207))</f>
        <v>12000</v>
      </c>
      <c r="F207" s="11">
        <f>IF($B207="","",RANK($E207,$E$2:$E$1501)+COUNTIF($E$2:E207,$E207)-1)</f>
        <v>205</v>
      </c>
      <c r="G207" s="11">
        <f>IF($B207="","",RANK($D207,$D$2:$D$1501)+COUNTIF($D$2:D207,$D207)-1)</f>
        <v>208</v>
      </c>
    </row>
    <row r="208" spans="1:7">
      <c r="A208" s="11">
        <v>207</v>
      </c>
      <c r="B208" s="11" t="str">
        <f>IFERROR(INDEX('Raw Data'!$R$2:$R$50000,MATCH(207,'Raw Data'!$W$2:$W$50000,0)),"")</f>
        <v>Pika Astragina</v>
      </c>
      <c r="C208" s="11" t="str">
        <f t="shared" si="3"/>
        <v>Pika Astragina</v>
      </c>
      <c r="D208" s="11">
        <f>IF($B208="","",COUNTIFS('Raw Data'!$R$2:$R$50000,$B208))</f>
        <v>1</v>
      </c>
      <c r="E208" s="11">
        <f>IF($B208="","",SUMIFS('Raw Data'!$I$2:$I$50000,'Raw Data'!$R$2:$R$50000,$B208))</f>
        <v>12000</v>
      </c>
      <c r="F208" s="11">
        <f>IF($B208="","",RANK($E208,$E$2:$E$1501)+COUNTIF($E$2:E208,$E208)-1)</f>
        <v>206</v>
      </c>
      <c r="G208" s="11">
        <f>IF($B208="","",RANK($D208,$D$2:$D$1501)+COUNTIF($D$2:D208,$D208)-1)</f>
        <v>209</v>
      </c>
    </row>
    <row r="209" spans="1:7">
      <c r="A209" s="11">
        <v>208</v>
      </c>
      <c r="B209" s="11" t="str">
        <f>IFERROR(INDEX('Raw Data'!$R$2:$R$50000,MATCH(208,'Raw Data'!$W$2:$W$50000,0)),"")</f>
        <v>starmil3</v>
      </c>
      <c r="C209" s="11" t="str">
        <f t="shared" si="3"/>
        <v>starmil3</v>
      </c>
      <c r="D209" s="11">
        <f>IF($B209="","",COUNTIFS('Raw Data'!$R$2:$R$50000,$B209))</f>
        <v>1</v>
      </c>
      <c r="E209" s="11">
        <f>IF($B209="","",SUMIFS('Raw Data'!$I$2:$I$50000,'Raw Data'!$R$2:$R$50000,$B209))</f>
        <v>24000</v>
      </c>
      <c r="F209" s="11">
        <f>IF($B209="","",RANK($E209,$E$2:$E$1501)+COUNTIF($E$2:E209,$E209)-1)</f>
        <v>135</v>
      </c>
      <c r="G209" s="11">
        <f>IF($B209="","",RANK($D209,$D$2:$D$1501)+COUNTIF($D$2:D209,$D209)-1)</f>
        <v>210</v>
      </c>
    </row>
    <row r="210" spans="1:7">
      <c r="A210" s="11">
        <v>209</v>
      </c>
      <c r="B210" s="11" t="str">
        <f>IFERROR(INDEX('Raw Data'!$R$2:$R$50000,MATCH(209,'Raw Data'!$W$2:$W$50000,0)),"")</f>
        <v>Arkha</v>
      </c>
      <c r="C210" s="11" t="str">
        <f t="shared" si="3"/>
        <v>Arkha</v>
      </c>
      <c r="D210" s="11">
        <f>IF($B210="","",COUNTIFS('Raw Data'!$R$2:$R$50000,$B210))</f>
        <v>1</v>
      </c>
      <c r="E210" s="11">
        <f>IF($B210="","",SUMIFS('Raw Data'!$I$2:$I$50000,'Raw Data'!$R$2:$R$50000,$B210))</f>
        <v>12000</v>
      </c>
      <c r="F210" s="11">
        <f>IF($B210="","",RANK($E210,$E$2:$E$1501)+COUNTIF($E$2:E210,$E210)-1)</f>
        <v>207</v>
      </c>
      <c r="G210" s="11">
        <f>IF($B210="","",RANK($D210,$D$2:$D$1501)+COUNTIF($D$2:D210,$D210)-1)</f>
        <v>211</v>
      </c>
    </row>
    <row r="211" spans="1:7">
      <c r="A211" s="11">
        <v>210</v>
      </c>
      <c r="B211" s="11" t="str">
        <f>IFERROR(INDEX('Raw Data'!$R$2:$R$50000,MATCH(210,'Raw Data'!$W$2:$W$50000,0)),"")</f>
        <v>Elzia</v>
      </c>
      <c r="C211" s="11" t="str">
        <f t="shared" si="3"/>
        <v>Elzia</v>
      </c>
      <c r="D211" s="11">
        <f>IF($B211="","",COUNTIFS('Raw Data'!$R$2:$R$50000,$B211))</f>
        <v>1</v>
      </c>
      <c r="E211" s="11">
        <f>IF($B211="","",SUMIFS('Raw Data'!$I$2:$I$50000,'Raw Data'!$R$2:$R$50000,$B211))</f>
        <v>29000</v>
      </c>
      <c r="F211" s="11">
        <f>IF($B211="","",RANK($E211,$E$2:$E$1501)+COUNTIF($E$2:E211,$E211)-1)</f>
        <v>110</v>
      </c>
      <c r="G211" s="11">
        <f>IF($B211="","",RANK($D211,$D$2:$D$1501)+COUNTIF($D$2:D211,$D211)-1)</f>
        <v>212</v>
      </c>
    </row>
    <row r="212" spans="1:7">
      <c r="A212" s="11">
        <v>211</v>
      </c>
      <c r="B212" s="11" t="str">
        <f>IFERROR(INDEX('Raw Data'!$R$2:$R$50000,MATCH(211,'Raw Data'!$W$2:$W$50000,0)),"")</f>
        <v>Yemima Marpaung</v>
      </c>
      <c r="C212" s="11" t="str">
        <f t="shared" si="3"/>
        <v>Yemima Marpaung</v>
      </c>
      <c r="D212" s="11">
        <f>IF($B212="","",COUNTIFS('Raw Data'!$R$2:$R$50000,$B212))</f>
        <v>2</v>
      </c>
      <c r="E212" s="11">
        <f>IF($B212="","",SUMIFS('Raw Data'!$I$2:$I$50000,'Raw Data'!$R$2:$R$50000,$B212))</f>
        <v>53000</v>
      </c>
      <c r="F212" s="11">
        <f>IF($B212="","",RANK($E212,$E$2:$E$1501)+COUNTIF($E$2:E212,$E212)-1)</f>
        <v>70</v>
      </c>
      <c r="G212" s="11">
        <f>IF($B212="","",RANK($D212,$D$2:$D$1501)+COUNTIF($D$2:D212,$D212)-1)</f>
        <v>86</v>
      </c>
    </row>
    <row r="213" spans="1:7">
      <c r="A213" s="11">
        <v>212</v>
      </c>
      <c r="B213" s="11" t="str">
        <f>IFERROR(INDEX('Raw Data'!$R$2:$R$50000,MATCH(212,'Raw Data'!$W$2:$W$50000,0)),"")</f>
        <v>Erik</v>
      </c>
      <c r="C213" s="11" t="str">
        <f t="shared" si="3"/>
        <v>Erik</v>
      </c>
      <c r="D213" s="11">
        <f>IF($B213="","",COUNTIFS('Raw Data'!$R$2:$R$50000,$B213))</f>
        <v>1</v>
      </c>
      <c r="E213" s="11">
        <f>IF($B213="","",SUMIFS('Raw Data'!$I$2:$I$50000,'Raw Data'!$R$2:$R$50000,$B213))</f>
        <v>12000</v>
      </c>
      <c r="F213" s="11">
        <f>IF($B213="","",RANK($E213,$E$2:$E$1501)+COUNTIF($E$2:E213,$E213)-1)</f>
        <v>208</v>
      </c>
      <c r="G213" s="11">
        <f>IF($B213="","",RANK($D213,$D$2:$D$1501)+COUNTIF($D$2:D213,$D213)-1)</f>
        <v>213</v>
      </c>
    </row>
    <row r="214" spans="1:7">
      <c r="A214" s="11">
        <v>213</v>
      </c>
      <c r="B214" s="11" t="str">
        <f>IFERROR(INDEX('Raw Data'!$R$2:$R$50000,MATCH(213,'Raw Data'!$W$2:$W$50000,0)),"")</f>
        <v>Nabila Setia Nugraeni</v>
      </c>
      <c r="C214" s="11" t="str">
        <f t="shared" si="3"/>
        <v>Nabila Setia Nugraeni</v>
      </c>
      <c r="D214" s="11">
        <f>IF($B214="","",COUNTIFS('Raw Data'!$R$2:$R$50000,$B214))</f>
        <v>1</v>
      </c>
      <c r="E214" s="11">
        <f>IF($B214="","",SUMIFS('Raw Data'!$I$2:$I$50000,'Raw Data'!$R$2:$R$50000,$B214))</f>
        <v>42000</v>
      </c>
      <c r="F214" s="11">
        <f>IF($B214="","",RANK($E214,$E$2:$E$1501)+COUNTIF($E$2:E214,$E214)-1)</f>
        <v>84</v>
      </c>
      <c r="G214" s="11">
        <f>IF($B214="","",RANK($D214,$D$2:$D$1501)+COUNTIF($D$2:D214,$D214)-1)</f>
        <v>214</v>
      </c>
    </row>
    <row r="215" spans="1:7">
      <c r="A215" s="11">
        <v>214</v>
      </c>
      <c r="B215" s="11" t="str">
        <f>IFERROR(INDEX('Raw Data'!$R$2:$R$50000,MATCH(214,'Raw Data'!$W$2:$W$50000,0)),"")</f>
        <v>Kusrini juliyani</v>
      </c>
      <c r="C215" s="11" t="str">
        <f t="shared" si="3"/>
        <v>Kusrini juliyani</v>
      </c>
      <c r="D215" s="11">
        <f>IF($B215="","",COUNTIFS('Raw Data'!$R$2:$R$50000,$B215))</f>
        <v>1</v>
      </c>
      <c r="E215" s="11">
        <f>IF($B215="","",SUMIFS('Raw Data'!$I$2:$I$50000,'Raw Data'!$R$2:$R$50000,$B215))</f>
        <v>42000</v>
      </c>
      <c r="F215" s="11">
        <f>IF($B215="","",RANK($E215,$E$2:$E$1501)+COUNTIF($E$2:E215,$E215)-1)</f>
        <v>85</v>
      </c>
      <c r="G215" s="11">
        <f>IF($B215="","",RANK($D215,$D$2:$D$1501)+COUNTIF($D$2:D215,$D215)-1)</f>
        <v>215</v>
      </c>
    </row>
    <row r="216" spans="1:7">
      <c r="A216" s="11">
        <v>215</v>
      </c>
      <c r="B216" s="11" t="str">
        <f>IFERROR(INDEX('Raw Data'!$R$2:$R$50000,MATCH(215,'Raw Data'!$W$2:$W$50000,0)),"")</f>
        <v>DELAJAYA OLEH OLEH KARAWANG</v>
      </c>
      <c r="C216" s="11" t="str">
        <f t="shared" si="3"/>
        <v>DELAJAYA OLEH OLEH KARAWANG</v>
      </c>
      <c r="D216" s="11">
        <f>IF($B216="","",COUNTIFS('Raw Data'!$R$2:$R$50000,$B216))</f>
        <v>2</v>
      </c>
      <c r="E216" s="11">
        <f>IF($B216="","",SUMIFS('Raw Data'!$I$2:$I$50000,'Raw Data'!$R$2:$R$50000,$B216))</f>
        <v>63000</v>
      </c>
      <c r="F216" s="11">
        <f>IF($B216="","",RANK($E216,$E$2:$E$1501)+COUNTIF($E$2:E216,$E216)-1)</f>
        <v>56</v>
      </c>
      <c r="G216" s="11">
        <f>IF($B216="","",RANK($D216,$D$2:$D$1501)+COUNTIF($D$2:D216,$D216)-1)</f>
        <v>87</v>
      </c>
    </row>
    <row r="217" spans="1:7">
      <c r="A217" s="11">
        <v>216</v>
      </c>
      <c r="B217" s="11" t="str">
        <f>IFERROR(INDEX('Raw Data'!$R$2:$R$50000,MATCH(216,'Raw Data'!$W$2:$W$50000,0)),"")</f>
        <v>Putri Himawari</v>
      </c>
      <c r="C217" s="11" t="str">
        <f t="shared" si="3"/>
        <v>Putri Himawari</v>
      </c>
      <c r="D217" s="11">
        <f>IF($B217="","",COUNTIFS('Raw Data'!$R$2:$R$50000,$B217))</f>
        <v>1</v>
      </c>
      <c r="E217" s="11">
        <f>IF($B217="","",SUMIFS('Raw Data'!$I$2:$I$50000,'Raw Data'!$R$2:$R$50000,$B217))</f>
        <v>24000</v>
      </c>
      <c r="F217" s="11">
        <f>IF($B217="","",RANK($E217,$E$2:$E$1501)+COUNTIF($E$2:E217,$E217)-1)</f>
        <v>136</v>
      </c>
      <c r="G217" s="11">
        <f>IF($B217="","",RANK($D217,$D$2:$D$1501)+COUNTIF($D$2:D217,$D217)-1)</f>
        <v>216</v>
      </c>
    </row>
    <row r="218" spans="1:7">
      <c r="A218" s="11">
        <v>217</v>
      </c>
      <c r="B218" s="11" t="str">
        <f>IFERROR(INDEX('Raw Data'!$R$2:$R$50000,MATCH(217,'Raw Data'!$W$2:$W$50000,0)),"")</f>
        <v>Rahmat muchklis</v>
      </c>
      <c r="C218" s="11" t="str">
        <f t="shared" si="3"/>
        <v>Rahmat muchklis</v>
      </c>
      <c r="D218" s="11">
        <f>IF($B218="","",COUNTIFS('Raw Data'!$R$2:$R$50000,$B218))</f>
        <v>1</v>
      </c>
      <c r="E218" s="11">
        <f>IF($B218="","",SUMIFS('Raw Data'!$I$2:$I$50000,'Raw Data'!$R$2:$R$50000,$B218))</f>
        <v>24000</v>
      </c>
      <c r="F218" s="11">
        <f>IF($B218="","",RANK($E218,$E$2:$E$1501)+COUNTIF($E$2:E218,$E218)-1)</f>
        <v>137</v>
      </c>
      <c r="G218" s="11">
        <f>IF($B218="","",RANK($D218,$D$2:$D$1501)+COUNTIF($D$2:D218,$D218)-1)</f>
        <v>217</v>
      </c>
    </row>
    <row r="219" spans="1:7">
      <c r="A219" s="11">
        <v>218</v>
      </c>
      <c r="B219" s="11" t="str">
        <f>IFERROR(INDEX('Raw Data'!$R$2:$R$50000,MATCH(218,'Raw Data'!$W$2:$W$50000,0)),"")</f>
        <v>Merchkin Store</v>
      </c>
      <c r="C219" s="11" t="str">
        <f t="shared" si="3"/>
        <v>Merchkin Store</v>
      </c>
      <c r="D219" s="11">
        <f>IF($B219="","",COUNTIFS('Raw Data'!$R$2:$R$50000,$B219))</f>
        <v>1</v>
      </c>
      <c r="E219" s="11">
        <f>IF($B219="","",SUMIFS('Raw Data'!$I$2:$I$50000,'Raw Data'!$R$2:$R$50000,$B219))</f>
        <v>15000</v>
      </c>
      <c r="F219" s="11">
        <f>IF($B219="","",RANK($E219,$E$2:$E$1501)+COUNTIF($E$2:E219,$E219)-1)</f>
        <v>153</v>
      </c>
      <c r="G219" s="11">
        <f>IF($B219="","",RANK($D219,$D$2:$D$1501)+COUNTIF($D$2:D219,$D219)-1)</f>
        <v>218</v>
      </c>
    </row>
    <row r="220" spans="1:7">
      <c r="A220" s="11">
        <v>219</v>
      </c>
      <c r="B220" s="11" t="str">
        <f>IFERROR(INDEX('Raw Data'!$R$2:$R$50000,MATCH(219,'Raw Data'!$W$2:$W$50000,0)),"")</f>
        <v>Anggun Kartika/ko Chandra</v>
      </c>
      <c r="C220" s="11" t="str">
        <f t="shared" si="3"/>
        <v>Anggun Kartika/ko Chandra</v>
      </c>
      <c r="D220" s="11">
        <f>IF($B220="","",COUNTIFS('Raw Data'!$R$2:$R$50000,$B220))</f>
        <v>1</v>
      </c>
      <c r="E220" s="11">
        <f>IF($B220="","",SUMIFS('Raw Data'!$I$2:$I$50000,'Raw Data'!$R$2:$R$50000,$B220))</f>
        <v>12000</v>
      </c>
      <c r="F220" s="11">
        <f>IF($B220="","",RANK($E220,$E$2:$E$1501)+COUNTIF($E$2:E220,$E220)-1)</f>
        <v>209</v>
      </c>
      <c r="G220" s="11">
        <f>IF($B220="","",RANK($D220,$D$2:$D$1501)+COUNTIF($D$2:D220,$D220)-1)</f>
        <v>219</v>
      </c>
    </row>
    <row r="221" spans="1:7">
      <c r="A221" s="11">
        <v>220</v>
      </c>
      <c r="B221" s="11" t="str">
        <f>IFERROR(INDEX('Raw Data'!$R$2:$R$50000,MATCH(220,'Raw Data'!$W$2:$W$50000,0)),"")</f>
        <v>Tantia</v>
      </c>
      <c r="C221" s="11" t="str">
        <f t="shared" si="3"/>
        <v>Tantia</v>
      </c>
      <c r="D221" s="11">
        <f>IF($B221="","",COUNTIFS('Raw Data'!$R$2:$R$50000,$B221))</f>
        <v>1</v>
      </c>
      <c r="E221" s="11">
        <f>IF($B221="","",SUMIFS('Raw Data'!$I$2:$I$50000,'Raw Data'!$R$2:$R$50000,$B221))</f>
        <v>12000</v>
      </c>
      <c r="F221" s="11">
        <f>IF($B221="","",RANK($E221,$E$2:$E$1501)+COUNTIF($E$2:E221,$E221)-1)</f>
        <v>210</v>
      </c>
      <c r="G221" s="11">
        <f>IF($B221="","",RANK($D221,$D$2:$D$1501)+COUNTIF($D$2:D221,$D221)-1)</f>
        <v>220</v>
      </c>
    </row>
    <row r="222" spans="1:7">
      <c r="A222" s="11">
        <v>221</v>
      </c>
      <c r="B222" s="11" t="str">
        <f>IFERROR(INDEX('Raw Data'!$R$2:$R$50000,MATCH(221,'Raw Data'!$W$2:$W$50000,0)),"")</f>
        <v>Riming Maslan Kartadinata</v>
      </c>
      <c r="C222" s="11" t="str">
        <f t="shared" si="3"/>
        <v>Riming Maslan Kartadinata</v>
      </c>
      <c r="D222" s="11">
        <f>IF($B222="","",COUNTIFS('Raw Data'!$R$2:$R$50000,$B222))</f>
        <v>1</v>
      </c>
      <c r="E222" s="11">
        <f>IF($B222="","",SUMIFS('Raw Data'!$I$2:$I$50000,'Raw Data'!$R$2:$R$50000,$B222))</f>
        <v>12000</v>
      </c>
      <c r="F222" s="11">
        <f>IF($B222="","",RANK($E222,$E$2:$E$1501)+COUNTIF($E$2:E222,$E222)-1)</f>
        <v>211</v>
      </c>
      <c r="G222" s="11">
        <f>IF($B222="","",RANK($D222,$D$2:$D$1501)+COUNTIF($D$2:D222,$D222)-1)</f>
        <v>221</v>
      </c>
    </row>
    <row r="223" spans="1:7">
      <c r="A223" s="11">
        <v>222</v>
      </c>
      <c r="B223" s="11" t="str">
        <f>IFERROR(INDEX('Raw Data'!$R$2:$R$50000,MATCH(222,'Raw Data'!$W$2:$W$50000,0)),"")</f>
        <v>Mili</v>
      </c>
      <c r="C223" s="11" t="str">
        <f t="shared" si="3"/>
        <v>Mili</v>
      </c>
      <c r="D223" s="11">
        <f>IF($B223="","",COUNTIFS('Raw Data'!$R$2:$R$50000,$B223))</f>
        <v>1</v>
      </c>
      <c r="E223" s="11">
        <f>IF($B223="","",SUMIFS('Raw Data'!$I$2:$I$50000,'Raw Data'!$R$2:$R$50000,$B223))</f>
        <v>12000</v>
      </c>
      <c r="F223" s="11">
        <f>IF($B223="","",RANK($E223,$E$2:$E$1501)+COUNTIF($E$2:E223,$E223)-1)</f>
        <v>212</v>
      </c>
      <c r="G223" s="11">
        <f>IF($B223="","",RANK($D223,$D$2:$D$1501)+COUNTIF($D$2:D223,$D223)-1)</f>
        <v>222</v>
      </c>
    </row>
    <row r="224" spans="1:7">
      <c r="A224" s="11">
        <v>223</v>
      </c>
      <c r="B224" s="11" t="str">
        <f>IFERROR(INDEX('Raw Data'!$R$2:$R$50000,MATCH(223,'Raw Data'!$W$2:$W$50000,0)),"")</f>
        <v>Sarah Citrawati</v>
      </c>
      <c r="C224" s="11" t="str">
        <f t="shared" si="3"/>
        <v>Sarah Citrawati</v>
      </c>
      <c r="D224" s="11">
        <f>IF($B224="","",COUNTIFS('Raw Data'!$R$2:$R$50000,$B224))</f>
        <v>1</v>
      </c>
      <c r="E224" s="11">
        <f>IF($B224="","",SUMIFS('Raw Data'!$I$2:$I$50000,'Raw Data'!$R$2:$R$50000,$B224))</f>
        <v>12000</v>
      </c>
      <c r="F224" s="11">
        <f>IF($B224="","",RANK($E224,$E$2:$E$1501)+COUNTIF($E$2:E224,$E224)-1)</f>
        <v>213</v>
      </c>
      <c r="G224" s="11">
        <f>IF($B224="","",RANK($D224,$D$2:$D$1501)+COUNTIF($D$2:D224,$D224)-1)</f>
        <v>223</v>
      </c>
    </row>
    <row r="225" spans="1:7">
      <c r="A225" s="11">
        <v>224</v>
      </c>
      <c r="B225" s="11" t="str">
        <f>IFERROR(INDEX('Raw Data'!$R$2:$R$50000,MATCH(224,'Raw Data'!$W$2:$W$50000,0)),"")</f>
        <v>Farida Widasta</v>
      </c>
      <c r="C225" s="11" t="str">
        <f t="shared" si="3"/>
        <v>Farida Widasta</v>
      </c>
      <c r="D225" s="11">
        <f>IF($B225="","",COUNTIFS('Raw Data'!$R$2:$R$50000,$B225))</f>
        <v>1</v>
      </c>
      <c r="E225" s="11">
        <f>IF($B225="","",SUMIFS('Raw Data'!$I$2:$I$50000,'Raw Data'!$R$2:$R$50000,$B225))</f>
        <v>12000</v>
      </c>
      <c r="F225" s="11">
        <f>IF($B225="","",RANK($E225,$E$2:$E$1501)+COUNTIF($E$2:E225,$E225)-1)</f>
        <v>214</v>
      </c>
      <c r="G225" s="11">
        <f>IF($B225="","",RANK($D225,$D$2:$D$1501)+COUNTIF($D$2:D225,$D225)-1)</f>
        <v>224</v>
      </c>
    </row>
    <row r="226" spans="1:7">
      <c r="A226" s="11">
        <v>225</v>
      </c>
      <c r="B226" s="11" t="str">
        <f>IFERROR(INDEX('Raw Data'!$R$2:$R$50000,MATCH(225,'Raw Data'!$W$2:$W$50000,0)),"")</f>
        <v>Amanda</v>
      </c>
      <c r="C226" s="11" t="str">
        <f t="shared" si="3"/>
        <v>Amanda</v>
      </c>
      <c r="D226" s="11">
        <f>IF($B226="","",COUNTIFS('Raw Data'!$R$2:$R$50000,$B226))</f>
        <v>1</v>
      </c>
      <c r="E226" s="11">
        <f>IF($B226="","",SUMIFS('Raw Data'!$I$2:$I$50000,'Raw Data'!$R$2:$R$50000,$B226))</f>
        <v>12000</v>
      </c>
      <c r="F226" s="11">
        <f>IF($B226="","",RANK($E226,$E$2:$E$1501)+COUNTIF($E$2:E226,$E226)-1)</f>
        <v>215</v>
      </c>
      <c r="G226" s="11">
        <f>IF($B226="","",RANK($D226,$D$2:$D$1501)+COUNTIF($D$2:D226,$D226)-1)</f>
        <v>225</v>
      </c>
    </row>
    <row r="227" spans="1:7">
      <c r="A227" s="11">
        <v>226</v>
      </c>
      <c r="B227" s="11" t="str">
        <f>IFERROR(INDEX('Raw Data'!$R$2:$R$50000,MATCH(226,'Raw Data'!$W$2:$W$50000,0)),"")</f>
        <v>Siti Rohanah</v>
      </c>
      <c r="C227" s="11" t="str">
        <f t="shared" si="3"/>
        <v>Siti Rohanah</v>
      </c>
      <c r="D227" s="11">
        <f>IF($B227="","",COUNTIFS('Raw Data'!$R$2:$R$50000,$B227))</f>
        <v>1</v>
      </c>
      <c r="E227" s="11">
        <f>IF($B227="","",SUMIFS('Raw Data'!$I$2:$I$50000,'Raw Data'!$R$2:$R$50000,$B227))</f>
        <v>12000</v>
      </c>
      <c r="F227" s="11">
        <f>IF($B227="","",RANK($E227,$E$2:$E$1501)+COUNTIF($E$2:E227,$E227)-1)</f>
        <v>216</v>
      </c>
      <c r="G227" s="11">
        <f>IF($B227="","",RANK($D227,$D$2:$D$1501)+COUNTIF($D$2:D227,$D227)-1)</f>
        <v>226</v>
      </c>
    </row>
    <row r="228" spans="1:7">
      <c r="A228" s="11">
        <v>227</v>
      </c>
      <c r="B228" s="11" t="str">
        <f>IFERROR(INDEX('Raw Data'!$R$2:$R$50000,MATCH(227,'Raw Data'!$W$2:$W$50000,0)),"")</f>
        <v/>
      </c>
      <c r="C228" s="11" t="str">
        <f t="shared" si="3"/>
        <v/>
      </c>
      <c r="D228" s="11" t="str">
        <f>IF($B228="","",COUNTIFS('Raw Data'!$R$2:$R$50000,$B228))</f>
        <v/>
      </c>
      <c r="E228" s="11" t="str">
        <f>IF($B228="","",SUMIFS('Raw Data'!$I$2:$I$50000,'Raw Data'!$R$2:$R$50000,$B228))</f>
        <v/>
      </c>
      <c r="F228" s="11" t="str">
        <f>IF($B228="","",RANK($E228,$E$2:$E$1501)+COUNTIF($E$2:E228,$E228)-1)</f>
        <v/>
      </c>
      <c r="G228" s="11" t="str">
        <f>IF($B228="","",RANK($D228,$D$2:$D$1501)+COUNTIF($D$2:D228,$D228)-1)</f>
        <v/>
      </c>
    </row>
    <row r="229" spans="1:7">
      <c r="A229" s="11">
        <v>228</v>
      </c>
      <c r="B229" s="11" t="str">
        <f>IFERROR(INDEX('Raw Data'!$R$2:$R$50000,MATCH(228,'Raw Data'!$W$2:$W$50000,0)),"")</f>
        <v/>
      </c>
      <c r="C229" s="11" t="str">
        <f t="shared" si="3"/>
        <v/>
      </c>
      <c r="D229" s="11" t="str">
        <f>IF($B229="","",COUNTIFS('Raw Data'!$R$2:$R$50000,$B229))</f>
        <v/>
      </c>
      <c r="E229" s="11" t="str">
        <f>IF($B229="","",SUMIFS('Raw Data'!$I$2:$I$50000,'Raw Data'!$R$2:$R$50000,$B229))</f>
        <v/>
      </c>
      <c r="F229" s="11" t="str">
        <f>IF($B229="","",RANK($E229,$E$2:$E$1501)+COUNTIF($E$2:E229,$E229)-1)</f>
        <v/>
      </c>
      <c r="G229" s="11" t="str">
        <f>IF($B229="","",RANK($D229,$D$2:$D$1501)+COUNTIF($D$2:D229,$D229)-1)</f>
        <v/>
      </c>
    </row>
    <row r="230" spans="1:7">
      <c r="A230" s="11">
        <v>229</v>
      </c>
      <c r="B230" s="11" t="str">
        <f>IFERROR(INDEX('Raw Data'!$R$2:$R$50000,MATCH(229,'Raw Data'!$W$2:$W$50000,0)),"")</f>
        <v/>
      </c>
      <c r="C230" s="11" t="str">
        <f t="shared" si="3"/>
        <v/>
      </c>
      <c r="D230" s="11" t="str">
        <f>IF($B230="","",COUNTIFS('Raw Data'!$R$2:$R$50000,$B230))</f>
        <v/>
      </c>
      <c r="E230" s="11" t="str">
        <f>IF($B230="","",SUMIFS('Raw Data'!$I$2:$I$50000,'Raw Data'!$R$2:$R$50000,$B230))</f>
        <v/>
      </c>
      <c r="F230" s="11" t="str">
        <f>IF($B230="","",RANK($E230,$E$2:$E$1501)+COUNTIF($E$2:E230,$E230)-1)</f>
        <v/>
      </c>
      <c r="G230" s="11" t="str">
        <f>IF($B230="","",RANK($D230,$D$2:$D$1501)+COUNTIF($D$2:D230,$D230)-1)</f>
        <v/>
      </c>
    </row>
    <row r="231" spans="1:7">
      <c r="A231" s="11">
        <v>230</v>
      </c>
      <c r="B231" s="11" t="str">
        <f>IFERROR(INDEX('Raw Data'!$R$2:$R$50000,MATCH(230,'Raw Data'!$W$2:$W$50000,0)),"")</f>
        <v/>
      </c>
      <c r="C231" s="11" t="str">
        <f t="shared" si="3"/>
        <v/>
      </c>
      <c r="D231" s="11" t="str">
        <f>IF($B231="","",COUNTIFS('Raw Data'!$R$2:$R$50000,$B231))</f>
        <v/>
      </c>
      <c r="E231" s="11" t="str">
        <f>IF($B231="","",SUMIFS('Raw Data'!$I$2:$I$50000,'Raw Data'!$R$2:$R$50000,$B231))</f>
        <v/>
      </c>
      <c r="F231" s="11" t="str">
        <f>IF($B231="","",RANK($E231,$E$2:$E$1501)+COUNTIF($E$2:E231,$E231)-1)</f>
        <v/>
      </c>
      <c r="G231" s="11" t="str">
        <f>IF($B231="","",RANK($D231,$D$2:$D$1501)+COUNTIF($D$2:D231,$D231)-1)</f>
        <v/>
      </c>
    </row>
    <row r="232" spans="1:7">
      <c r="A232" s="11">
        <v>231</v>
      </c>
      <c r="B232" s="11" t="str">
        <f>IFERROR(INDEX('Raw Data'!$R$2:$R$50000,MATCH(231,'Raw Data'!$W$2:$W$50000,0)),"")</f>
        <v/>
      </c>
      <c r="C232" s="11" t="str">
        <f t="shared" si="3"/>
        <v/>
      </c>
      <c r="D232" s="11" t="str">
        <f>IF($B232="","",COUNTIFS('Raw Data'!$R$2:$R$50000,$B232))</f>
        <v/>
      </c>
      <c r="E232" s="11" t="str">
        <f>IF($B232="","",SUMIFS('Raw Data'!$I$2:$I$50000,'Raw Data'!$R$2:$R$50000,$B232))</f>
        <v/>
      </c>
      <c r="F232" s="11" t="str">
        <f>IF($B232="","",RANK($E232,$E$2:$E$1501)+COUNTIF($E$2:E232,$E232)-1)</f>
        <v/>
      </c>
      <c r="G232" s="11" t="str">
        <f>IF($B232="","",RANK($D232,$D$2:$D$1501)+COUNTIF($D$2:D232,$D232)-1)</f>
        <v/>
      </c>
    </row>
    <row r="233" spans="1:7">
      <c r="A233" s="11">
        <v>232</v>
      </c>
      <c r="B233" s="11" t="str">
        <f>IFERROR(INDEX('Raw Data'!$R$2:$R$50000,MATCH(232,'Raw Data'!$W$2:$W$50000,0)),"")</f>
        <v/>
      </c>
      <c r="C233" s="11" t="str">
        <f t="shared" si="3"/>
        <v/>
      </c>
      <c r="D233" s="11" t="str">
        <f>IF($B233="","",COUNTIFS('Raw Data'!$R$2:$R$50000,$B233))</f>
        <v/>
      </c>
      <c r="E233" s="11" t="str">
        <f>IF($B233="","",SUMIFS('Raw Data'!$I$2:$I$50000,'Raw Data'!$R$2:$R$50000,$B233))</f>
        <v/>
      </c>
      <c r="F233" s="11" t="str">
        <f>IF($B233="","",RANK($E233,$E$2:$E$1501)+COUNTIF($E$2:E233,$E233)-1)</f>
        <v/>
      </c>
      <c r="G233" s="11" t="str">
        <f>IF($B233="","",RANK($D233,$D$2:$D$1501)+COUNTIF($D$2:D233,$D233)-1)</f>
        <v/>
      </c>
    </row>
    <row r="234" spans="1:7">
      <c r="A234" s="11">
        <v>233</v>
      </c>
      <c r="B234" s="11" t="str">
        <f>IFERROR(INDEX('Raw Data'!$R$2:$R$50000,MATCH(233,'Raw Data'!$W$2:$W$50000,0)),"")</f>
        <v/>
      </c>
      <c r="C234" s="11" t="str">
        <f t="shared" si="3"/>
        <v/>
      </c>
      <c r="D234" s="11" t="str">
        <f>IF($B234="","",COUNTIFS('Raw Data'!$R$2:$R$50000,$B234))</f>
        <v/>
      </c>
      <c r="E234" s="11" t="str">
        <f>IF($B234="","",SUMIFS('Raw Data'!$I$2:$I$50000,'Raw Data'!$R$2:$R$50000,$B234))</f>
        <v/>
      </c>
      <c r="F234" s="11" t="str">
        <f>IF($B234="","",RANK($E234,$E$2:$E$1501)+COUNTIF($E$2:E234,$E234)-1)</f>
        <v/>
      </c>
      <c r="G234" s="11" t="str">
        <f>IF($B234="","",RANK($D234,$D$2:$D$1501)+COUNTIF($D$2:D234,$D234)-1)</f>
        <v/>
      </c>
    </row>
    <row r="235" spans="1:7">
      <c r="A235" s="11">
        <v>234</v>
      </c>
      <c r="B235" s="11" t="str">
        <f>IFERROR(INDEX('Raw Data'!$R$2:$R$50000,MATCH(234,'Raw Data'!$W$2:$W$50000,0)),"")</f>
        <v/>
      </c>
      <c r="C235" s="11" t="str">
        <f t="shared" si="3"/>
        <v/>
      </c>
      <c r="D235" s="11" t="str">
        <f>IF($B235="","",COUNTIFS('Raw Data'!$R$2:$R$50000,$B235))</f>
        <v/>
      </c>
      <c r="E235" s="11" t="str">
        <f>IF($B235="","",SUMIFS('Raw Data'!$I$2:$I$50000,'Raw Data'!$R$2:$R$50000,$B235))</f>
        <v/>
      </c>
      <c r="F235" s="11" t="str">
        <f>IF($B235="","",RANK($E235,$E$2:$E$1501)+COUNTIF($E$2:E235,$E235)-1)</f>
        <v/>
      </c>
      <c r="G235" s="11" t="str">
        <f>IF($B235="","",RANK($D235,$D$2:$D$1501)+COUNTIF($D$2:D235,$D235)-1)</f>
        <v/>
      </c>
    </row>
    <row r="236" spans="1:7">
      <c r="A236" s="11">
        <v>235</v>
      </c>
      <c r="B236" s="11" t="str">
        <f>IFERROR(INDEX('Raw Data'!$R$2:$R$50000,MATCH(235,'Raw Data'!$W$2:$W$50000,0)),"")</f>
        <v/>
      </c>
      <c r="C236" s="11" t="str">
        <f t="shared" si="3"/>
        <v/>
      </c>
      <c r="D236" s="11" t="str">
        <f>IF($B236="","",COUNTIFS('Raw Data'!$R$2:$R$50000,$B236))</f>
        <v/>
      </c>
      <c r="E236" s="11" t="str">
        <f>IF($B236="","",SUMIFS('Raw Data'!$I$2:$I$50000,'Raw Data'!$R$2:$R$50000,$B236))</f>
        <v/>
      </c>
      <c r="F236" s="11" t="str">
        <f>IF($B236="","",RANK($E236,$E$2:$E$1501)+COUNTIF($E$2:E236,$E236)-1)</f>
        <v/>
      </c>
      <c r="G236" s="11" t="str">
        <f>IF($B236="","",RANK($D236,$D$2:$D$1501)+COUNTIF($D$2:D236,$D236)-1)</f>
        <v/>
      </c>
    </row>
    <row r="237" spans="1:7">
      <c r="A237" s="11">
        <v>236</v>
      </c>
      <c r="B237" s="11" t="str">
        <f>IFERROR(INDEX('Raw Data'!$R$2:$R$50000,MATCH(236,'Raw Data'!$W$2:$W$50000,0)),"")</f>
        <v/>
      </c>
      <c r="C237" s="11" t="str">
        <f t="shared" si="3"/>
        <v/>
      </c>
      <c r="D237" s="11" t="str">
        <f>IF($B237="","",COUNTIFS('Raw Data'!$R$2:$R$50000,$B237))</f>
        <v/>
      </c>
      <c r="E237" s="11" t="str">
        <f>IF($B237="","",SUMIFS('Raw Data'!$I$2:$I$50000,'Raw Data'!$R$2:$R$50000,$B237))</f>
        <v/>
      </c>
      <c r="F237" s="11" t="str">
        <f>IF($B237="","",RANK($E237,$E$2:$E$1501)+COUNTIF($E$2:E237,$E237)-1)</f>
        <v/>
      </c>
      <c r="G237" s="11" t="str">
        <f>IF($B237="","",RANK($D237,$D$2:$D$1501)+COUNTIF($D$2:D237,$D237)-1)</f>
        <v/>
      </c>
    </row>
    <row r="238" spans="1:7">
      <c r="A238" s="11">
        <v>237</v>
      </c>
      <c r="B238" s="11" t="str">
        <f>IFERROR(INDEX('Raw Data'!$R$2:$R$50000,MATCH(237,'Raw Data'!$W$2:$W$50000,0)),"")</f>
        <v/>
      </c>
      <c r="C238" s="11" t="str">
        <f t="shared" si="3"/>
        <v/>
      </c>
      <c r="D238" s="11" t="str">
        <f>IF($B238="","",COUNTIFS('Raw Data'!$R$2:$R$50000,$B238))</f>
        <v/>
      </c>
      <c r="E238" s="11" t="str">
        <f>IF($B238="","",SUMIFS('Raw Data'!$I$2:$I$50000,'Raw Data'!$R$2:$R$50000,$B238))</f>
        <v/>
      </c>
      <c r="F238" s="11" t="str">
        <f>IF($B238="","",RANK($E238,$E$2:$E$1501)+COUNTIF($E$2:E238,$E238)-1)</f>
        <v/>
      </c>
      <c r="G238" s="11" t="str">
        <f>IF($B238="","",RANK($D238,$D$2:$D$1501)+COUNTIF($D$2:D238,$D238)-1)</f>
        <v/>
      </c>
    </row>
    <row r="239" spans="1:7">
      <c r="A239" s="11">
        <v>238</v>
      </c>
      <c r="B239" s="11" t="str">
        <f>IFERROR(INDEX('Raw Data'!$R$2:$R$50000,MATCH(238,'Raw Data'!$W$2:$W$50000,0)),"")</f>
        <v/>
      </c>
      <c r="C239" s="11" t="str">
        <f t="shared" si="3"/>
        <v/>
      </c>
      <c r="D239" s="11" t="str">
        <f>IF($B239="","",COUNTIFS('Raw Data'!$R$2:$R$50000,$B239))</f>
        <v/>
      </c>
      <c r="E239" s="11" t="str">
        <f>IF($B239="","",SUMIFS('Raw Data'!$I$2:$I$50000,'Raw Data'!$R$2:$R$50000,$B239))</f>
        <v/>
      </c>
      <c r="F239" s="11" t="str">
        <f>IF($B239="","",RANK($E239,$E$2:$E$1501)+COUNTIF($E$2:E239,$E239)-1)</f>
        <v/>
      </c>
      <c r="G239" s="11" t="str">
        <f>IF($B239="","",RANK($D239,$D$2:$D$1501)+COUNTIF($D$2:D239,$D239)-1)</f>
        <v/>
      </c>
    </row>
    <row r="240" spans="1:7">
      <c r="A240" s="11">
        <v>239</v>
      </c>
      <c r="B240" s="11" t="str">
        <f>IFERROR(INDEX('Raw Data'!$R$2:$R$50000,MATCH(239,'Raw Data'!$W$2:$W$50000,0)),"")</f>
        <v/>
      </c>
      <c r="C240" s="11" t="str">
        <f t="shared" si="3"/>
        <v/>
      </c>
      <c r="D240" s="11" t="str">
        <f>IF($B240="","",COUNTIFS('Raw Data'!$R$2:$R$50000,$B240))</f>
        <v/>
      </c>
      <c r="E240" s="11" t="str">
        <f>IF($B240="","",SUMIFS('Raw Data'!$I$2:$I$50000,'Raw Data'!$R$2:$R$50000,$B240))</f>
        <v/>
      </c>
      <c r="F240" s="11" t="str">
        <f>IF($B240="","",RANK($E240,$E$2:$E$1501)+COUNTIF($E$2:E240,$E240)-1)</f>
        <v/>
      </c>
      <c r="G240" s="11" t="str">
        <f>IF($B240="","",RANK($D240,$D$2:$D$1501)+COUNTIF($D$2:D240,$D240)-1)</f>
        <v/>
      </c>
    </row>
    <row r="241" spans="1:7">
      <c r="A241" s="11">
        <v>240</v>
      </c>
      <c r="B241" s="11" t="str">
        <f>IFERROR(INDEX('Raw Data'!$R$2:$R$50000,MATCH(240,'Raw Data'!$W$2:$W$50000,0)),"")</f>
        <v/>
      </c>
      <c r="C241" s="11" t="str">
        <f t="shared" si="3"/>
        <v/>
      </c>
      <c r="D241" s="11" t="str">
        <f>IF($B241="","",COUNTIFS('Raw Data'!$R$2:$R$50000,$B241))</f>
        <v/>
      </c>
      <c r="E241" s="11" t="str">
        <f>IF($B241="","",SUMIFS('Raw Data'!$I$2:$I$50000,'Raw Data'!$R$2:$R$50000,$B241))</f>
        <v/>
      </c>
      <c r="F241" s="11" t="str">
        <f>IF($B241="","",RANK($E241,$E$2:$E$1501)+COUNTIF($E$2:E241,$E241)-1)</f>
        <v/>
      </c>
      <c r="G241" s="11" t="str">
        <f>IF($B241="","",RANK($D241,$D$2:$D$1501)+COUNTIF($D$2:D241,$D241)-1)</f>
        <v/>
      </c>
    </row>
    <row r="242" spans="1:7">
      <c r="A242" s="11">
        <v>241</v>
      </c>
      <c r="B242" s="11" t="str">
        <f>IFERROR(INDEX('Raw Data'!$R$2:$R$50000,MATCH(241,'Raw Data'!$W$2:$W$50000,0)),"")</f>
        <v/>
      </c>
      <c r="C242" s="11" t="str">
        <f t="shared" si="3"/>
        <v/>
      </c>
      <c r="D242" s="11" t="str">
        <f>IF($B242="","",COUNTIFS('Raw Data'!$R$2:$R$50000,$B242))</f>
        <v/>
      </c>
      <c r="E242" s="11" t="str">
        <f>IF($B242="","",SUMIFS('Raw Data'!$I$2:$I$50000,'Raw Data'!$R$2:$R$50000,$B242))</f>
        <v/>
      </c>
      <c r="F242" s="11" t="str">
        <f>IF($B242="","",RANK($E242,$E$2:$E$1501)+COUNTIF($E$2:E242,$E242)-1)</f>
        <v/>
      </c>
      <c r="G242" s="11" t="str">
        <f>IF($B242="","",RANK($D242,$D$2:$D$1501)+COUNTIF($D$2:D242,$D242)-1)</f>
        <v/>
      </c>
    </row>
    <row r="243" spans="1:7">
      <c r="A243" s="11">
        <v>242</v>
      </c>
      <c r="B243" s="11" t="str">
        <f>IFERROR(INDEX('Raw Data'!$R$2:$R$50000,MATCH(242,'Raw Data'!$W$2:$W$50000,0)),"")</f>
        <v/>
      </c>
      <c r="C243" s="11" t="str">
        <f t="shared" si="3"/>
        <v/>
      </c>
      <c r="D243" s="11" t="str">
        <f>IF($B243="","",COUNTIFS('Raw Data'!$R$2:$R$50000,$B243))</f>
        <v/>
      </c>
      <c r="E243" s="11" t="str">
        <f>IF($B243="","",SUMIFS('Raw Data'!$I$2:$I$50000,'Raw Data'!$R$2:$R$50000,$B243))</f>
        <v/>
      </c>
      <c r="F243" s="11" t="str">
        <f>IF($B243="","",RANK($E243,$E$2:$E$1501)+COUNTIF($E$2:E243,$E243)-1)</f>
        <v/>
      </c>
      <c r="G243" s="11" t="str">
        <f>IF($B243="","",RANK($D243,$D$2:$D$1501)+COUNTIF($D$2:D243,$D243)-1)</f>
        <v/>
      </c>
    </row>
    <row r="244" spans="1:7">
      <c r="A244" s="11">
        <v>243</v>
      </c>
      <c r="B244" s="11" t="str">
        <f>IFERROR(INDEX('Raw Data'!$R$2:$R$50000,MATCH(243,'Raw Data'!$W$2:$W$50000,0)),"")</f>
        <v/>
      </c>
      <c r="C244" s="11" t="str">
        <f t="shared" si="3"/>
        <v/>
      </c>
      <c r="D244" s="11" t="str">
        <f>IF($B244="","",COUNTIFS('Raw Data'!$R$2:$R$50000,$B244))</f>
        <v/>
      </c>
      <c r="E244" s="11" t="str">
        <f>IF($B244="","",SUMIFS('Raw Data'!$I$2:$I$50000,'Raw Data'!$R$2:$R$50000,$B244))</f>
        <v/>
      </c>
      <c r="F244" s="11" t="str">
        <f>IF($B244="","",RANK($E244,$E$2:$E$1501)+COUNTIF($E$2:E244,$E244)-1)</f>
        <v/>
      </c>
      <c r="G244" s="11" t="str">
        <f>IF($B244="","",RANK($D244,$D$2:$D$1501)+COUNTIF($D$2:D244,$D244)-1)</f>
        <v/>
      </c>
    </row>
    <row r="245" spans="1:7">
      <c r="A245" s="11">
        <v>244</v>
      </c>
      <c r="B245" s="11" t="str">
        <f>IFERROR(INDEX('Raw Data'!$R$2:$R$50000,MATCH(244,'Raw Data'!$W$2:$W$50000,0)),"")</f>
        <v/>
      </c>
      <c r="C245" s="11" t="str">
        <f t="shared" si="3"/>
        <v/>
      </c>
      <c r="D245" s="11" t="str">
        <f>IF($B245="","",COUNTIFS('Raw Data'!$R$2:$R$50000,$B245))</f>
        <v/>
      </c>
      <c r="E245" s="11" t="str">
        <f>IF($B245="","",SUMIFS('Raw Data'!$I$2:$I$50000,'Raw Data'!$R$2:$R$50000,$B245))</f>
        <v/>
      </c>
      <c r="F245" s="11" t="str">
        <f>IF($B245="","",RANK($E245,$E$2:$E$1501)+COUNTIF($E$2:E245,$E245)-1)</f>
        <v/>
      </c>
      <c r="G245" s="11" t="str">
        <f>IF($B245="","",RANK($D245,$D$2:$D$1501)+COUNTIF($D$2:D245,$D245)-1)</f>
        <v/>
      </c>
    </row>
    <row r="246" spans="1:7">
      <c r="A246" s="11">
        <v>245</v>
      </c>
      <c r="B246" s="11" t="str">
        <f>IFERROR(INDEX('Raw Data'!$R$2:$R$50000,MATCH(245,'Raw Data'!$W$2:$W$50000,0)),"")</f>
        <v/>
      </c>
      <c r="C246" s="11" t="str">
        <f t="shared" si="3"/>
        <v/>
      </c>
      <c r="D246" s="11" t="str">
        <f>IF($B246="","",COUNTIFS('Raw Data'!$R$2:$R$50000,$B246))</f>
        <v/>
      </c>
      <c r="E246" s="11" t="str">
        <f>IF($B246="","",SUMIFS('Raw Data'!$I$2:$I$50000,'Raw Data'!$R$2:$R$50000,$B246))</f>
        <v/>
      </c>
      <c r="F246" s="11" t="str">
        <f>IF($B246="","",RANK($E246,$E$2:$E$1501)+COUNTIF($E$2:E246,$E246)-1)</f>
        <v/>
      </c>
      <c r="G246" s="11" t="str">
        <f>IF($B246="","",RANK($D246,$D$2:$D$1501)+COUNTIF($D$2:D246,$D246)-1)</f>
        <v/>
      </c>
    </row>
    <row r="247" spans="1:7">
      <c r="A247" s="11">
        <v>246</v>
      </c>
      <c r="B247" s="11" t="str">
        <f>IFERROR(INDEX('Raw Data'!$R$2:$R$50000,MATCH(246,'Raw Data'!$W$2:$W$50000,0)),"")</f>
        <v/>
      </c>
      <c r="C247" s="11" t="str">
        <f t="shared" si="3"/>
        <v/>
      </c>
      <c r="D247" s="11" t="str">
        <f>IF($B247="","",COUNTIFS('Raw Data'!$R$2:$R$50000,$B247))</f>
        <v/>
      </c>
      <c r="E247" s="11" t="str">
        <f>IF($B247="","",SUMIFS('Raw Data'!$I$2:$I$50000,'Raw Data'!$R$2:$R$50000,$B247))</f>
        <v/>
      </c>
      <c r="F247" s="11" t="str">
        <f>IF($B247="","",RANK($E247,$E$2:$E$1501)+COUNTIF($E$2:E247,$E247)-1)</f>
        <v/>
      </c>
      <c r="G247" s="11" t="str">
        <f>IF($B247="","",RANK($D247,$D$2:$D$1501)+COUNTIF($D$2:D247,$D247)-1)</f>
        <v/>
      </c>
    </row>
    <row r="248" spans="1:7">
      <c r="A248" s="11">
        <v>247</v>
      </c>
      <c r="B248" s="11" t="str">
        <f>IFERROR(INDEX('Raw Data'!$R$2:$R$50000,MATCH(247,'Raw Data'!$W$2:$W$50000,0)),"")</f>
        <v/>
      </c>
      <c r="C248" s="11" t="str">
        <f t="shared" si="3"/>
        <v/>
      </c>
      <c r="D248" s="11" t="str">
        <f>IF($B248="","",COUNTIFS('Raw Data'!$R$2:$R$50000,$B248))</f>
        <v/>
      </c>
      <c r="E248" s="11" t="str">
        <f>IF($B248="","",SUMIFS('Raw Data'!$I$2:$I$50000,'Raw Data'!$R$2:$R$50000,$B248))</f>
        <v/>
      </c>
      <c r="F248" s="11" t="str">
        <f>IF($B248="","",RANK($E248,$E$2:$E$1501)+COUNTIF($E$2:E248,$E248)-1)</f>
        <v/>
      </c>
      <c r="G248" s="11" t="str">
        <f>IF($B248="","",RANK($D248,$D$2:$D$1501)+COUNTIF($D$2:D248,$D248)-1)</f>
        <v/>
      </c>
    </row>
    <row r="249" spans="1:7">
      <c r="A249" s="11">
        <v>248</v>
      </c>
      <c r="B249" s="11" t="str">
        <f>IFERROR(INDEX('Raw Data'!$R$2:$R$50000,MATCH(248,'Raw Data'!$W$2:$W$50000,0)),"")</f>
        <v/>
      </c>
      <c r="C249" s="11" t="str">
        <f t="shared" si="3"/>
        <v/>
      </c>
      <c r="D249" s="11" t="str">
        <f>IF($B249="","",COUNTIFS('Raw Data'!$R$2:$R$50000,$B249))</f>
        <v/>
      </c>
      <c r="E249" s="11" t="str">
        <f>IF($B249="","",SUMIFS('Raw Data'!$I$2:$I$50000,'Raw Data'!$R$2:$R$50000,$B249))</f>
        <v/>
      </c>
      <c r="F249" s="11" t="str">
        <f>IF($B249="","",RANK($E249,$E$2:$E$1501)+COUNTIF($E$2:E249,$E249)-1)</f>
        <v/>
      </c>
      <c r="G249" s="11" t="str">
        <f>IF($B249="","",RANK($D249,$D$2:$D$1501)+COUNTIF($D$2:D249,$D249)-1)</f>
        <v/>
      </c>
    </row>
    <row r="250" spans="1:7">
      <c r="A250" s="11">
        <v>249</v>
      </c>
      <c r="B250" s="11" t="str">
        <f>IFERROR(INDEX('Raw Data'!$R$2:$R$50000,MATCH(249,'Raw Data'!$W$2:$W$50000,0)),"")</f>
        <v/>
      </c>
      <c r="C250" s="11" t="str">
        <f t="shared" si="3"/>
        <v/>
      </c>
      <c r="D250" s="11" t="str">
        <f>IF($B250="","",COUNTIFS('Raw Data'!$R$2:$R$50000,$B250))</f>
        <v/>
      </c>
      <c r="E250" s="11" t="str">
        <f>IF($B250="","",SUMIFS('Raw Data'!$I$2:$I$50000,'Raw Data'!$R$2:$R$50000,$B250))</f>
        <v/>
      </c>
      <c r="F250" s="11" t="str">
        <f>IF($B250="","",RANK($E250,$E$2:$E$1501)+COUNTIF($E$2:E250,$E250)-1)</f>
        <v/>
      </c>
      <c r="G250" s="11" t="str">
        <f>IF($B250="","",RANK($D250,$D$2:$D$1501)+COUNTIF($D$2:D250,$D250)-1)</f>
        <v/>
      </c>
    </row>
    <row r="251" spans="1:7">
      <c r="A251" s="11">
        <v>250</v>
      </c>
      <c r="B251" s="11" t="str">
        <f>IFERROR(INDEX('Raw Data'!$R$2:$R$50000,MATCH(250,'Raw Data'!$W$2:$W$50000,0)),"")</f>
        <v/>
      </c>
      <c r="C251" s="11" t="str">
        <f t="shared" si="3"/>
        <v/>
      </c>
      <c r="D251" s="11" t="str">
        <f>IF($B251="","",COUNTIFS('Raw Data'!$R$2:$R$50000,$B251))</f>
        <v/>
      </c>
      <c r="E251" s="11" t="str">
        <f>IF($B251="","",SUMIFS('Raw Data'!$I$2:$I$50000,'Raw Data'!$R$2:$R$50000,$B251))</f>
        <v/>
      </c>
      <c r="F251" s="11" t="str">
        <f>IF($B251="","",RANK($E251,$E$2:$E$1501)+COUNTIF($E$2:E251,$E251)-1)</f>
        <v/>
      </c>
      <c r="G251" s="11" t="str">
        <f>IF($B251="","",RANK($D251,$D$2:$D$1501)+COUNTIF($D$2:D251,$D251)-1)</f>
        <v/>
      </c>
    </row>
    <row r="252" spans="1:7">
      <c r="A252" s="11">
        <v>251</v>
      </c>
      <c r="B252" s="11" t="str">
        <f>IFERROR(INDEX('Raw Data'!$R$2:$R$50000,MATCH(251,'Raw Data'!$W$2:$W$50000,0)),"")</f>
        <v/>
      </c>
      <c r="C252" s="11" t="str">
        <f t="shared" si="3"/>
        <v/>
      </c>
      <c r="D252" s="11" t="str">
        <f>IF($B252="","",COUNTIFS('Raw Data'!$R$2:$R$50000,$B252))</f>
        <v/>
      </c>
      <c r="E252" s="11" t="str">
        <f>IF($B252="","",SUMIFS('Raw Data'!$I$2:$I$50000,'Raw Data'!$R$2:$R$50000,$B252))</f>
        <v/>
      </c>
      <c r="F252" s="11" t="str">
        <f>IF($B252="","",RANK($E252,$E$2:$E$1501)+COUNTIF($E$2:E252,$E252)-1)</f>
        <v/>
      </c>
      <c r="G252" s="11" t="str">
        <f>IF($B252="","",RANK($D252,$D$2:$D$1501)+COUNTIF($D$2:D252,$D252)-1)</f>
        <v/>
      </c>
    </row>
    <row r="253" spans="1:7">
      <c r="A253" s="11">
        <v>252</v>
      </c>
      <c r="B253" s="11" t="str">
        <f>IFERROR(INDEX('Raw Data'!$R$2:$R$50000,MATCH(252,'Raw Data'!$W$2:$W$50000,0)),"")</f>
        <v/>
      </c>
      <c r="C253" s="11" t="str">
        <f t="shared" si="3"/>
        <v/>
      </c>
      <c r="D253" s="11" t="str">
        <f>IF($B253="","",COUNTIFS('Raw Data'!$R$2:$R$50000,$B253))</f>
        <v/>
      </c>
      <c r="E253" s="11" t="str">
        <f>IF($B253="","",SUMIFS('Raw Data'!$I$2:$I$50000,'Raw Data'!$R$2:$R$50000,$B253))</f>
        <v/>
      </c>
      <c r="F253" s="11" t="str">
        <f>IF($B253="","",RANK($E253,$E$2:$E$1501)+COUNTIF($E$2:E253,$E253)-1)</f>
        <v/>
      </c>
      <c r="G253" s="11" t="str">
        <f>IF($B253="","",RANK($D253,$D$2:$D$1501)+COUNTIF($D$2:D253,$D253)-1)</f>
        <v/>
      </c>
    </row>
    <row r="254" spans="1:7">
      <c r="A254" s="11">
        <v>253</v>
      </c>
      <c r="B254" s="11" t="str">
        <f>IFERROR(INDEX('Raw Data'!$R$2:$R$50000,MATCH(253,'Raw Data'!$W$2:$W$50000,0)),"")</f>
        <v/>
      </c>
      <c r="C254" s="11" t="str">
        <f t="shared" si="3"/>
        <v/>
      </c>
      <c r="D254" s="11" t="str">
        <f>IF($B254="","",COUNTIFS('Raw Data'!$R$2:$R$50000,$B254))</f>
        <v/>
      </c>
      <c r="E254" s="11" t="str">
        <f>IF($B254="","",SUMIFS('Raw Data'!$I$2:$I$50000,'Raw Data'!$R$2:$R$50000,$B254))</f>
        <v/>
      </c>
      <c r="F254" s="11" t="str">
        <f>IF($B254="","",RANK($E254,$E$2:$E$1501)+COUNTIF($E$2:E254,$E254)-1)</f>
        <v/>
      </c>
      <c r="G254" s="11" t="str">
        <f>IF($B254="","",RANK($D254,$D$2:$D$1501)+COUNTIF($D$2:D254,$D254)-1)</f>
        <v/>
      </c>
    </row>
    <row r="255" spans="1:7">
      <c r="A255" s="11">
        <v>254</v>
      </c>
      <c r="B255" s="11" t="str">
        <f>IFERROR(INDEX('Raw Data'!$R$2:$R$50000,MATCH(254,'Raw Data'!$W$2:$W$50000,0)),"")</f>
        <v/>
      </c>
      <c r="C255" s="11" t="str">
        <f t="shared" si="3"/>
        <v/>
      </c>
      <c r="D255" s="11" t="str">
        <f>IF($B255="","",COUNTIFS('Raw Data'!$R$2:$R$50000,$B255))</f>
        <v/>
      </c>
      <c r="E255" s="11" t="str">
        <f>IF($B255="","",SUMIFS('Raw Data'!$I$2:$I$50000,'Raw Data'!$R$2:$R$50000,$B255))</f>
        <v/>
      </c>
      <c r="F255" s="11" t="str">
        <f>IF($B255="","",RANK($E255,$E$2:$E$1501)+COUNTIF($E$2:E255,$E255)-1)</f>
        <v/>
      </c>
      <c r="G255" s="11" t="str">
        <f>IF($B255="","",RANK($D255,$D$2:$D$1501)+COUNTIF($D$2:D255,$D255)-1)</f>
        <v/>
      </c>
    </row>
    <row r="256" spans="1:7">
      <c r="A256" s="11">
        <v>255</v>
      </c>
      <c r="B256" s="11" t="str">
        <f>IFERROR(INDEX('Raw Data'!$R$2:$R$50000,MATCH(255,'Raw Data'!$W$2:$W$50000,0)),"")</f>
        <v/>
      </c>
      <c r="C256" s="11" t="str">
        <f t="shared" si="3"/>
        <v/>
      </c>
      <c r="D256" s="11" t="str">
        <f>IF($B256="","",COUNTIFS('Raw Data'!$R$2:$R$50000,$B256))</f>
        <v/>
      </c>
      <c r="E256" s="11" t="str">
        <f>IF($B256="","",SUMIFS('Raw Data'!$I$2:$I$50000,'Raw Data'!$R$2:$R$50000,$B256))</f>
        <v/>
      </c>
      <c r="F256" s="11" t="str">
        <f>IF($B256="","",RANK($E256,$E$2:$E$1501)+COUNTIF($E$2:E256,$E256)-1)</f>
        <v/>
      </c>
      <c r="G256" s="11" t="str">
        <f>IF($B256="","",RANK($D256,$D$2:$D$1501)+COUNTIF($D$2:D256,$D256)-1)</f>
        <v/>
      </c>
    </row>
    <row r="257" spans="1:7">
      <c r="A257" s="11">
        <v>256</v>
      </c>
      <c r="B257" s="11" t="str">
        <f>IFERROR(INDEX('Raw Data'!$R$2:$R$50000,MATCH(256,'Raw Data'!$W$2:$W$50000,0)),"")</f>
        <v/>
      </c>
      <c r="C257" s="11" t="str">
        <f t="shared" si="3"/>
        <v/>
      </c>
      <c r="D257" s="11" t="str">
        <f>IF($B257="","",COUNTIFS('Raw Data'!$R$2:$R$50000,$B257))</f>
        <v/>
      </c>
      <c r="E257" s="11" t="str">
        <f>IF($B257="","",SUMIFS('Raw Data'!$I$2:$I$50000,'Raw Data'!$R$2:$R$50000,$B257))</f>
        <v/>
      </c>
      <c r="F257" s="11" t="str">
        <f>IF($B257="","",RANK($E257,$E$2:$E$1501)+COUNTIF($E$2:E257,$E257)-1)</f>
        <v/>
      </c>
      <c r="G257" s="11" t="str">
        <f>IF($B257="","",RANK($D257,$D$2:$D$1501)+COUNTIF($D$2:D257,$D257)-1)</f>
        <v/>
      </c>
    </row>
    <row r="258" spans="1:7">
      <c r="A258" s="11">
        <v>257</v>
      </c>
      <c r="B258" s="11" t="str">
        <f>IFERROR(INDEX('Raw Data'!$R$2:$R$50000,MATCH(257,'Raw Data'!$W$2:$W$50000,0)),"")</f>
        <v/>
      </c>
      <c r="C258" s="11" t="str">
        <f t="shared" ref="C258:C321" si="4">IF($B258="","",$B258)</f>
        <v/>
      </c>
      <c r="D258" s="11" t="str">
        <f>IF($B258="","",COUNTIFS('Raw Data'!$R$2:$R$50000,$B258))</f>
        <v/>
      </c>
      <c r="E258" s="11" t="str">
        <f>IF($B258="","",SUMIFS('Raw Data'!$I$2:$I$50000,'Raw Data'!$R$2:$R$50000,$B258))</f>
        <v/>
      </c>
      <c r="F258" s="11" t="str">
        <f>IF($B258="","",RANK($E258,$E$2:$E$1501)+COUNTIF($E$2:E258,$E258)-1)</f>
        <v/>
      </c>
      <c r="G258" s="11" t="str">
        <f>IF($B258="","",RANK($D258,$D$2:$D$1501)+COUNTIF($D$2:D258,$D258)-1)</f>
        <v/>
      </c>
    </row>
    <row r="259" spans="1:7">
      <c r="A259" s="11">
        <v>258</v>
      </c>
      <c r="B259" s="11" t="str">
        <f>IFERROR(INDEX('Raw Data'!$R$2:$R$50000,MATCH(258,'Raw Data'!$W$2:$W$50000,0)),"")</f>
        <v/>
      </c>
      <c r="C259" s="11" t="str">
        <f t="shared" si="4"/>
        <v/>
      </c>
      <c r="D259" s="11" t="str">
        <f>IF($B259="","",COUNTIFS('Raw Data'!$R$2:$R$50000,$B259))</f>
        <v/>
      </c>
      <c r="E259" s="11" t="str">
        <f>IF($B259="","",SUMIFS('Raw Data'!$I$2:$I$50000,'Raw Data'!$R$2:$R$50000,$B259))</f>
        <v/>
      </c>
      <c r="F259" s="11" t="str">
        <f>IF($B259="","",RANK($E259,$E$2:$E$1501)+COUNTIF($E$2:E259,$E259)-1)</f>
        <v/>
      </c>
      <c r="G259" s="11" t="str">
        <f>IF($B259="","",RANK($D259,$D$2:$D$1501)+COUNTIF($D$2:D259,$D259)-1)</f>
        <v/>
      </c>
    </row>
    <row r="260" spans="1:7">
      <c r="A260" s="11">
        <v>259</v>
      </c>
      <c r="B260" s="11" t="str">
        <f>IFERROR(INDEX('Raw Data'!$R$2:$R$50000,MATCH(259,'Raw Data'!$W$2:$W$50000,0)),"")</f>
        <v/>
      </c>
      <c r="C260" s="11" t="str">
        <f t="shared" si="4"/>
        <v/>
      </c>
      <c r="D260" s="11" t="str">
        <f>IF($B260="","",COUNTIFS('Raw Data'!$R$2:$R$50000,$B260))</f>
        <v/>
      </c>
      <c r="E260" s="11" t="str">
        <f>IF($B260="","",SUMIFS('Raw Data'!$I$2:$I$50000,'Raw Data'!$R$2:$R$50000,$B260))</f>
        <v/>
      </c>
      <c r="F260" s="11" t="str">
        <f>IF($B260="","",RANK($E260,$E$2:$E$1501)+COUNTIF($E$2:E260,$E260)-1)</f>
        <v/>
      </c>
      <c r="G260" s="11" t="str">
        <f>IF($B260="","",RANK($D260,$D$2:$D$1501)+COUNTIF($D$2:D260,$D260)-1)</f>
        <v/>
      </c>
    </row>
    <row r="261" spans="1:7">
      <c r="A261" s="11">
        <v>260</v>
      </c>
      <c r="B261" s="11" t="str">
        <f>IFERROR(INDEX('Raw Data'!$R$2:$R$50000,MATCH(260,'Raw Data'!$W$2:$W$50000,0)),"")</f>
        <v/>
      </c>
      <c r="C261" s="11" t="str">
        <f t="shared" si="4"/>
        <v/>
      </c>
      <c r="D261" s="11" t="str">
        <f>IF($B261="","",COUNTIFS('Raw Data'!$R$2:$R$50000,$B261))</f>
        <v/>
      </c>
      <c r="E261" s="11" t="str">
        <f>IF($B261="","",SUMIFS('Raw Data'!$I$2:$I$50000,'Raw Data'!$R$2:$R$50000,$B261))</f>
        <v/>
      </c>
      <c r="F261" s="11" t="str">
        <f>IF($B261="","",RANK($E261,$E$2:$E$1501)+COUNTIF($E$2:E261,$E261)-1)</f>
        <v/>
      </c>
      <c r="G261" s="11" t="str">
        <f>IF($B261="","",RANK($D261,$D$2:$D$1501)+COUNTIF($D$2:D261,$D261)-1)</f>
        <v/>
      </c>
    </row>
    <row r="262" spans="1:7">
      <c r="A262" s="11">
        <v>261</v>
      </c>
      <c r="B262" s="11" t="str">
        <f>IFERROR(INDEX('Raw Data'!$R$2:$R$50000,MATCH(261,'Raw Data'!$W$2:$W$50000,0)),"")</f>
        <v/>
      </c>
      <c r="C262" s="11" t="str">
        <f t="shared" si="4"/>
        <v/>
      </c>
      <c r="D262" s="11" t="str">
        <f>IF($B262="","",COUNTIFS('Raw Data'!$R$2:$R$50000,$B262))</f>
        <v/>
      </c>
      <c r="E262" s="11" t="str">
        <f>IF($B262="","",SUMIFS('Raw Data'!$I$2:$I$50000,'Raw Data'!$R$2:$R$50000,$B262))</f>
        <v/>
      </c>
      <c r="F262" s="11" t="str">
        <f>IF($B262="","",RANK($E262,$E$2:$E$1501)+COUNTIF($E$2:E262,$E262)-1)</f>
        <v/>
      </c>
      <c r="G262" s="11" t="str">
        <f>IF($B262="","",RANK($D262,$D$2:$D$1501)+COUNTIF($D$2:D262,$D262)-1)</f>
        <v/>
      </c>
    </row>
    <row r="263" spans="1:7">
      <c r="A263" s="11">
        <v>262</v>
      </c>
      <c r="B263" s="11" t="str">
        <f>IFERROR(INDEX('Raw Data'!$R$2:$R$50000,MATCH(262,'Raw Data'!$W$2:$W$50000,0)),"")</f>
        <v/>
      </c>
      <c r="C263" s="11" t="str">
        <f t="shared" si="4"/>
        <v/>
      </c>
      <c r="D263" s="11" t="str">
        <f>IF($B263="","",COUNTIFS('Raw Data'!$R$2:$R$50000,$B263))</f>
        <v/>
      </c>
      <c r="E263" s="11" t="str">
        <f>IF($B263="","",SUMIFS('Raw Data'!$I$2:$I$50000,'Raw Data'!$R$2:$R$50000,$B263))</f>
        <v/>
      </c>
      <c r="F263" s="11" t="str">
        <f>IF($B263="","",RANK($E263,$E$2:$E$1501)+COUNTIF($E$2:E263,$E263)-1)</f>
        <v/>
      </c>
      <c r="G263" s="11" t="str">
        <f>IF($B263="","",RANK($D263,$D$2:$D$1501)+COUNTIF($D$2:D263,$D263)-1)</f>
        <v/>
      </c>
    </row>
    <row r="264" spans="1:7">
      <c r="A264" s="11">
        <v>263</v>
      </c>
      <c r="B264" s="11" t="str">
        <f>IFERROR(INDEX('Raw Data'!$R$2:$R$50000,MATCH(263,'Raw Data'!$W$2:$W$50000,0)),"")</f>
        <v/>
      </c>
      <c r="C264" s="11" t="str">
        <f t="shared" si="4"/>
        <v/>
      </c>
      <c r="D264" s="11" t="str">
        <f>IF($B264="","",COUNTIFS('Raw Data'!$R$2:$R$50000,$B264))</f>
        <v/>
      </c>
      <c r="E264" s="11" t="str">
        <f>IF($B264="","",SUMIFS('Raw Data'!$I$2:$I$50000,'Raw Data'!$R$2:$R$50000,$B264))</f>
        <v/>
      </c>
      <c r="F264" s="11" t="str">
        <f>IF($B264="","",RANK($E264,$E$2:$E$1501)+COUNTIF($E$2:E264,$E264)-1)</f>
        <v/>
      </c>
      <c r="G264" s="11" t="str">
        <f>IF($B264="","",RANK($D264,$D$2:$D$1501)+COUNTIF($D$2:D264,$D264)-1)</f>
        <v/>
      </c>
    </row>
    <row r="265" spans="1:7">
      <c r="A265" s="11">
        <v>264</v>
      </c>
      <c r="B265" s="11" t="str">
        <f>IFERROR(INDEX('Raw Data'!$R$2:$R$50000,MATCH(264,'Raw Data'!$W$2:$W$50000,0)),"")</f>
        <v/>
      </c>
      <c r="C265" s="11" t="str">
        <f t="shared" si="4"/>
        <v/>
      </c>
      <c r="D265" s="11" t="str">
        <f>IF($B265="","",COUNTIFS('Raw Data'!$R$2:$R$50000,$B265))</f>
        <v/>
      </c>
      <c r="E265" s="11" t="str">
        <f>IF($B265="","",SUMIFS('Raw Data'!$I$2:$I$50000,'Raw Data'!$R$2:$R$50000,$B265))</f>
        <v/>
      </c>
      <c r="F265" s="11" t="str">
        <f>IF($B265="","",RANK($E265,$E$2:$E$1501)+COUNTIF($E$2:E265,$E265)-1)</f>
        <v/>
      </c>
      <c r="G265" s="11" t="str">
        <f>IF($B265="","",RANK($D265,$D$2:$D$1501)+COUNTIF($D$2:D265,$D265)-1)</f>
        <v/>
      </c>
    </row>
    <row r="266" spans="1:7">
      <c r="A266" s="11">
        <v>265</v>
      </c>
      <c r="B266" s="11" t="str">
        <f>IFERROR(INDEX('Raw Data'!$R$2:$R$50000,MATCH(265,'Raw Data'!$W$2:$W$50000,0)),"")</f>
        <v/>
      </c>
      <c r="C266" s="11" t="str">
        <f t="shared" si="4"/>
        <v/>
      </c>
      <c r="D266" s="11" t="str">
        <f>IF($B266="","",COUNTIFS('Raw Data'!$R$2:$R$50000,$B266))</f>
        <v/>
      </c>
      <c r="E266" s="11" t="str">
        <f>IF($B266="","",SUMIFS('Raw Data'!$I$2:$I$50000,'Raw Data'!$R$2:$R$50000,$B266))</f>
        <v/>
      </c>
      <c r="F266" s="11" t="str">
        <f>IF($B266="","",RANK($E266,$E$2:$E$1501)+COUNTIF($E$2:E266,$E266)-1)</f>
        <v/>
      </c>
      <c r="G266" s="11" t="str">
        <f>IF($B266="","",RANK($D266,$D$2:$D$1501)+COUNTIF($D$2:D266,$D266)-1)</f>
        <v/>
      </c>
    </row>
    <row r="267" spans="1:7">
      <c r="A267" s="11">
        <v>266</v>
      </c>
      <c r="B267" s="11" t="str">
        <f>IFERROR(INDEX('Raw Data'!$R$2:$R$50000,MATCH(266,'Raw Data'!$W$2:$W$50000,0)),"")</f>
        <v/>
      </c>
      <c r="C267" s="11" t="str">
        <f t="shared" si="4"/>
        <v/>
      </c>
      <c r="D267" s="11" t="str">
        <f>IF($B267="","",COUNTIFS('Raw Data'!$R$2:$R$50000,$B267))</f>
        <v/>
      </c>
      <c r="E267" s="11" t="str">
        <f>IF($B267="","",SUMIFS('Raw Data'!$I$2:$I$50000,'Raw Data'!$R$2:$R$50000,$B267))</f>
        <v/>
      </c>
      <c r="F267" s="11" t="str">
        <f>IF($B267="","",RANK($E267,$E$2:$E$1501)+COUNTIF($E$2:E267,$E267)-1)</f>
        <v/>
      </c>
      <c r="G267" s="11" t="str">
        <f>IF($B267="","",RANK($D267,$D$2:$D$1501)+COUNTIF($D$2:D267,$D267)-1)</f>
        <v/>
      </c>
    </row>
    <row r="268" spans="1:7">
      <c r="A268" s="11">
        <v>267</v>
      </c>
      <c r="B268" s="11" t="str">
        <f>IFERROR(INDEX('Raw Data'!$R$2:$R$50000,MATCH(267,'Raw Data'!$W$2:$W$50000,0)),"")</f>
        <v/>
      </c>
      <c r="C268" s="11" t="str">
        <f t="shared" si="4"/>
        <v/>
      </c>
      <c r="D268" s="11" t="str">
        <f>IF($B268="","",COUNTIFS('Raw Data'!$R$2:$R$50000,$B268))</f>
        <v/>
      </c>
      <c r="E268" s="11" t="str">
        <f>IF($B268="","",SUMIFS('Raw Data'!$I$2:$I$50000,'Raw Data'!$R$2:$R$50000,$B268))</f>
        <v/>
      </c>
      <c r="F268" s="11" t="str">
        <f>IF($B268="","",RANK($E268,$E$2:$E$1501)+COUNTIF($E$2:E268,$E268)-1)</f>
        <v/>
      </c>
      <c r="G268" s="11" t="str">
        <f>IF($B268="","",RANK($D268,$D$2:$D$1501)+COUNTIF($D$2:D268,$D268)-1)</f>
        <v/>
      </c>
    </row>
    <row r="269" spans="1:7">
      <c r="A269" s="11">
        <v>268</v>
      </c>
      <c r="B269" s="11" t="str">
        <f>IFERROR(INDEX('Raw Data'!$R$2:$R$50000,MATCH(268,'Raw Data'!$W$2:$W$50000,0)),"")</f>
        <v/>
      </c>
      <c r="C269" s="11" t="str">
        <f t="shared" si="4"/>
        <v/>
      </c>
      <c r="D269" s="11" t="str">
        <f>IF($B269="","",COUNTIFS('Raw Data'!$R$2:$R$50000,$B269))</f>
        <v/>
      </c>
      <c r="E269" s="11" t="str">
        <f>IF($B269="","",SUMIFS('Raw Data'!$I$2:$I$50000,'Raw Data'!$R$2:$R$50000,$B269))</f>
        <v/>
      </c>
      <c r="F269" s="11" t="str">
        <f>IF($B269="","",RANK($E269,$E$2:$E$1501)+COUNTIF($E$2:E269,$E269)-1)</f>
        <v/>
      </c>
      <c r="G269" s="11" t="str">
        <f>IF($B269="","",RANK($D269,$D$2:$D$1501)+COUNTIF($D$2:D269,$D269)-1)</f>
        <v/>
      </c>
    </row>
    <row r="270" spans="1:7">
      <c r="A270" s="11">
        <v>269</v>
      </c>
      <c r="B270" s="11" t="str">
        <f>IFERROR(INDEX('Raw Data'!$R$2:$R$50000,MATCH(269,'Raw Data'!$W$2:$W$50000,0)),"")</f>
        <v/>
      </c>
      <c r="C270" s="11" t="str">
        <f t="shared" si="4"/>
        <v/>
      </c>
      <c r="D270" s="11" t="str">
        <f>IF($B270="","",COUNTIFS('Raw Data'!$R$2:$R$50000,$B270))</f>
        <v/>
      </c>
      <c r="E270" s="11" t="str">
        <f>IF($B270="","",SUMIFS('Raw Data'!$I$2:$I$50000,'Raw Data'!$R$2:$R$50000,$B270))</f>
        <v/>
      </c>
      <c r="F270" s="11" t="str">
        <f>IF($B270="","",RANK($E270,$E$2:$E$1501)+COUNTIF($E$2:E270,$E270)-1)</f>
        <v/>
      </c>
      <c r="G270" s="11" t="str">
        <f>IF($B270="","",RANK($D270,$D$2:$D$1501)+COUNTIF($D$2:D270,$D270)-1)</f>
        <v/>
      </c>
    </row>
    <row r="271" spans="1:7">
      <c r="A271" s="11">
        <v>270</v>
      </c>
      <c r="B271" s="11" t="str">
        <f>IFERROR(INDEX('Raw Data'!$R$2:$R$50000,MATCH(270,'Raw Data'!$W$2:$W$50000,0)),"")</f>
        <v/>
      </c>
      <c r="C271" s="11" t="str">
        <f t="shared" si="4"/>
        <v/>
      </c>
      <c r="D271" s="11" t="str">
        <f>IF($B271="","",COUNTIFS('Raw Data'!$R$2:$R$50000,$B271))</f>
        <v/>
      </c>
      <c r="E271" s="11" t="str">
        <f>IF($B271="","",SUMIFS('Raw Data'!$I$2:$I$50000,'Raw Data'!$R$2:$R$50000,$B271))</f>
        <v/>
      </c>
      <c r="F271" s="11" t="str">
        <f>IF($B271="","",RANK($E271,$E$2:$E$1501)+COUNTIF($E$2:E271,$E271)-1)</f>
        <v/>
      </c>
      <c r="G271" s="11" t="str">
        <f>IF($B271="","",RANK($D271,$D$2:$D$1501)+COUNTIF($D$2:D271,$D271)-1)</f>
        <v/>
      </c>
    </row>
    <row r="272" spans="1:7">
      <c r="A272" s="11">
        <v>271</v>
      </c>
      <c r="B272" s="11" t="str">
        <f>IFERROR(INDEX('Raw Data'!$R$2:$R$50000,MATCH(271,'Raw Data'!$W$2:$W$50000,0)),"")</f>
        <v/>
      </c>
      <c r="C272" s="11" t="str">
        <f t="shared" si="4"/>
        <v/>
      </c>
      <c r="D272" s="11" t="str">
        <f>IF($B272="","",COUNTIFS('Raw Data'!$R$2:$R$50000,$B272))</f>
        <v/>
      </c>
      <c r="E272" s="11" t="str">
        <f>IF($B272="","",SUMIFS('Raw Data'!$I$2:$I$50000,'Raw Data'!$R$2:$R$50000,$B272))</f>
        <v/>
      </c>
      <c r="F272" s="11" t="str">
        <f>IF($B272="","",RANK($E272,$E$2:$E$1501)+COUNTIF($E$2:E272,$E272)-1)</f>
        <v/>
      </c>
      <c r="G272" s="11" t="str">
        <f>IF($B272="","",RANK($D272,$D$2:$D$1501)+COUNTIF($D$2:D272,$D272)-1)</f>
        <v/>
      </c>
    </row>
    <row r="273" spans="1:7">
      <c r="A273" s="11">
        <v>272</v>
      </c>
      <c r="B273" s="11" t="str">
        <f>IFERROR(INDEX('Raw Data'!$R$2:$R$50000,MATCH(272,'Raw Data'!$W$2:$W$50000,0)),"")</f>
        <v/>
      </c>
      <c r="C273" s="11" t="str">
        <f t="shared" si="4"/>
        <v/>
      </c>
      <c r="D273" s="11" t="str">
        <f>IF($B273="","",COUNTIFS('Raw Data'!$R$2:$R$50000,$B273))</f>
        <v/>
      </c>
      <c r="E273" s="11" t="str">
        <f>IF($B273="","",SUMIFS('Raw Data'!$I$2:$I$50000,'Raw Data'!$R$2:$R$50000,$B273))</f>
        <v/>
      </c>
      <c r="F273" s="11" t="str">
        <f>IF($B273="","",RANK($E273,$E$2:$E$1501)+COUNTIF($E$2:E273,$E273)-1)</f>
        <v/>
      </c>
      <c r="G273" s="11" t="str">
        <f>IF($B273="","",RANK($D273,$D$2:$D$1501)+COUNTIF($D$2:D273,$D273)-1)</f>
        <v/>
      </c>
    </row>
    <row r="274" spans="1:7">
      <c r="A274" s="11">
        <v>273</v>
      </c>
      <c r="B274" s="11" t="str">
        <f>IFERROR(INDEX('Raw Data'!$R$2:$R$50000,MATCH(273,'Raw Data'!$W$2:$W$50000,0)),"")</f>
        <v/>
      </c>
      <c r="C274" s="11" t="str">
        <f t="shared" si="4"/>
        <v/>
      </c>
      <c r="D274" s="11" t="str">
        <f>IF($B274="","",COUNTIFS('Raw Data'!$R$2:$R$50000,$B274))</f>
        <v/>
      </c>
      <c r="E274" s="11" t="str">
        <f>IF($B274="","",SUMIFS('Raw Data'!$I$2:$I$50000,'Raw Data'!$R$2:$R$50000,$B274))</f>
        <v/>
      </c>
      <c r="F274" s="11" t="str">
        <f>IF($B274="","",RANK($E274,$E$2:$E$1501)+COUNTIF($E$2:E274,$E274)-1)</f>
        <v/>
      </c>
      <c r="G274" s="11" t="str">
        <f>IF($B274="","",RANK($D274,$D$2:$D$1501)+COUNTIF($D$2:D274,$D274)-1)</f>
        <v/>
      </c>
    </row>
    <row r="275" spans="1:7">
      <c r="A275" s="11">
        <v>274</v>
      </c>
      <c r="B275" s="11" t="str">
        <f>IFERROR(INDEX('Raw Data'!$R$2:$R$50000,MATCH(274,'Raw Data'!$W$2:$W$50000,0)),"")</f>
        <v/>
      </c>
      <c r="C275" s="11" t="str">
        <f t="shared" si="4"/>
        <v/>
      </c>
      <c r="D275" s="11" t="str">
        <f>IF($B275="","",COUNTIFS('Raw Data'!$R$2:$R$50000,$B275))</f>
        <v/>
      </c>
      <c r="E275" s="11" t="str">
        <f>IF($B275="","",SUMIFS('Raw Data'!$I$2:$I$50000,'Raw Data'!$R$2:$R$50000,$B275))</f>
        <v/>
      </c>
      <c r="F275" s="11" t="str">
        <f>IF($B275="","",RANK($E275,$E$2:$E$1501)+COUNTIF($E$2:E275,$E275)-1)</f>
        <v/>
      </c>
      <c r="G275" s="11" t="str">
        <f>IF($B275="","",RANK($D275,$D$2:$D$1501)+COUNTIF($D$2:D275,$D275)-1)</f>
        <v/>
      </c>
    </row>
    <row r="276" spans="1:7">
      <c r="A276" s="11">
        <v>275</v>
      </c>
      <c r="B276" s="11" t="str">
        <f>IFERROR(INDEX('Raw Data'!$R$2:$R$50000,MATCH(275,'Raw Data'!$W$2:$W$50000,0)),"")</f>
        <v/>
      </c>
      <c r="C276" s="11" t="str">
        <f t="shared" si="4"/>
        <v/>
      </c>
      <c r="D276" s="11" t="str">
        <f>IF($B276="","",COUNTIFS('Raw Data'!$R$2:$R$50000,$B276))</f>
        <v/>
      </c>
      <c r="E276" s="11" t="str">
        <f>IF($B276="","",SUMIFS('Raw Data'!$I$2:$I$50000,'Raw Data'!$R$2:$R$50000,$B276))</f>
        <v/>
      </c>
      <c r="F276" s="11" t="str">
        <f>IF($B276="","",RANK($E276,$E$2:$E$1501)+COUNTIF($E$2:E276,$E276)-1)</f>
        <v/>
      </c>
      <c r="G276" s="11" t="str">
        <f>IF($B276="","",RANK($D276,$D$2:$D$1501)+COUNTIF($D$2:D276,$D276)-1)</f>
        <v/>
      </c>
    </row>
    <row r="277" spans="1:7">
      <c r="A277" s="11">
        <v>276</v>
      </c>
      <c r="B277" s="11" t="str">
        <f>IFERROR(INDEX('Raw Data'!$R$2:$R$50000,MATCH(276,'Raw Data'!$W$2:$W$50000,0)),"")</f>
        <v/>
      </c>
      <c r="C277" s="11" t="str">
        <f t="shared" si="4"/>
        <v/>
      </c>
      <c r="D277" s="11" t="str">
        <f>IF($B277="","",COUNTIFS('Raw Data'!$R$2:$R$50000,$B277))</f>
        <v/>
      </c>
      <c r="E277" s="11" t="str">
        <f>IF($B277="","",SUMIFS('Raw Data'!$I$2:$I$50000,'Raw Data'!$R$2:$R$50000,$B277))</f>
        <v/>
      </c>
      <c r="F277" s="11" t="str">
        <f>IF($B277="","",RANK($E277,$E$2:$E$1501)+COUNTIF($E$2:E277,$E277)-1)</f>
        <v/>
      </c>
      <c r="G277" s="11" t="str">
        <f>IF($B277="","",RANK($D277,$D$2:$D$1501)+COUNTIF($D$2:D277,$D277)-1)</f>
        <v/>
      </c>
    </row>
    <row r="278" spans="1:7">
      <c r="A278" s="11">
        <v>277</v>
      </c>
      <c r="B278" s="11" t="str">
        <f>IFERROR(INDEX('Raw Data'!$R$2:$R$50000,MATCH(277,'Raw Data'!$W$2:$W$50000,0)),"")</f>
        <v/>
      </c>
      <c r="C278" s="11" t="str">
        <f t="shared" si="4"/>
        <v/>
      </c>
      <c r="D278" s="11" t="str">
        <f>IF($B278="","",COUNTIFS('Raw Data'!$R$2:$R$50000,$B278))</f>
        <v/>
      </c>
      <c r="E278" s="11" t="str">
        <f>IF($B278="","",SUMIFS('Raw Data'!$I$2:$I$50000,'Raw Data'!$R$2:$R$50000,$B278))</f>
        <v/>
      </c>
      <c r="F278" s="11" t="str">
        <f>IF($B278="","",RANK($E278,$E$2:$E$1501)+COUNTIF($E$2:E278,$E278)-1)</f>
        <v/>
      </c>
      <c r="G278" s="11" t="str">
        <f>IF($B278="","",RANK($D278,$D$2:$D$1501)+COUNTIF($D$2:D278,$D278)-1)</f>
        <v/>
      </c>
    </row>
    <row r="279" spans="1:7">
      <c r="A279" s="11">
        <v>278</v>
      </c>
      <c r="B279" s="11" t="str">
        <f>IFERROR(INDEX('Raw Data'!$R$2:$R$50000,MATCH(278,'Raw Data'!$W$2:$W$50000,0)),"")</f>
        <v/>
      </c>
      <c r="C279" s="11" t="str">
        <f t="shared" si="4"/>
        <v/>
      </c>
      <c r="D279" s="11" t="str">
        <f>IF($B279="","",COUNTIFS('Raw Data'!$R$2:$R$50000,$B279))</f>
        <v/>
      </c>
      <c r="E279" s="11" t="str">
        <f>IF($B279="","",SUMIFS('Raw Data'!$I$2:$I$50000,'Raw Data'!$R$2:$R$50000,$B279))</f>
        <v/>
      </c>
      <c r="F279" s="11" t="str">
        <f>IF($B279="","",RANK($E279,$E$2:$E$1501)+COUNTIF($E$2:E279,$E279)-1)</f>
        <v/>
      </c>
      <c r="G279" s="11" t="str">
        <f>IF($B279="","",RANK($D279,$D$2:$D$1501)+COUNTIF($D$2:D279,$D279)-1)</f>
        <v/>
      </c>
    </row>
    <row r="280" spans="1:7">
      <c r="A280" s="11">
        <v>279</v>
      </c>
      <c r="B280" s="11" t="str">
        <f>IFERROR(INDEX('Raw Data'!$R$2:$R$50000,MATCH(279,'Raw Data'!$W$2:$W$50000,0)),"")</f>
        <v/>
      </c>
      <c r="C280" s="11" t="str">
        <f t="shared" si="4"/>
        <v/>
      </c>
      <c r="D280" s="11" t="str">
        <f>IF($B280="","",COUNTIFS('Raw Data'!$R$2:$R$50000,$B280))</f>
        <v/>
      </c>
      <c r="E280" s="11" t="str">
        <f>IF($B280="","",SUMIFS('Raw Data'!$I$2:$I$50000,'Raw Data'!$R$2:$R$50000,$B280))</f>
        <v/>
      </c>
      <c r="F280" s="11" t="str">
        <f>IF($B280="","",RANK($E280,$E$2:$E$1501)+COUNTIF($E$2:E280,$E280)-1)</f>
        <v/>
      </c>
      <c r="G280" s="11" t="str">
        <f>IF($B280="","",RANK($D280,$D$2:$D$1501)+COUNTIF($D$2:D280,$D280)-1)</f>
        <v/>
      </c>
    </row>
    <row r="281" spans="1:7">
      <c r="A281" s="11">
        <v>280</v>
      </c>
      <c r="B281" s="11" t="str">
        <f>IFERROR(INDEX('Raw Data'!$R$2:$R$50000,MATCH(280,'Raw Data'!$W$2:$W$50000,0)),"")</f>
        <v/>
      </c>
      <c r="C281" s="11" t="str">
        <f t="shared" si="4"/>
        <v/>
      </c>
      <c r="D281" s="11" t="str">
        <f>IF($B281="","",COUNTIFS('Raw Data'!$R$2:$R$50000,$B281))</f>
        <v/>
      </c>
      <c r="E281" s="11" t="str">
        <f>IF($B281="","",SUMIFS('Raw Data'!$I$2:$I$50000,'Raw Data'!$R$2:$R$50000,$B281))</f>
        <v/>
      </c>
      <c r="F281" s="11" t="str">
        <f>IF($B281="","",RANK($E281,$E$2:$E$1501)+COUNTIF($E$2:E281,$E281)-1)</f>
        <v/>
      </c>
      <c r="G281" s="11" t="str">
        <f>IF($B281="","",RANK($D281,$D$2:$D$1501)+COUNTIF($D$2:D281,$D281)-1)</f>
        <v/>
      </c>
    </row>
    <row r="282" spans="1:7">
      <c r="A282" s="11">
        <v>281</v>
      </c>
      <c r="B282" s="11" t="str">
        <f>IFERROR(INDEX('Raw Data'!$R$2:$R$50000,MATCH(281,'Raw Data'!$W$2:$W$50000,0)),"")</f>
        <v/>
      </c>
      <c r="C282" s="11" t="str">
        <f t="shared" si="4"/>
        <v/>
      </c>
      <c r="D282" s="11" t="str">
        <f>IF($B282="","",COUNTIFS('Raw Data'!$R$2:$R$50000,$B282))</f>
        <v/>
      </c>
      <c r="E282" s="11" t="str">
        <f>IF($B282="","",SUMIFS('Raw Data'!$I$2:$I$50000,'Raw Data'!$R$2:$R$50000,$B282))</f>
        <v/>
      </c>
      <c r="F282" s="11" t="str">
        <f>IF($B282="","",RANK($E282,$E$2:$E$1501)+COUNTIF($E$2:E282,$E282)-1)</f>
        <v/>
      </c>
      <c r="G282" s="11" t="str">
        <f>IF($B282="","",RANK($D282,$D$2:$D$1501)+COUNTIF($D$2:D282,$D282)-1)</f>
        <v/>
      </c>
    </row>
    <row r="283" spans="1:7">
      <c r="A283" s="11">
        <v>282</v>
      </c>
      <c r="B283" s="11" t="str">
        <f>IFERROR(INDEX('Raw Data'!$R$2:$R$50000,MATCH(282,'Raw Data'!$W$2:$W$50000,0)),"")</f>
        <v/>
      </c>
      <c r="C283" s="11" t="str">
        <f t="shared" si="4"/>
        <v/>
      </c>
      <c r="D283" s="11" t="str">
        <f>IF($B283="","",COUNTIFS('Raw Data'!$R$2:$R$50000,$B283))</f>
        <v/>
      </c>
      <c r="E283" s="11" t="str">
        <f>IF($B283="","",SUMIFS('Raw Data'!$I$2:$I$50000,'Raw Data'!$R$2:$R$50000,$B283))</f>
        <v/>
      </c>
      <c r="F283" s="11" t="str">
        <f>IF($B283="","",RANK($E283,$E$2:$E$1501)+COUNTIF($E$2:E283,$E283)-1)</f>
        <v/>
      </c>
      <c r="G283" s="11" t="str">
        <f>IF($B283="","",RANK($D283,$D$2:$D$1501)+COUNTIF($D$2:D283,$D283)-1)</f>
        <v/>
      </c>
    </row>
    <row r="284" spans="1:7">
      <c r="A284" s="11">
        <v>283</v>
      </c>
      <c r="B284" s="11" t="str">
        <f>IFERROR(INDEX('Raw Data'!$R$2:$R$50000,MATCH(283,'Raw Data'!$W$2:$W$50000,0)),"")</f>
        <v/>
      </c>
      <c r="C284" s="11" t="str">
        <f t="shared" si="4"/>
        <v/>
      </c>
      <c r="D284" s="11" t="str">
        <f>IF($B284="","",COUNTIFS('Raw Data'!$R$2:$R$50000,$B284))</f>
        <v/>
      </c>
      <c r="E284" s="11" t="str">
        <f>IF($B284="","",SUMIFS('Raw Data'!$I$2:$I$50000,'Raw Data'!$R$2:$R$50000,$B284))</f>
        <v/>
      </c>
      <c r="F284" s="11" t="str">
        <f>IF($B284="","",RANK($E284,$E$2:$E$1501)+COUNTIF($E$2:E284,$E284)-1)</f>
        <v/>
      </c>
      <c r="G284" s="11" t="str">
        <f>IF($B284="","",RANK($D284,$D$2:$D$1501)+COUNTIF($D$2:D284,$D284)-1)</f>
        <v/>
      </c>
    </row>
    <row r="285" spans="1:7">
      <c r="A285" s="11">
        <v>284</v>
      </c>
      <c r="B285" s="11" t="str">
        <f>IFERROR(INDEX('Raw Data'!$R$2:$R$50000,MATCH(284,'Raw Data'!$W$2:$W$50000,0)),"")</f>
        <v/>
      </c>
      <c r="C285" s="11" t="str">
        <f t="shared" si="4"/>
        <v/>
      </c>
      <c r="D285" s="11" t="str">
        <f>IF($B285="","",COUNTIFS('Raw Data'!$R$2:$R$50000,$B285))</f>
        <v/>
      </c>
      <c r="E285" s="11" t="str">
        <f>IF($B285="","",SUMIFS('Raw Data'!$I$2:$I$50000,'Raw Data'!$R$2:$R$50000,$B285))</f>
        <v/>
      </c>
      <c r="F285" s="11" t="str">
        <f>IF($B285="","",RANK($E285,$E$2:$E$1501)+COUNTIF($E$2:E285,$E285)-1)</f>
        <v/>
      </c>
      <c r="G285" s="11" t="str">
        <f>IF($B285="","",RANK($D285,$D$2:$D$1501)+COUNTIF($D$2:D285,$D285)-1)</f>
        <v/>
      </c>
    </row>
    <row r="286" spans="1:7">
      <c r="A286" s="11">
        <v>285</v>
      </c>
      <c r="B286" s="11" t="str">
        <f>IFERROR(INDEX('Raw Data'!$R$2:$R$50000,MATCH(285,'Raw Data'!$W$2:$W$50000,0)),"")</f>
        <v/>
      </c>
      <c r="C286" s="11" t="str">
        <f t="shared" si="4"/>
        <v/>
      </c>
      <c r="D286" s="11" t="str">
        <f>IF($B286="","",COUNTIFS('Raw Data'!$R$2:$R$50000,$B286))</f>
        <v/>
      </c>
      <c r="E286" s="11" t="str">
        <f>IF($B286="","",SUMIFS('Raw Data'!$I$2:$I$50000,'Raw Data'!$R$2:$R$50000,$B286))</f>
        <v/>
      </c>
      <c r="F286" s="11" t="str">
        <f>IF($B286="","",RANK($E286,$E$2:$E$1501)+COUNTIF($E$2:E286,$E286)-1)</f>
        <v/>
      </c>
      <c r="G286" s="11" t="str">
        <f>IF($B286="","",RANK($D286,$D$2:$D$1501)+COUNTIF($D$2:D286,$D286)-1)</f>
        <v/>
      </c>
    </row>
    <row r="287" spans="1:7">
      <c r="A287" s="11">
        <v>286</v>
      </c>
      <c r="B287" s="11" t="str">
        <f>IFERROR(INDEX('Raw Data'!$R$2:$R$50000,MATCH(286,'Raw Data'!$W$2:$W$50000,0)),"")</f>
        <v/>
      </c>
      <c r="C287" s="11" t="str">
        <f t="shared" si="4"/>
        <v/>
      </c>
      <c r="D287" s="11" t="str">
        <f>IF($B287="","",COUNTIFS('Raw Data'!$R$2:$R$50000,$B287))</f>
        <v/>
      </c>
      <c r="E287" s="11" t="str">
        <f>IF($B287="","",SUMIFS('Raw Data'!$I$2:$I$50000,'Raw Data'!$R$2:$R$50000,$B287))</f>
        <v/>
      </c>
      <c r="F287" s="11" t="str">
        <f>IF($B287="","",RANK($E287,$E$2:$E$1501)+COUNTIF($E$2:E287,$E287)-1)</f>
        <v/>
      </c>
      <c r="G287" s="11" t="str">
        <f>IF($B287="","",RANK($D287,$D$2:$D$1501)+COUNTIF($D$2:D287,$D287)-1)</f>
        <v/>
      </c>
    </row>
    <row r="288" spans="1:7">
      <c r="A288" s="11">
        <v>287</v>
      </c>
      <c r="B288" s="11" t="str">
        <f>IFERROR(INDEX('Raw Data'!$R$2:$R$50000,MATCH(287,'Raw Data'!$W$2:$W$50000,0)),"")</f>
        <v/>
      </c>
      <c r="C288" s="11" t="str">
        <f t="shared" si="4"/>
        <v/>
      </c>
      <c r="D288" s="11" t="str">
        <f>IF($B288="","",COUNTIFS('Raw Data'!$R$2:$R$50000,$B288))</f>
        <v/>
      </c>
      <c r="E288" s="11" t="str">
        <f>IF($B288="","",SUMIFS('Raw Data'!$I$2:$I$50000,'Raw Data'!$R$2:$R$50000,$B288))</f>
        <v/>
      </c>
      <c r="F288" s="11" t="str">
        <f>IF($B288="","",RANK($E288,$E$2:$E$1501)+COUNTIF($E$2:E288,$E288)-1)</f>
        <v/>
      </c>
      <c r="G288" s="11" t="str">
        <f>IF($B288="","",RANK($D288,$D$2:$D$1501)+COUNTIF($D$2:D288,$D288)-1)</f>
        <v/>
      </c>
    </row>
    <row r="289" spans="1:7">
      <c r="A289" s="11">
        <v>288</v>
      </c>
      <c r="B289" s="11" t="str">
        <f>IFERROR(INDEX('Raw Data'!$R$2:$R$50000,MATCH(288,'Raw Data'!$W$2:$W$50000,0)),"")</f>
        <v/>
      </c>
      <c r="C289" s="11" t="str">
        <f t="shared" si="4"/>
        <v/>
      </c>
      <c r="D289" s="11" t="str">
        <f>IF($B289="","",COUNTIFS('Raw Data'!$R$2:$R$50000,$B289))</f>
        <v/>
      </c>
      <c r="E289" s="11" t="str">
        <f>IF($B289="","",SUMIFS('Raw Data'!$I$2:$I$50000,'Raw Data'!$R$2:$R$50000,$B289))</f>
        <v/>
      </c>
      <c r="F289" s="11" t="str">
        <f>IF($B289="","",RANK($E289,$E$2:$E$1501)+COUNTIF($E$2:E289,$E289)-1)</f>
        <v/>
      </c>
      <c r="G289" s="11" t="str">
        <f>IF($B289="","",RANK($D289,$D$2:$D$1501)+COUNTIF($D$2:D289,$D289)-1)</f>
        <v/>
      </c>
    </row>
    <row r="290" spans="1:7">
      <c r="A290" s="11">
        <v>289</v>
      </c>
      <c r="B290" s="11" t="str">
        <f>IFERROR(INDEX('Raw Data'!$R$2:$R$50000,MATCH(289,'Raw Data'!$W$2:$W$50000,0)),"")</f>
        <v/>
      </c>
      <c r="C290" s="11" t="str">
        <f t="shared" si="4"/>
        <v/>
      </c>
      <c r="D290" s="11" t="str">
        <f>IF($B290="","",COUNTIFS('Raw Data'!$R$2:$R$50000,$B290))</f>
        <v/>
      </c>
      <c r="E290" s="11" t="str">
        <f>IF($B290="","",SUMIFS('Raw Data'!$I$2:$I$50000,'Raw Data'!$R$2:$R$50000,$B290))</f>
        <v/>
      </c>
      <c r="F290" s="11" t="str">
        <f>IF($B290="","",RANK($E290,$E$2:$E$1501)+COUNTIF($E$2:E290,$E290)-1)</f>
        <v/>
      </c>
      <c r="G290" s="11" t="str">
        <f>IF($B290="","",RANK($D290,$D$2:$D$1501)+COUNTIF($D$2:D290,$D290)-1)</f>
        <v/>
      </c>
    </row>
    <row r="291" spans="1:7">
      <c r="A291" s="11">
        <v>290</v>
      </c>
      <c r="B291" s="11" t="str">
        <f>IFERROR(INDEX('Raw Data'!$R$2:$R$50000,MATCH(290,'Raw Data'!$W$2:$W$50000,0)),"")</f>
        <v/>
      </c>
      <c r="C291" s="11" t="str">
        <f t="shared" si="4"/>
        <v/>
      </c>
      <c r="D291" s="11" t="str">
        <f>IF($B291="","",COUNTIFS('Raw Data'!$R$2:$R$50000,$B291))</f>
        <v/>
      </c>
      <c r="E291" s="11" t="str">
        <f>IF($B291="","",SUMIFS('Raw Data'!$I$2:$I$50000,'Raw Data'!$R$2:$R$50000,$B291))</f>
        <v/>
      </c>
      <c r="F291" s="11" t="str">
        <f>IF($B291="","",RANK($E291,$E$2:$E$1501)+COUNTIF($E$2:E291,$E291)-1)</f>
        <v/>
      </c>
      <c r="G291" s="11" t="str">
        <f>IF($B291="","",RANK($D291,$D$2:$D$1501)+COUNTIF($D$2:D291,$D291)-1)</f>
        <v/>
      </c>
    </row>
    <row r="292" spans="1:7">
      <c r="A292" s="11">
        <v>291</v>
      </c>
      <c r="B292" s="11" t="str">
        <f>IFERROR(INDEX('Raw Data'!$R$2:$R$50000,MATCH(291,'Raw Data'!$W$2:$W$50000,0)),"")</f>
        <v/>
      </c>
      <c r="C292" s="11" t="str">
        <f t="shared" si="4"/>
        <v/>
      </c>
      <c r="D292" s="11" t="str">
        <f>IF($B292="","",COUNTIFS('Raw Data'!$R$2:$R$50000,$B292))</f>
        <v/>
      </c>
      <c r="E292" s="11" t="str">
        <f>IF($B292="","",SUMIFS('Raw Data'!$I$2:$I$50000,'Raw Data'!$R$2:$R$50000,$B292))</f>
        <v/>
      </c>
      <c r="F292" s="11" t="str">
        <f>IF($B292="","",RANK($E292,$E$2:$E$1501)+COUNTIF($E$2:E292,$E292)-1)</f>
        <v/>
      </c>
      <c r="G292" s="11" t="str">
        <f>IF($B292="","",RANK($D292,$D$2:$D$1501)+COUNTIF($D$2:D292,$D292)-1)</f>
        <v/>
      </c>
    </row>
    <row r="293" spans="1:7">
      <c r="A293" s="11">
        <v>292</v>
      </c>
      <c r="B293" s="11" t="str">
        <f>IFERROR(INDEX('Raw Data'!$R$2:$R$50000,MATCH(292,'Raw Data'!$W$2:$W$50000,0)),"")</f>
        <v/>
      </c>
      <c r="C293" s="11" t="str">
        <f t="shared" si="4"/>
        <v/>
      </c>
      <c r="D293" s="11" t="str">
        <f>IF($B293="","",COUNTIFS('Raw Data'!$R$2:$R$50000,$B293))</f>
        <v/>
      </c>
      <c r="E293" s="11" t="str">
        <f>IF($B293="","",SUMIFS('Raw Data'!$I$2:$I$50000,'Raw Data'!$R$2:$R$50000,$B293))</f>
        <v/>
      </c>
      <c r="F293" s="11" t="str">
        <f>IF($B293="","",RANK($E293,$E$2:$E$1501)+COUNTIF($E$2:E293,$E293)-1)</f>
        <v/>
      </c>
      <c r="G293" s="11" t="str">
        <f>IF($B293="","",RANK($D293,$D$2:$D$1501)+COUNTIF($D$2:D293,$D293)-1)</f>
        <v/>
      </c>
    </row>
    <row r="294" spans="1:7">
      <c r="A294" s="11">
        <v>293</v>
      </c>
      <c r="B294" s="11" t="str">
        <f>IFERROR(INDEX('Raw Data'!$R$2:$R$50000,MATCH(293,'Raw Data'!$W$2:$W$50000,0)),"")</f>
        <v/>
      </c>
      <c r="C294" s="11" t="str">
        <f t="shared" si="4"/>
        <v/>
      </c>
      <c r="D294" s="11" t="str">
        <f>IF($B294="","",COUNTIFS('Raw Data'!$R$2:$R$50000,$B294))</f>
        <v/>
      </c>
      <c r="E294" s="11" t="str">
        <f>IF($B294="","",SUMIFS('Raw Data'!$I$2:$I$50000,'Raw Data'!$R$2:$R$50000,$B294))</f>
        <v/>
      </c>
      <c r="F294" s="11" t="str">
        <f>IF($B294="","",RANK($E294,$E$2:$E$1501)+COUNTIF($E$2:E294,$E294)-1)</f>
        <v/>
      </c>
      <c r="G294" s="11" t="str">
        <f>IF($B294="","",RANK($D294,$D$2:$D$1501)+COUNTIF($D$2:D294,$D294)-1)</f>
        <v/>
      </c>
    </row>
    <row r="295" spans="1:7">
      <c r="A295" s="11">
        <v>294</v>
      </c>
      <c r="B295" s="11" t="str">
        <f>IFERROR(INDEX('Raw Data'!$R$2:$R$50000,MATCH(294,'Raw Data'!$W$2:$W$50000,0)),"")</f>
        <v/>
      </c>
      <c r="C295" s="11" t="str">
        <f t="shared" si="4"/>
        <v/>
      </c>
      <c r="D295" s="11" t="str">
        <f>IF($B295="","",COUNTIFS('Raw Data'!$R$2:$R$50000,$B295))</f>
        <v/>
      </c>
      <c r="E295" s="11" t="str">
        <f>IF($B295="","",SUMIFS('Raw Data'!$I$2:$I$50000,'Raw Data'!$R$2:$R$50000,$B295))</f>
        <v/>
      </c>
      <c r="F295" s="11" t="str">
        <f>IF($B295="","",RANK($E295,$E$2:$E$1501)+COUNTIF($E$2:E295,$E295)-1)</f>
        <v/>
      </c>
      <c r="G295" s="11" t="str">
        <f>IF($B295="","",RANK($D295,$D$2:$D$1501)+COUNTIF($D$2:D295,$D295)-1)</f>
        <v/>
      </c>
    </row>
    <row r="296" spans="1:7">
      <c r="A296" s="11">
        <v>295</v>
      </c>
      <c r="B296" s="11" t="str">
        <f>IFERROR(INDEX('Raw Data'!$R$2:$R$50000,MATCH(295,'Raw Data'!$W$2:$W$50000,0)),"")</f>
        <v/>
      </c>
      <c r="C296" s="11" t="str">
        <f t="shared" si="4"/>
        <v/>
      </c>
      <c r="D296" s="11" t="str">
        <f>IF($B296="","",COUNTIFS('Raw Data'!$R$2:$R$50000,$B296))</f>
        <v/>
      </c>
      <c r="E296" s="11" t="str">
        <f>IF($B296="","",SUMIFS('Raw Data'!$I$2:$I$50000,'Raw Data'!$R$2:$R$50000,$B296))</f>
        <v/>
      </c>
      <c r="F296" s="11" t="str">
        <f>IF($B296="","",RANK($E296,$E$2:$E$1501)+COUNTIF($E$2:E296,$E296)-1)</f>
        <v/>
      </c>
      <c r="G296" s="11" t="str">
        <f>IF($B296="","",RANK($D296,$D$2:$D$1501)+COUNTIF($D$2:D296,$D296)-1)</f>
        <v/>
      </c>
    </row>
    <row r="297" spans="1:7">
      <c r="A297" s="11">
        <v>296</v>
      </c>
      <c r="B297" s="11" t="str">
        <f>IFERROR(INDEX('Raw Data'!$R$2:$R$50000,MATCH(296,'Raw Data'!$W$2:$W$50000,0)),"")</f>
        <v/>
      </c>
      <c r="C297" s="11" t="str">
        <f t="shared" si="4"/>
        <v/>
      </c>
      <c r="D297" s="11" t="str">
        <f>IF($B297="","",COUNTIFS('Raw Data'!$R$2:$R$50000,$B297))</f>
        <v/>
      </c>
      <c r="E297" s="11" t="str">
        <f>IF($B297="","",SUMIFS('Raw Data'!$I$2:$I$50000,'Raw Data'!$R$2:$R$50000,$B297))</f>
        <v/>
      </c>
      <c r="F297" s="11" t="str">
        <f>IF($B297="","",RANK($E297,$E$2:$E$1501)+COUNTIF($E$2:E297,$E297)-1)</f>
        <v/>
      </c>
      <c r="G297" s="11" t="str">
        <f>IF($B297="","",RANK($D297,$D$2:$D$1501)+COUNTIF($D$2:D297,$D297)-1)</f>
        <v/>
      </c>
    </row>
    <row r="298" spans="1:7">
      <c r="A298" s="11">
        <v>297</v>
      </c>
      <c r="B298" s="11" t="str">
        <f>IFERROR(INDEX('Raw Data'!$R$2:$R$50000,MATCH(297,'Raw Data'!$W$2:$W$50000,0)),"")</f>
        <v/>
      </c>
      <c r="C298" s="11" t="str">
        <f t="shared" si="4"/>
        <v/>
      </c>
      <c r="D298" s="11" t="str">
        <f>IF($B298="","",COUNTIFS('Raw Data'!$R$2:$R$50000,$B298))</f>
        <v/>
      </c>
      <c r="E298" s="11" t="str">
        <f>IF($B298="","",SUMIFS('Raw Data'!$I$2:$I$50000,'Raw Data'!$R$2:$R$50000,$B298))</f>
        <v/>
      </c>
      <c r="F298" s="11" t="str">
        <f>IF($B298="","",RANK($E298,$E$2:$E$1501)+COUNTIF($E$2:E298,$E298)-1)</f>
        <v/>
      </c>
      <c r="G298" s="11" t="str">
        <f>IF($B298="","",RANK($D298,$D$2:$D$1501)+COUNTIF($D$2:D298,$D298)-1)</f>
        <v/>
      </c>
    </row>
    <row r="299" spans="1:7">
      <c r="A299" s="11">
        <v>298</v>
      </c>
      <c r="B299" s="11" t="str">
        <f>IFERROR(INDEX('Raw Data'!$R$2:$R$50000,MATCH(298,'Raw Data'!$W$2:$W$50000,0)),"")</f>
        <v/>
      </c>
      <c r="C299" s="11" t="str">
        <f t="shared" si="4"/>
        <v/>
      </c>
      <c r="D299" s="11" t="str">
        <f>IF($B299="","",COUNTIFS('Raw Data'!$R$2:$R$50000,$B299))</f>
        <v/>
      </c>
      <c r="E299" s="11" t="str">
        <f>IF($B299="","",SUMIFS('Raw Data'!$I$2:$I$50000,'Raw Data'!$R$2:$R$50000,$B299))</f>
        <v/>
      </c>
      <c r="F299" s="11" t="str">
        <f>IF($B299="","",RANK($E299,$E$2:$E$1501)+COUNTIF($E$2:E299,$E299)-1)</f>
        <v/>
      </c>
      <c r="G299" s="11" t="str">
        <f>IF($B299="","",RANK($D299,$D$2:$D$1501)+COUNTIF($D$2:D299,$D299)-1)</f>
        <v/>
      </c>
    </row>
    <row r="300" spans="1:7">
      <c r="A300" s="11">
        <v>299</v>
      </c>
      <c r="B300" s="11" t="str">
        <f>IFERROR(INDEX('Raw Data'!$R$2:$R$50000,MATCH(299,'Raw Data'!$W$2:$W$50000,0)),"")</f>
        <v/>
      </c>
      <c r="C300" s="11" t="str">
        <f t="shared" si="4"/>
        <v/>
      </c>
      <c r="D300" s="11" t="str">
        <f>IF($B300="","",COUNTIFS('Raw Data'!$R$2:$R$50000,$B300))</f>
        <v/>
      </c>
      <c r="E300" s="11" t="str">
        <f>IF($B300="","",SUMIFS('Raw Data'!$I$2:$I$50000,'Raw Data'!$R$2:$R$50000,$B300))</f>
        <v/>
      </c>
      <c r="F300" s="11" t="str">
        <f>IF($B300="","",RANK($E300,$E$2:$E$1501)+COUNTIF($E$2:E300,$E300)-1)</f>
        <v/>
      </c>
      <c r="G300" s="11" t="str">
        <f>IF($B300="","",RANK($D300,$D$2:$D$1501)+COUNTIF($D$2:D300,$D300)-1)</f>
        <v/>
      </c>
    </row>
    <row r="301" spans="1:7">
      <c r="A301" s="11">
        <v>300</v>
      </c>
      <c r="B301" s="11" t="str">
        <f>IFERROR(INDEX('Raw Data'!$R$2:$R$50000,MATCH(300,'Raw Data'!$W$2:$W$50000,0)),"")</f>
        <v/>
      </c>
      <c r="C301" s="11" t="str">
        <f t="shared" si="4"/>
        <v/>
      </c>
      <c r="D301" s="11" t="str">
        <f>IF($B301="","",COUNTIFS('Raw Data'!$R$2:$R$50000,$B301))</f>
        <v/>
      </c>
      <c r="E301" s="11" t="str">
        <f>IF($B301="","",SUMIFS('Raw Data'!$I$2:$I$50000,'Raw Data'!$R$2:$R$50000,$B301))</f>
        <v/>
      </c>
      <c r="F301" s="11" t="str">
        <f>IF($B301="","",RANK($E301,$E$2:$E$1501)+COUNTIF($E$2:E301,$E301)-1)</f>
        <v/>
      </c>
      <c r="G301" s="11" t="str">
        <f>IF($B301="","",RANK($D301,$D$2:$D$1501)+COUNTIF($D$2:D301,$D301)-1)</f>
        <v/>
      </c>
    </row>
    <row r="302" spans="1:7">
      <c r="A302" s="11">
        <v>301</v>
      </c>
      <c r="B302" s="11" t="str">
        <f>IFERROR(INDEX('Raw Data'!$R$2:$R$50000,MATCH(301,'Raw Data'!$W$2:$W$50000,0)),"")</f>
        <v/>
      </c>
      <c r="C302" s="11" t="str">
        <f t="shared" si="4"/>
        <v/>
      </c>
      <c r="D302" s="11" t="str">
        <f>IF($B302="","",COUNTIFS('Raw Data'!$R$2:$R$50000,$B302))</f>
        <v/>
      </c>
      <c r="E302" s="11" t="str">
        <f>IF($B302="","",SUMIFS('Raw Data'!$I$2:$I$50000,'Raw Data'!$R$2:$R$50000,$B302))</f>
        <v/>
      </c>
      <c r="F302" s="11" t="str">
        <f>IF($B302="","",RANK($E302,$E$2:$E$1501)+COUNTIF($E$2:E302,$E302)-1)</f>
        <v/>
      </c>
      <c r="G302" s="11" t="str">
        <f>IF($B302="","",RANK($D302,$D$2:$D$1501)+COUNTIF($D$2:D302,$D302)-1)</f>
        <v/>
      </c>
    </row>
    <row r="303" spans="1:7">
      <c r="A303" s="11">
        <v>302</v>
      </c>
      <c r="B303" s="11" t="str">
        <f>IFERROR(INDEX('Raw Data'!$R$2:$R$50000,MATCH(302,'Raw Data'!$W$2:$W$50000,0)),"")</f>
        <v/>
      </c>
      <c r="C303" s="11" t="str">
        <f t="shared" si="4"/>
        <v/>
      </c>
      <c r="D303" s="11" t="str">
        <f>IF($B303="","",COUNTIFS('Raw Data'!$R$2:$R$50000,$B303))</f>
        <v/>
      </c>
      <c r="E303" s="11" t="str">
        <f>IF($B303="","",SUMIFS('Raw Data'!$I$2:$I$50000,'Raw Data'!$R$2:$R$50000,$B303))</f>
        <v/>
      </c>
      <c r="F303" s="11" t="str">
        <f>IF($B303="","",RANK($E303,$E$2:$E$1501)+COUNTIF($E$2:E303,$E303)-1)</f>
        <v/>
      </c>
      <c r="G303" s="11" t="str">
        <f>IF($B303="","",RANK($D303,$D$2:$D$1501)+COUNTIF($D$2:D303,$D303)-1)</f>
        <v/>
      </c>
    </row>
    <row r="304" spans="1:7">
      <c r="A304" s="11">
        <v>303</v>
      </c>
      <c r="B304" s="11" t="str">
        <f>IFERROR(INDEX('Raw Data'!$R$2:$R$50000,MATCH(303,'Raw Data'!$W$2:$W$50000,0)),"")</f>
        <v/>
      </c>
      <c r="C304" s="11" t="str">
        <f t="shared" si="4"/>
        <v/>
      </c>
      <c r="D304" s="11" t="str">
        <f>IF($B304="","",COUNTIFS('Raw Data'!$R$2:$R$50000,$B304))</f>
        <v/>
      </c>
      <c r="E304" s="11" t="str">
        <f>IF($B304="","",SUMIFS('Raw Data'!$I$2:$I$50000,'Raw Data'!$R$2:$R$50000,$B304))</f>
        <v/>
      </c>
      <c r="F304" s="11" t="str">
        <f>IF($B304="","",RANK($E304,$E$2:$E$1501)+COUNTIF($E$2:E304,$E304)-1)</f>
        <v/>
      </c>
      <c r="G304" s="11" t="str">
        <f>IF($B304="","",RANK($D304,$D$2:$D$1501)+COUNTIF($D$2:D304,$D304)-1)</f>
        <v/>
      </c>
    </row>
    <row r="305" spans="1:7">
      <c r="A305" s="11">
        <v>304</v>
      </c>
      <c r="B305" s="11" t="str">
        <f>IFERROR(INDEX('Raw Data'!$R$2:$R$50000,MATCH(304,'Raw Data'!$W$2:$W$50000,0)),"")</f>
        <v/>
      </c>
      <c r="C305" s="11" t="str">
        <f t="shared" si="4"/>
        <v/>
      </c>
      <c r="D305" s="11" t="str">
        <f>IF($B305="","",COUNTIFS('Raw Data'!$R$2:$R$50000,$B305))</f>
        <v/>
      </c>
      <c r="E305" s="11" t="str">
        <f>IF($B305="","",SUMIFS('Raw Data'!$I$2:$I$50000,'Raw Data'!$R$2:$R$50000,$B305))</f>
        <v/>
      </c>
      <c r="F305" s="11" t="str">
        <f>IF($B305="","",RANK($E305,$E$2:$E$1501)+COUNTIF($E$2:E305,$E305)-1)</f>
        <v/>
      </c>
      <c r="G305" s="11" t="str">
        <f>IF($B305="","",RANK($D305,$D$2:$D$1501)+COUNTIF($D$2:D305,$D305)-1)</f>
        <v/>
      </c>
    </row>
    <row r="306" spans="1:7">
      <c r="A306" s="11">
        <v>305</v>
      </c>
      <c r="B306" s="11" t="str">
        <f>IFERROR(INDEX('Raw Data'!$R$2:$R$50000,MATCH(305,'Raw Data'!$W$2:$W$50000,0)),"")</f>
        <v/>
      </c>
      <c r="C306" s="11" t="str">
        <f t="shared" si="4"/>
        <v/>
      </c>
      <c r="D306" s="11" t="str">
        <f>IF($B306="","",COUNTIFS('Raw Data'!$R$2:$R$50000,$B306))</f>
        <v/>
      </c>
      <c r="E306" s="11" t="str">
        <f>IF($B306="","",SUMIFS('Raw Data'!$I$2:$I$50000,'Raw Data'!$R$2:$R$50000,$B306))</f>
        <v/>
      </c>
      <c r="F306" s="11" t="str">
        <f>IF($B306="","",RANK($E306,$E$2:$E$1501)+COUNTIF($E$2:E306,$E306)-1)</f>
        <v/>
      </c>
      <c r="G306" s="11" t="str">
        <f>IF($B306="","",RANK($D306,$D$2:$D$1501)+COUNTIF($D$2:D306,$D306)-1)</f>
        <v/>
      </c>
    </row>
    <row r="307" spans="1:7">
      <c r="A307" s="11">
        <v>306</v>
      </c>
      <c r="B307" s="11" t="str">
        <f>IFERROR(INDEX('Raw Data'!$R$2:$R$50000,MATCH(306,'Raw Data'!$W$2:$W$50000,0)),"")</f>
        <v/>
      </c>
      <c r="C307" s="11" t="str">
        <f t="shared" si="4"/>
        <v/>
      </c>
      <c r="D307" s="11" t="str">
        <f>IF($B307="","",COUNTIFS('Raw Data'!$R$2:$R$50000,$B307))</f>
        <v/>
      </c>
      <c r="E307" s="11" t="str">
        <f>IF($B307="","",SUMIFS('Raw Data'!$I$2:$I$50000,'Raw Data'!$R$2:$R$50000,$B307))</f>
        <v/>
      </c>
      <c r="F307" s="11" t="str">
        <f>IF($B307="","",RANK($E307,$E$2:$E$1501)+COUNTIF($E$2:E307,$E307)-1)</f>
        <v/>
      </c>
      <c r="G307" s="11" t="str">
        <f>IF($B307="","",RANK($D307,$D$2:$D$1501)+COUNTIF($D$2:D307,$D307)-1)</f>
        <v/>
      </c>
    </row>
    <row r="308" spans="1:7">
      <c r="A308" s="11">
        <v>307</v>
      </c>
      <c r="B308" s="11" t="str">
        <f>IFERROR(INDEX('Raw Data'!$R$2:$R$50000,MATCH(307,'Raw Data'!$W$2:$W$50000,0)),"")</f>
        <v/>
      </c>
      <c r="C308" s="11" t="str">
        <f t="shared" si="4"/>
        <v/>
      </c>
      <c r="D308" s="11" t="str">
        <f>IF($B308="","",COUNTIFS('Raw Data'!$R$2:$R$50000,$B308))</f>
        <v/>
      </c>
      <c r="E308" s="11" t="str">
        <f>IF($B308="","",SUMIFS('Raw Data'!$I$2:$I$50000,'Raw Data'!$R$2:$R$50000,$B308))</f>
        <v/>
      </c>
      <c r="F308" s="11" t="str">
        <f>IF($B308="","",RANK($E308,$E$2:$E$1501)+COUNTIF($E$2:E308,$E308)-1)</f>
        <v/>
      </c>
      <c r="G308" s="11" t="str">
        <f>IF($B308="","",RANK($D308,$D$2:$D$1501)+COUNTIF($D$2:D308,$D308)-1)</f>
        <v/>
      </c>
    </row>
    <row r="309" spans="1:7">
      <c r="A309" s="11">
        <v>308</v>
      </c>
      <c r="B309" s="11" t="str">
        <f>IFERROR(INDEX('Raw Data'!$R$2:$R$50000,MATCH(308,'Raw Data'!$W$2:$W$50000,0)),"")</f>
        <v/>
      </c>
      <c r="C309" s="11" t="str">
        <f t="shared" si="4"/>
        <v/>
      </c>
      <c r="D309" s="11" t="str">
        <f>IF($B309="","",COUNTIFS('Raw Data'!$R$2:$R$50000,$B309))</f>
        <v/>
      </c>
      <c r="E309" s="11" t="str">
        <f>IF($B309="","",SUMIFS('Raw Data'!$I$2:$I$50000,'Raw Data'!$R$2:$R$50000,$B309))</f>
        <v/>
      </c>
      <c r="F309" s="11" t="str">
        <f>IF($B309="","",RANK($E309,$E$2:$E$1501)+COUNTIF($E$2:E309,$E309)-1)</f>
        <v/>
      </c>
      <c r="G309" s="11" t="str">
        <f>IF($B309="","",RANK($D309,$D$2:$D$1501)+COUNTIF($D$2:D309,$D309)-1)</f>
        <v/>
      </c>
    </row>
    <row r="310" spans="1:7">
      <c r="A310" s="11">
        <v>309</v>
      </c>
      <c r="B310" s="11" t="str">
        <f>IFERROR(INDEX('Raw Data'!$R$2:$R$50000,MATCH(309,'Raw Data'!$W$2:$W$50000,0)),"")</f>
        <v/>
      </c>
      <c r="C310" s="11" t="str">
        <f t="shared" si="4"/>
        <v/>
      </c>
      <c r="D310" s="11" t="str">
        <f>IF($B310="","",COUNTIFS('Raw Data'!$R$2:$R$50000,$B310))</f>
        <v/>
      </c>
      <c r="E310" s="11" t="str">
        <f>IF($B310="","",SUMIFS('Raw Data'!$I$2:$I$50000,'Raw Data'!$R$2:$R$50000,$B310))</f>
        <v/>
      </c>
      <c r="F310" s="11" t="str">
        <f>IF($B310="","",RANK($E310,$E$2:$E$1501)+COUNTIF($E$2:E310,$E310)-1)</f>
        <v/>
      </c>
      <c r="G310" s="11" t="str">
        <f>IF($B310="","",RANK($D310,$D$2:$D$1501)+COUNTIF($D$2:D310,$D310)-1)</f>
        <v/>
      </c>
    </row>
    <row r="311" spans="1:7">
      <c r="A311" s="11">
        <v>310</v>
      </c>
      <c r="B311" s="11" t="str">
        <f>IFERROR(INDEX('Raw Data'!$R$2:$R$50000,MATCH(310,'Raw Data'!$W$2:$W$50000,0)),"")</f>
        <v/>
      </c>
      <c r="C311" s="11" t="str">
        <f t="shared" si="4"/>
        <v/>
      </c>
      <c r="D311" s="11" t="str">
        <f>IF($B311="","",COUNTIFS('Raw Data'!$R$2:$R$50000,$B311))</f>
        <v/>
      </c>
      <c r="E311" s="11" t="str">
        <f>IF($B311="","",SUMIFS('Raw Data'!$I$2:$I$50000,'Raw Data'!$R$2:$R$50000,$B311))</f>
        <v/>
      </c>
      <c r="F311" s="11" t="str">
        <f>IF($B311="","",RANK($E311,$E$2:$E$1501)+COUNTIF($E$2:E311,$E311)-1)</f>
        <v/>
      </c>
      <c r="G311" s="11" t="str">
        <f>IF($B311="","",RANK($D311,$D$2:$D$1501)+COUNTIF($D$2:D311,$D311)-1)</f>
        <v/>
      </c>
    </row>
    <row r="312" spans="1:7">
      <c r="A312" s="11">
        <v>311</v>
      </c>
      <c r="B312" s="11" t="str">
        <f>IFERROR(INDEX('Raw Data'!$R$2:$R$50000,MATCH(311,'Raw Data'!$W$2:$W$50000,0)),"")</f>
        <v/>
      </c>
      <c r="C312" s="11" t="str">
        <f t="shared" si="4"/>
        <v/>
      </c>
      <c r="D312" s="11" t="str">
        <f>IF($B312="","",COUNTIFS('Raw Data'!$R$2:$R$50000,$B312))</f>
        <v/>
      </c>
      <c r="E312" s="11" t="str">
        <f>IF($B312="","",SUMIFS('Raw Data'!$I$2:$I$50000,'Raw Data'!$R$2:$R$50000,$B312))</f>
        <v/>
      </c>
      <c r="F312" s="11" t="str">
        <f>IF($B312="","",RANK($E312,$E$2:$E$1501)+COUNTIF($E$2:E312,$E312)-1)</f>
        <v/>
      </c>
      <c r="G312" s="11" t="str">
        <f>IF($B312="","",RANK($D312,$D$2:$D$1501)+COUNTIF($D$2:D312,$D312)-1)</f>
        <v/>
      </c>
    </row>
    <row r="313" spans="1:7">
      <c r="A313" s="11">
        <v>312</v>
      </c>
      <c r="B313" s="11" t="str">
        <f>IFERROR(INDEX('Raw Data'!$R$2:$R$50000,MATCH(312,'Raw Data'!$W$2:$W$50000,0)),"")</f>
        <v/>
      </c>
      <c r="C313" s="11" t="str">
        <f t="shared" si="4"/>
        <v/>
      </c>
      <c r="D313" s="11" t="str">
        <f>IF($B313="","",COUNTIFS('Raw Data'!$R$2:$R$50000,$B313))</f>
        <v/>
      </c>
      <c r="E313" s="11" t="str">
        <f>IF($B313="","",SUMIFS('Raw Data'!$I$2:$I$50000,'Raw Data'!$R$2:$R$50000,$B313))</f>
        <v/>
      </c>
      <c r="F313" s="11" t="str">
        <f>IF($B313="","",RANK($E313,$E$2:$E$1501)+COUNTIF($E$2:E313,$E313)-1)</f>
        <v/>
      </c>
      <c r="G313" s="11" t="str">
        <f>IF($B313="","",RANK($D313,$D$2:$D$1501)+COUNTIF($D$2:D313,$D313)-1)</f>
        <v/>
      </c>
    </row>
    <row r="314" spans="1:7">
      <c r="A314" s="11">
        <v>313</v>
      </c>
      <c r="B314" s="11" t="str">
        <f>IFERROR(INDEX('Raw Data'!$R$2:$R$50000,MATCH(313,'Raw Data'!$W$2:$W$50000,0)),"")</f>
        <v/>
      </c>
      <c r="C314" s="11" t="str">
        <f t="shared" si="4"/>
        <v/>
      </c>
      <c r="D314" s="11" t="str">
        <f>IF($B314="","",COUNTIFS('Raw Data'!$R$2:$R$50000,$B314))</f>
        <v/>
      </c>
      <c r="E314" s="11" t="str">
        <f>IF($B314="","",SUMIFS('Raw Data'!$I$2:$I$50000,'Raw Data'!$R$2:$R$50000,$B314))</f>
        <v/>
      </c>
      <c r="F314" s="11" t="str">
        <f>IF($B314="","",RANK($E314,$E$2:$E$1501)+COUNTIF($E$2:E314,$E314)-1)</f>
        <v/>
      </c>
      <c r="G314" s="11" t="str">
        <f>IF($B314="","",RANK($D314,$D$2:$D$1501)+COUNTIF($D$2:D314,$D314)-1)</f>
        <v/>
      </c>
    </row>
    <row r="315" spans="1:7">
      <c r="A315" s="11">
        <v>314</v>
      </c>
      <c r="B315" s="11" t="str">
        <f>IFERROR(INDEX('Raw Data'!$R$2:$R$50000,MATCH(314,'Raw Data'!$W$2:$W$50000,0)),"")</f>
        <v/>
      </c>
      <c r="C315" s="11" t="str">
        <f t="shared" si="4"/>
        <v/>
      </c>
      <c r="D315" s="11" t="str">
        <f>IF($B315="","",COUNTIFS('Raw Data'!$R$2:$R$50000,$B315))</f>
        <v/>
      </c>
      <c r="E315" s="11" t="str">
        <f>IF($B315="","",SUMIFS('Raw Data'!$I$2:$I$50000,'Raw Data'!$R$2:$R$50000,$B315))</f>
        <v/>
      </c>
      <c r="F315" s="11" t="str">
        <f>IF($B315="","",RANK($E315,$E$2:$E$1501)+COUNTIF($E$2:E315,$E315)-1)</f>
        <v/>
      </c>
      <c r="G315" s="11" t="str">
        <f>IF($B315="","",RANK($D315,$D$2:$D$1501)+COUNTIF($D$2:D315,$D315)-1)</f>
        <v/>
      </c>
    </row>
    <row r="316" spans="1:7">
      <c r="A316" s="11">
        <v>315</v>
      </c>
      <c r="B316" s="11" t="str">
        <f>IFERROR(INDEX('Raw Data'!$R$2:$R$50000,MATCH(315,'Raw Data'!$W$2:$W$50000,0)),"")</f>
        <v/>
      </c>
      <c r="C316" s="11" t="str">
        <f t="shared" si="4"/>
        <v/>
      </c>
      <c r="D316" s="11" t="str">
        <f>IF($B316="","",COUNTIFS('Raw Data'!$R$2:$R$50000,$B316))</f>
        <v/>
      </c>
      <c r="E316" s="11" t="str">
        <f>IF($B316="","",SUMIFS('Raw Data'!$I$2:$I$50000,'Raw Data'!$R$2:$R$50000,$B316))</f>
        <v/>
      </c>
      <c r="F316" s="11" t="str">
        <f>IF($B316="","",RANK($E316,$E$2:$E$1501)+COUNTIF($E$2:E316,$E316)-1)</f>
        <v/>
      </c>
      <c r="G316" s="11" t="str">
        <f>IF($B316="","",RANK($D316,$D$2:$D$1501)+COUNTIF($D$2:D316,$D316)-1)</f>
        <v/>
      </c>
    </row>
    <row r="317" spans="1:7">
      <c r="A317" s="11">
        <v>316</v>
      </c>
      <c r="B317" s="11" t="str">
        <f>IFERROR(INDEX('Raw Data'!$R$2:$R$50000,MATCH(316,'Raw Data'!$W$2:$W$50000,0)),"")</f>
        <v/>
      </c>
      <c r="C317" s="11" t="str">
        <f t="shared" si="4"/>
        <v/>
      </c>
      <c r="D317" s="11" t="str">
        <f>IF($B317="","",COUNTIFS('Raw Data'!$R$2:$R$50000,$B317))</f>
        <v/>
      </c>
      <c r="E317" s="11" t="str">
        <f>IF($B317="","",SUMIFS('Raw Data'!$I$2:$I$50000,'Raw Data'!$R$2:$R$50000,$B317))</f>
        <v/>
      </c>
      <c r="F317" s="11" t="str">
        <f>IF($B317="","",RANK($E317,$E$2:$E$1501)+COUNTIF($E$2:E317,$E317)-1)</f>
        <v/>
      </c>
      <c r="G317" s="11" t="str">
        <f>IF($B317="","",RANK($D317,$D$2:$D$1501)+COUNTIF($D$2:D317,$D317)-1)</f>
        <v/>
      </c>
    </row>
    <row r="318" spans="1:7">
      <c r="A318" s="11">
        <v>317</v>
      </c>
      <c r="B318" s="11" t="str">
        <f>IFERROR(INDEX('Raw Data'!$R$2:$R$50000,MATCH(317,'Raw Data'!$W$2:$W$50000,0)),"")</f>
        <v/>
      </c>
      <c r="C318" s="11" t="str">
        <f t="shared" si="4"/>
        <v/>
      </c>
      <c r="D318" s="11" t="str">
        <f>IF($B318="","",COUNTIFS('Raw Data'!$R$2:$R$50000,$B318))</f>
        <v/>
      </c>
      <c r="E318" s="11" t="str">
        <f>IF($B318="","",SUMIFS('Raw Data'!$I$2:$I$50000,'Raw Data'!$R$2:$R$50000,$B318))</f>
        <v/>
      </c>
      <c r="F318" s="11" t="str">
        <f>IF($B318="","",RANK($E318,$E$2:$E$1501)+COUNTIF($E$2:E318,$E318)-1)</f>
        <v/>
      </c>
      <c r="G318" s="11" t="str">
        <f>IF($B318="","",RANK($D318,$D$2:$D$1501)+COUNTIF($D$2:D318,$D318)-1)</f>
        <v/>
      </c>
    </row>
    <row r="319" spans="1:7">
      <c r="A319" s="11">
        <v>318</v>
      </c>
      <c r="B319" s="11" t="str">
        <f>IFERROR(INDEX('Raw Data'!$R$2:$R$50000,MATCH(318,'Raw Data'!$W$2:$W$50000,0)),"")</f>
        <v/>
      </c>
      <c r="C319" s="11" t="str">
        <f t="shared" si="4"/>
        <v/>
      </c>
      <c r="D319" s="11" t="str">
        <f>IF($B319="","",COUNTIFS('Raw Data'!$R$2:$R$50000,$B319))</f>
        <v/>
      </c>
      <c r="E319" s="11" t="str">
        <f>IF($B319="","",SUMIFS('Raw Data'!$I$2:$I$50000,'Raw Data'!$R$2:$R$50000,$B319))</f>
        <v/>
      </c>
      <c r="F319" s="11" t="str">
        <f>IF($B319="","",RANK($E319,$E$2:$E$1501)+COUNTIF($E$2:E319,$E319)-1)</f>
        <v/>
      </c>
      <c r="G319" s="11" t="str">
        <f>IF($B319="","",RANK($D319,$D$2:$D$1501)+COUNTIF($D$2:D319,$D319)-1)</f>
        <v/>
      </c>
    </row>
    <row r="320" spans="1:7">
      <c r="A320" s="11">
        <v>319</v>
      </c>
      <c r="B320" s="11" t="str">
        <f>IFERROR(INDEX('Raw Data'!$R$2:$R$50000,MATCH(319,'Raw Data'!$W$2:$W$50000,0)),"")</f>
        <v/>
      </c>
      <c r="C320" s="11" t="str">
        <f t="shared" si="4"/>
        <v/>
      </c>
      <c r="D320" s="11" t="str">
        <f>IF($B320="","",COUNTIFS('Raw Data'!$R$2:$R$50000,$B320))</f>
        <v/>
      </c>
      <c r="E320" s="11" t="str">
        <f>IF($B320="","",SUMIFS('Raw Data'!$I$2:$I$50000,'Raw Data'!$R$2:$R$50000,$B320))</f>
        <v/>
      </c>
      <c r="F320" s="11" t="str">
        <f>IF($B320="","",RANK($E320,$E$2:$E$1501)+COUNTIF($E$2:E320,$E320)-1)</f>
        <v/>
      </c>
      <c r="G320" s="11" t="str">
        <f>IF($B320="","",RANK($D320,$D$2:$D$1501)+COUNTIF($D$2:D320,$D320)-1)</f>
        <v/>
      </c>
    </row>
    <row r="321" spans="1:7">
      <c r="A321" s="11">
        <v>320</v>
      </c>
      <c r="B321" s="11" t="str">
        <f>IFERROR(INDEX('Raw Data'!$R$2:$R$50000,MATCH(320,'Raw Data'!$W$2:$W$50000,0)),"")</f>
        <v/>
      </c>
      <c r="C321" s="11" t="str">
        <f t="shared" si="4"/>
        <v/>
      </c>
      <c r="D321" s="11" t="str">
        <f>IF($B321="","",COUNTIFS('Raw Data'!$R$2:$R$50000,$B321))</f>
        <v/>
      </c>
      <c r="E321" s="11" t="str">
        <f>IF($B321="","",SUMIFS('Raw Data'!$I$2:$I$50000,'Raw Data'!$R$2:$R$50000,$B321))</f>
        <v/>
      </c>
      <c r="F321" s="11" t="str">
        <f>IF($B321="","",RANK($E321,$E$2:$E$1501)+COUNTIF($E$2:E321,$E321)-1)</f>
        <v/>
      </c>
      <c r="G321" s="11" t="str">
        <f>IF($B321="","",RANK($D321,$D$2:$D$1501)+COUNTIF($D$2:D321,$D321)-1)</f>
        <v/>
      </c>
    </row>
    <row r="322" spans="1:7">
      <c r="A322" s="11">
        <v>321</v>
      </c>
      <c r="B322" s="11" t="str">
        <f>IFERROR(INDEX('Raw Data'!$R$2:$R$50000,MATCH(321,'Raw Data'!$W$2:$W$50000,0)),"")</f>
        <v/>
      </c>
      <c r="C322" s="11" t="str">
        <f t="shared" ref="C322:C385" si="5">IF($B322="","",$B322)</f>
        <v/>
      </c>
      <c r="D322" s="11" t="str">
        <f>IF($B322="","",COUNTIFS('Raw Data'!$R$2:$R$50000,$B322))</f>
        <v/>
      </c>
      <c r="E322" s="11" t="str">
        <f>IF($B322="","",SUMIFS('Raw Data'!$I$2:$I$50000,'Raw Data'!$R$2:$R$50000,$B322))</f>
        <v/>
      </c>
      <c r="F322" s="11" t="str">
        <f>IF($B322="","",RANK($E322,$E$2:$E$1501)+COUNTIF($E$2:E322,$E322)-1)</f>
        <v/>
      </c>
      <c r="G322" s="11" t="str">
        <f>IF($B322="","",RANK($D322,$D$2:$D$1501)+COUNTIF($D$2:D322,$D322)-1)</f>
        <v/>
      </c>
    </row>
    <row r="323" spans="1:7">
      <c r="A323" s="11">
        <v>322</v>
      </c>
      <c r="B323" s="11" t="str">
        <f>IFERROR(INDEX('Raw Data'!$R$2:$R$50000,MATCH(322,'Raw Data'!$W$2:$W$50000,0)),"")</f>
        <v/>
      </c>
      <c r="C323" s="11" t="str">
        <f t="shared" si="5"/>
        <v/>
      </c>
      <c r="D323" s="11" t="str">
        <f>IF($B323="","",COUNTIFS('Raw Data'!$R$2:$R$50000,$B323))</f>
        <v/>
      </c>
      <c r="E323" s="11" t="str">
        <f>IF($B323="","",SUMIFS('Raw Data'!$I$2:$I$50000,'Raw Data'!$R$2:$R$50000,$B323))</f>
        <v/>
      </c>
      <c r="F323" s="11" t="str">
        <f>IF($B323="","",RANK($E323,$E$2:$E$1501)+COUNTIF($E$2:E323,$E323)-1)</f>
        <v/>
      </c>
      <c r="G323" s="11" t="str">
        <f>IF($B323="","",RANK($D323,$D$2:$D$1501)+COUNTIF($D$2:D323,$D323)-1)</f>
        <v/>
      </c>
    </row>
    <row r="324" spans="1:7">
      <c r="A324" s="11">
        <v>323</v>
      </c>
      <c r="B324" s="11" t="str">
        <f>IFERROR(INDEX('Raw Data'!$R$2:$R$50000,MATCH(323,'Raw Data'!$W$2:$W$50000,0)),"")</f>
        <v/>
      </c>
      <c r="C324" s="11" t="str">
        <f t="shared" si="5"/>
        <v/>
      </c>
      <c r="D324" s="11" t="str">
        <f>IF($B324="","",COUNTIFS('Raw Data'!$R$2:$R$50000,$B324))</f>
        <v/>
      </c>
      <c r="E324" s="11" t="str">
        <f>IF($B324="","",SUMIFS('Raw Data'!$I$2:$I$50000,'Raw Data'!$R$2:$R$50000,$B324))</f>
        <v/>
      </c>
      <c r="F324" s="11" t="str">
        <f>IF($B324="","",RANK($E324,$E$2:$E$1501)+COUNTIF($E$2:E324,$E324)-1)</f>
        <v/>
      </c>
      <c r="G324" s="11" t="str">
        <f>IF($B324="","",RANK($D324,$D$2:$D$1501)+COUNTIF($D$2:D324,$D324)-1)</f>
        <v/>
      </c>
    </row>
    <row r="325" spans="1:7">
      <c r="A325" s="11">
        <v>324</v>
      </c>
      <c r="B325" s="11" t="str">
        <f>IFERROR(INDEX('Raw Data'!$R$2:$R$50000,MATCH(324,'Raw Data'!$W$2:$W$50000,0)),"")</f>
        <v/>
      </c>
      <c r="C325" s="11" t="str">
        <f t="shared" si="5"/>
        <v/>
      </c>
      <c r="D325" s="11" t="str">
        <f>IF($B325="","",COUNTIFS('Raw Data'!$R$2:$R$50000,$B325))</f>
        <v/>
      </c>
      <c r="E325" s="11" t="str">
        <f>IF($B325="","",SUMIFS('Raw Data'!$I$2:$I$50000,'Raw Data'!$R$2:$R$50000,$B325))</f>
        <v/>
      </c>
      <c r="F325" s="11" t="str">
        <f>IF($B325="","",RANK($E325,$E$2:$E$1501)+COUNTIF($E$2:E325,$E325)-1)</f>
        <v/>
      </c>
      <c r="G325" s="11" t="str">
        <f>IF($B325="","",RANK($D325,$D$2:$D$1501)+COUNTIF($D$2:D325,$D325)-1)</f>
        <v/>
      </c>
    </row>
    <row r="326" spans="1:7">
      <c r="A326" s="11">
        <v>325</v>
      </c>
      <c r="B326" s="11" t="str">
        <f>IFERROR(INDEX('Raw Data'!$R$2:$R$50000,MATCH(325,'Raw Data'!$W$2:$W$50000,0)),"")</f>
        <v/>
      </c>
      <c r="C326" s="11" t="str">
        <f t="shared" si="5"/>
        <v/>
      </c>
      <c r="D326" s="11" t="str">
        <f>IF($B326="","",COUNTIFS('Raw Data'!$R$2:$R$50000,$B326))</f>
        <v/>
      </c>
      <c r="E326" s="11" t="str">
        <f>IF($B326="","",SUMIFS('Raw Data'!$I$2:$I$50000,'Raw Data'!$R$2:$R$50000,$B326))</f>
        <v/>
      </c>
      <c r="F326" s="11" t="str">
        <f>IF($B326="","",RANK($E326,$E$2:$E$1501)+COUNTIF($E$2:E326,$E326)-1)</f>
        <v/>
      </c>
      <c r="G326" s="11" t="str">
        <f>IF($B326="","",RANK($D326,$D$2:$D$1501)+COUNTIF($D$2:D326,$D326)-1)</f>
        <v/>
      </c>
    </row>
    <row r="327" spans="1:7">
      <c r="A327" s="11">
        <v>326</v>
      </c>
      <c r="B327" s="11" t="str">
        <f>IFERROR(INDEX('Raw Data'!$R$2:$R$50000,MATCH(326,'Raw Data'!$W$2:$W$50000,0)),"")</f>
        <v/>
      </c>
      <c r="C327" s="11" t="str">
        <f t="shared" si="5"/>
        <v/>
      </c>
      <c r="D327" s="11" t="str">
        <f>IF($B327="","",COUNTIFS('Raw Data'!$R$2:$R$50000,$B327))</f>
        <v/>
      </c>
      <c r="E327" s="11" t="str">
        <f>IF($B327="","",SUMIFS('Raw Data'!$I$2:$I$50000,'Raw Data'!$R$2:$R$50000,$B327))</f>
        <v/>
      </c>
      <c r="F327" s="11" t="str">
        <f>IF($B327="","",RANK($E327,$E$2:$E$1501)+COUNTIF($E$2:E327,$E327)-1)</f>
        <v/>
      </c>
      <c r="G327" s="11" t="str">
        <f>IF($B327="","",RANK($D327,$D$2:$D$1501)+COUNTIF($D$2:D327,$D327)-1)</f>
        <v/>
      </c>
    </row>
    <row r="328" spans="1:7">
      <c r="A328" s="11">
        <v>327</v>
      </c>
      <c r="B328" s="11" t="str">
        <f>IFERROR(INDEX('Raw Data'!$R$2:$R$50000,MATCH(327,'Raw Data'!$W$2:$W$50000,0)),"")</f>
        <v/>
      </c>
      <c r="C328" s="11" t="str">
        <f t="shared" si="5"/>
        <v/>
      </c>
      <c r="D328" s="11" t="str">
        <f>IF($B328="","",COUNTIFS('Raw Data'!$R$2:$R$50000,$B328))</f>
        <v/>
      </c>
      <c r="E328" s="11" t="str">
        <f>IF($B328="","",SUMIFS('Raw Data'!$I$2:$I$50000,'Raw Data'!$R$2:$R$50000,$B328))</f>
        <v/>
      </c>
      <c r="F328" s="11" t="str">
        <f>IF($B328="","",RANK($E328,$E$2:$E$1501)+COUNTIF($E$2:E328,$E328)-1)</f>
        <v/>
      </c>
      <c r="G328" s="11" t="str">
        <f>IF($B328="","",RANK($D328,$D$2:$D$1501)+COUNTIF($D$2:D328,$D328)-1)</f>
        <v/>
      </c>
    </row>
    <row r="329" spans="1:7">
      <c r="A329" s="11">
        <v>328</v>
      </c>
      <c r="B329" s="11" t="str">
        <f>IFERROR(INDEX('Raw Data'!$R$2:$R$50000,MATCH(328,'Raw Data'!$W$2:$W$50000,0)),"")</f>
        <v/>
      </c>
      <c r="C329" s="11" t="str">
        <f t="shared" si="5"/>
        <v/>
      </c>
      <c r="D329" s="11" t="str">
        <f>IF($B329="","",COUNTIFS('Raw Data'!$R$2:$R$50000,$B329))</f>
        <v/>
      </c>
      <c r="E329" s="11" t="str">
        <f>IF($B329="","",SUMIFS('Raw Data'!$I$2:$I$50000,'Raw Data'!$R$2:$R$50000,$B329))</f>
        <v/>
      </c>
      <c r="F329" s="11" t="str">
        <f>IF($B329="","",RANK($E329,$E$2:$E$1501)+COUNTIF($E$2:E329,$E329)-1)</f>
        <v/>
      </c>
      <c r="G329" s="11" t="str">
        <f>IF($B329="","",RANK($D329,$D$2:$D$1501)+COUNTIF($D$2:D329,$D329)-1)</f>
        <v/>
      </c>
    </row>
    <row r="330" spans="1:7">
      <c r="A330" s="11">
        <v>329</v>
      </c>
      <c r="B330" s="11" t="str">
        <f>IFERROR(INDEX('Raw Data'!$R$2:$R$50000,MATCH(329,'Raw Data'!$W$2:$W$50000,0)),"")</f>
        <v/>
      </c>
      <c r="C330" s="11" t="str">
        <f t="shared" si="5"/>
        <v/>
      </c>
      <c r="D330" s="11" t="str">
        <f>IF($B330="","",COUNTIFS('Raw Data'!$R$2:$R$50000,$B330))</f>
        <v/>
      </c>
      <c r="E330" s="11" t="str">
        <f>IF($B330="","",SUMIFS('Raw Data'!$I$2:$I$50000,'Raw Data'!$R$2:$R$50000,$B330))</f>
        <v/>
      </c>
      <c r="F330" s="11" t="str">
        <f>IF($B330="","",RANK($E330,$E$2:$E$1501)+COUNTIF($E$2:E330,$E330)-1)</f>
        <v/>
      </c>
      <c r="G330" s="11" t="str">
        <f>IF($B330="","",RANK($D330,$D$2:$D$1501)+COUNTIF($D$2:D330,$D330)-1)</f>
        <v/>
      </c>
    </row>
    <row r="331" spans="1:7">
      <c r="A331" s="11">
        <v>330</v>
      </c>
      <c r="B331" s="11" t="str">
        <f>IFERROR(INDEX('Raw Data'!$R$2:$R$50000,MATCH(330,'Raw Data'!$W$2:$W$50000,0)),"")</f>
        <v/>
      </c>
      <c r="C331" s="11" t="str">
        <f t="shared" si="5"/>
        <v/>
      </c>
      <c r="D331" s="11" t="str">
        <f>IF($B331="","",COUNTIFS('Raw Data'!$R$2:$R$50000,$B331))</f>
        <v/>
      </c>
      <c r="E331" s="11" t="str">
        <f>IF($B331="","",SUMIFS('Raw Data'!$I$2:$I$50000,'Raw Data'!$R$2:$R$50000,$B331))</f>
        <v/>
      </c>
      <c r="F331" s="11" t="str">
        <f>IF($B331="","",RANK($E331,$E$2:$E$1501)+COUNTIF($E$2:E331,$E331)-1)</f>
        <v/>
      </c>
      <c r="G331" s="11" t="str">
        <f>IF($B331="","",RANK($D331,$D$2:$D$1501)+COUNTIF($D$2:D331,$D331)-1)</f>
        <v/>
      </c>
    </row>
    <row r="332" spans="1:7">
      <c r="A332" s="11">
        <v>331</v>
      </c>
      <c r="B332" s="11" t="str">
        <f>IFERROR(INDEX('Raw Data'!$R$2:$R$50000,MATCH(331,'Raw Data'!$W$2:$W$50000,0)),"")</f>
        <v/>
      </c>
      <c r="C332" s="11" t="str">
        <f t="shared" si="5"/>
        <v/>
      </c>
      <c r="D332" s="11" t="str">
        <f>IF($B332="","",COUNTIFS('Raw Data'!$R$2:$R$50000,$B332))</f>
        <v/>
      </c>
      <c r="E332" s="11" t="str">
        <f>IF($B332="","",SUMIFS('Raw Data'!$I$2:$I$50000,'Raw Data'!$R$2:$R$50000,$B332))</f>
        <v/>
      </c>
      <c r="F332" s="11" t="str">
        <f>IF($B332="","",RANK($E332,$E$2:$E$1501)+COUNTIF($E$2:E332,$E332)-1)</f>
        <v/>
      </c>
      <c r="G332" s="11" t="str">
        <f>IF($B332="","",RANK($D332,$D$2:$D$1501)+COUNTIF($D$2:D332,$D332)-1)</f>
        <v/>
      </c>
    </row>
    <row r="333" spans="1:7">
      <c r="A333" s="11">
        <v>332</v>
      </c>
      <c r="B333" s="11" t="str">
        <f>IFERROR(INDEX('Raw Data'!$R$2:$R$50000,MATCH(332,'Raw Data'!$W$2:$W$50000,0)),"")</f>
        <v/>
      </c>
      <c r="C333" s="11" t="str">
        <f t="shared" si="5"/>
        <v/>
      </c>
      <c r="D333" s="11" t="str">
        <f>IF($B333="","",COUNTIFS('Raw Data'!$R$2:$R$50000,$B333))</f>
        <v/>
      </c>
      <c r="E333" s="11" t="str">
        <f>IF($B333="","",SUMIFS('Raw Data'!$I$2:$I$50000,'Raw Data'!$R$2:$R$50000,$B333))</f>
        <v/>
      </c>
      <c r="F333" s="11" t="str">
        <f>IF($B333="","",RANK($E333,$E$2:$E$1501)+COUNTIF($E$2:E333,$E333)-1)</f>
        <v/>
      </c>
      <c r="G333" s="11" t="str">
        <f>IF($B333="","",RANK($D333,$D$2:$D$1501)+COUNTIF($D$2:D333,$D333)-1)</f>
        <v/>
      </c>
    </row>
    <row r="334" spans="1:7">
      <c r="A334" s="11">
        <v>333</v>
      </c>
      <c r="B334" s="11" t="str">
        <f>IFERROR(INDEX('Raw Data'!$R$2:$R$50000,MATCH(333,'Raw Data'!$W$2:$W$50000,0)),"")</f>
        <v/>
      </c>
      <c r="C334" s="11" t="str">
        <f t="shared" si="5"/>
        <v/>
      </c>
      <c r="D334" s="11" t="str">
        <f>IF($B334="","",COUNTIFS('Raw Data'!$R$2:$R$50000,$B334))</f>
        <v/>
      </c>
      <c r="E334" s="11" t="str">
        <f>IF($B334="","",SUMIFS('Raw Data'!$I$2:$I$50000,'Raw Data'!$R$2:$R$50000,$B334))</f>
        <v/>
      </c>
      <c r="F334" s="11" t="str">
        <f>IF($B334="","",RANK($E334,$E$2:$E$1501)+COUNTIF($E$2:E334,$E334)-1)</f>
        <v/>
      </c>
      <c r="G334" s="11" t="str">
        <f>IF($B334="","",RANK($D334,$D$2:$D$1501)+COUNTIF($D$2:D334,$D334)-1)</f>
        <v/>
      </c>
    </row>
    <row r="335" spans="1:7">
      <c r="A335" s="11">
        <v>334</v>
      </c>
      <c r="B335" s="11" t="str">
        <f>IFERROR(INDEX('Raw Data'!$R$2:$R$50000,MATCH(334,'Raw Data'!$W$2:$W$50000,0)),"")</f>
        <v/>
      </c>
      <c r="C335" s="11" t="str">
        <f t="shared" si="5"/>
        <v/>
      </c>
      <c r="D335" s="11" t="str">
        <f>IF($B335="","",COUNTIFS('Raw Data'!$R$2:$R$50000,$B335))</f>
        <v/>
      </c>
      <c r="E335" s="11" t="str">
        <f>IF($B335="","",SUMIFS('Raw Data'!$I$2:$I$50000,'Raw Data'!$R$2:$R$50000,$B335))</f>
        <v/>
      </c>
      <c r="F335" s="11" t="str">
        <f>IF($B335="","",RANK($E335,$E$2:$E$1501)+COUNTIF($E$2:E335,$E335)-1)</f>
        <v/>
      </c>
      <c r="G335" s="11" t="str">
        <f>IF($B335="","",RANK($D335,$D$2:$D$1501)+COUNTIF($D$2:D335,$D335)-1)</f>
        <v/>
      </c>
    </row>
    <row r="336" spans="1:7">
      <c r="A336" s="11">
        <v>335</v>
      </c>
      <c r="B336" s="11" t="str">
        <f>IFERROR(INDEX('Raw Data'!$R$2:$R$50000,MATCH(335,'Raw Data'!$W$2:$W$50000,0)),"")</f>
        <v/>
      </c>
      <c r="C336" s="11" t="str">
        <f t="shared" si="5"/>
        <v/>
      </c>
      <c r="D336" s="11" t="str">
        <f>IF($B336="","",COUNTIFS('Raw Data'!$R$2:$R$50000,$B336))</f>
        <v/>
      </c>
      <c r="E336" s="11" t="str">
        <f>IF($B336="","",SUMIFS('Raw Data'!$I$2:$I$50000,'Raw Data'!$R$2:$R$50000,$B336))</f>
        <v/>
      </c>
      <c r="F336" s="11" t="str">
        <f>IF($B336="","",RANK($E336,$E$2:$E$1501)+COUNTIF($E$2:E336,$E336)-1)</f>
        <v/>
      </c>
      <c r="G336" s="11" t="str">
        <f>IF($B336="","",RANK($D336,$D$2:$D$1501)+COUNTIF($D$2:D336,$D336)-1)</f>
        <v/>
      </c>
    </row>
    <row r="337" spans="1:7">
      <c r="A337" s="11">
        <v>336</v>
      </c>
      <c r="B337" s="11" t="str">
        <f>IFERROR(INDEX('Raw Data'!$R$2:$R$50000,MATCH(336,'Raw Data'!$W$2:$W$50000,0)),"")</f>
        <v/>
      </c>
      <c r="C337" s="11" t="str">
        <f t="shared" si="5"/>
        <v/>
      </c>
      <c r="D337" s="11" t="str">
        <f>IF($B337="","",COUNTIFS('Raw Data'!$R$2:$R$50000,$B337))</f>
        <v/>
      </c>
      <c r="E337" s="11" t="str">
        <f>IF($B337="","",SUMIFS('Raw Data'!$I$2:$I$50000,'Raw Data'!$R$2:$R$50000,$B337))</f>
        <v/>
      </c>
      <c r="F337" s="11" t="str">
        <f>IF($B337="","",RANK($E337,$E$2:$E$1501)+COUNTIF($E$2:E337,$E337)-1)</f>
        <v/>
      </c>
      <c r="G337" s="11" t="str">
        <f>IF($B337="","",RANK($D337,$D$2:$D$1501)+COUNTIF($D$2:D337,$D337)-1)</f>
        <v/>
      </c>
    </row>
    <row r="338" spans="1:7">
      <c r="A338" s="11">
        <v>337</v>
      </c>
      <c r="B338" s="11" t="str">
        <f>IFERROR(INDEX('Raw Data'!$R$2:$R$50000,MATCH(337,'Raw Data'!$W$2:$W$50000,0)),"")</f>
        <v/>
      </c>
      <c r="C338" s="11" t="str">
        <f t="shared" si="5"/>
        <v/>
      </c>
      <c r="D338" s="11" t="str">
        <f>IF($B338="","",COUNTIFS('Raw Data'!$R$2:$R$50000,$B338))</f>
        <v/>
      </c>
      <c r="E338" s="11" t="str">
        <f>IF($B338="","",SUMIFS('Raw Data'!$I$2:$I$50000,'Raw Data'!$R$2:$R$50000,$B338))</f>
        <v/>
      </c>
      <c r="F338" s="11" t="str">
        <f>IF($B338="","",RANK($E338,$E$2:$E$1501)+COUNTIF($E$2:E338,$E338)-1)</f>
        <v/>
      </c>
      <c r="G338" s="11" t="str">
        <f>IF($B338="","",RANK($D338,$D$2:$D$1501)+COUNTIF($D$2:D338,$D338)-1)</f>
        <v/>
      </c>
    </row>
    <row r="339" spans="1:7">
      <c r="A339" s="11">
        <v>338</v>
      </c>
      <c r="B339" s="11" t="str">
        <f>IFERROR(INDEX('Raw Data'!$R$2:$R$50000,MATCH(338,'Raw Data'!$W$2:$W$50000,0)),"")</f>
        <v/>
      </c>
      <c r="C339" s="11" t="str">
        <f t="shared" si="5"/>
        <v/>
      </c>
      <c r="D339" s="11" t="str">
        <f>IF($B339="","",COUNTIFS('Raw Data'!$R$2:$R$50000,$B339))</f>
        <v/>
      </c>
      <c r="E339" s="11" t="str">
        <f>IF($B339="","",SUMIFS('Raw Data'!$I$2:$I$50000,'Raw Data'!$R$2:$R$50000,$B339))</f>
        <v/>
      </c>
      <c r="F339" s="11" t="str">
        <f>IF($B339="","",RANK($E339,$E$2:$E$1501)+COUNTIF($E$2:E339,$E339)-1)</f>
        <v/>
      </c>
      <c r="G339" s="11" t="str">
        <f>IF($B339="","",RANK($D339,$D$2:$D$1501)+COUNTIF($D$2:D339,$D339)-1)</f>
        <v/>
      </c>
    </row>
    <row r="340" spans="1:7">
      <c r="A340" s="11">
        <v>339</v>
      </c>
      <c r="B340" s="11" t="str">
        <f>IFERROR(INDEX('Raw Data'!$R$2:$R$50000,MATCH(339,'Raw Data'!$W$2:$W$50000,0)),"")</f>
        <v/>
      </c>
      <c r="C340" s="11" t="str">
        <f t="shared" si="5"/>
        <v/>
      </c>
      <c r="D340" s="11" t="str">
        <f>IF($B340="","",COUNTIFS('Raw Data'!$R$2:$R$50000,$B340))</f>
        <v/>
      </c>
      <c r="E340" s="11" t="str">
        <f>IF($B340="","",SUMIFS('Raw Data'!$I$2:$I$50000,'Raw Data'!$R$2:$R$50000,$B340))</f>
        <v/>
      </c>
      <c r="F340" s="11" t="str">
        <f>IF($B340="","",RANK($E340,$E$2:$E$1501)+COUNTIF($E$2:E340,$E340)-1)</f>
        <v/>
      </c>
      <c r="G340" s="11" t="str">
        <f>IF($B340="","",RANK($D340,$D$2:$D$1501)+COUNTIF($D$2:D340,$D340)-1)</f>
        <v/>
      </c>
    </row>
    <row r="341" spans="1:7">
      <c r="A341" s="11">
        <v>340</v>
      </c>
      <c r="B341" s="11" t="str">
        <f>IFERROR(INDEX('Raw Data'!$R$2:$R$50000,MATCH(340,'Raw Data'!$W$2:$W$50000,0)),"")</f>
        <v/>
      </c>
      <c r="C341" s="11" t="str">
        <f t="shared" si="5"/>
        <v/>
      </c>
      <c r="D341" s="11" t="str">
        <f>IF($B341="","",COUNTIFS('Raw Data'!$R$2:$R$50000,$B341))</f>
        <v/>
      </c>
      <c r="E341" s="11" t="str">
        <f>IF($B341="","",SUMIFS('Raw Data'!$I$2:$I$50000,'Raw Data'!$R$2:$R$50000,$B341))</f>
        <v/>
      </c>
      <c r="F341" s="11" t="str">
        <f>IF($B341="","",RANK($E341,$E$2:$E$1501)+COUNTIF($E$2:E341,$E341)-1)</f>
        <v/>
      </c>
      <c r="G341" s="11" t="str">
        <f>IF($B341="","",RANK($D341,$D$2:$D$1501)+COUNTIF($D$2:D341,$D341)-1)</f>
        <v/>
      </c>
    </row>
    <row r="342" spans="1:7">
      <c r="A342" s="11">
        <v>341</v>
      </c>
      <c r="B342" s="11" t="str">
        <f>IFERROR(INDEX('Raw Data'!$R$2:$R$50000,MATCH(341,'Raw Data'!$W$2:$W$50000,0)),"")</f>
        <v/>
      </c>
      <c r="C342" s="11" t="str">
        <f t="shared" si="5"/>
        <v/>
      </c>
      <c r="D342" s="11" t="str">
        <f>IF($B342="","",COUNTIFS('Raw Data'!$R$2:$R$50000,$B342))</f>
        <v/>
      </c>
      <c r="E342" s="11" t="str">
        <f>IF($B342="","",SUMIFS('Raw Data'!$I$2:$I$50000,'Raw Data'!$R$2:$R$50000,$B342))</f>
        <v/>
      </c>
      <c r="F342" s="11" t="str">
        <f>IF($B342="","",RANK($E342,$E$2:$E$1501)+COUNTIF($E$2:E342,$E342)-1)</f>
        <v/>
      </c>
      <c r="G342" s="11" t="str">
        <f>IF($B342="","",RANK($D342,$D$2:$D$1501)+COUNTIF($D$2:D342,$D342)-1)</f>
        <v/>
      </c>
    </row>
    <row r="343" spans="1:7">
      <c r="A343" s="11">
        <v>342</v>
      </c>
      <c r="B343" s="11" t="str">
        <f>IFERROR(INDEX('Raw Data'!$R$2:$R$50000,MATCH(342,'Raw Data'!$W$2:$W$50000,0)),"")</f>
        <v/>
      </c>
      <c r="C343" s="11" t="str">
        <f t="shared" si="5"/>
        <v/>
      </c>
      <c r="D343" s="11" t="str">
        <f>IF($B343="","",COUNTIFS('Raw Data'!$R$2:$R$50000,$B343))</f>
        <v/>
      </c>
      <c r="E343" s="11" t="str">
        <f>IF($B343="","",SUMIFS('Raw Data'!$I$2:$I$50000,'Raw Data'!$R$2:$R$50000,$B343))</f>
        <v/>
      </c>
      <c r="F343" s="11" t="str">
        <f>IF($B343="","",RANK($E343,$E$2:$E$1501)+COUNTIF($E$2:E343,$E343)-1)</f>
        <v/>
      </c>
      <c r="G343" s="11" t="str">
        <f>IF($B343="","",RANK($D343,$D$2:$D$1501)+COUNTIF($D$2:D343,$D343)-1)</f>
        <v/>
      </c>
    </row>
    <row r="344" spans="1:7">
      <c r="A344" s="11">
        <v>343</v>
      </c>
      <c r="B344" s="11" t="str">
        <f>IFERROR(INDEX('Raw Data'!$R$2:$R$50000,MATCH(343,'Raw Data'!$W$2:$W$50000,0)),"")</f>
        <v/>
      </c>
      <c r="C344" s="11" t="str">
        <f t="shared" si="5"/>
        <v/>
      </c>
      <c r="D344" s="11" t="str">
        <f>IF($B344="","",COUNTIFS('Raw Data'!$R$2:$R$50000,$B344))</f>
        <v/>
      </c>
      <c r="E344" s="11" t="str">
        <f>IF($B344="","",SUMIFS('Raw Data'!$I$2:$I$50000,'Raw Data'!$R$2:$R$50000,$B344))</f>
        <v/>
      </c>
      <c r="F344" s="11" t="str">
        <f>IF($B344="","",RANK($E344,$E$2:$E$1501)+COUNTIF($E$2:E344,$E344)-1)</f>
        <v/>
      </c>
      <c r="G344" s="11" t="str">
        <f>IF($B344="","",RANK($D344,$D$2:$D$1501)+COUNTIF($D$2:D344,$D344)-1)</f>
        <v/>
      </c>
    </row>
    <row r="345" spans="1:7">
      <c r="A345" s="11">
        <v>344</v>
      </c>
      <c r="B345" s="11" t="str">
        <f>IFERROR(INDEX('Raw Data'!$R$2:$R$50000,MATCH(344,'Raw Data'!$W$2:$W$50000,0)),"")</f>
        <v/>
      </c>
      <c r="C345" s="11" t="str">
        <f t="shared" si="5"/>
        <v/>
      </c>
      <c r="D345" s="11" t="str">
        <f>IF($B345="","",COUNTIFS('Raw Data'!$R$2:$R$50000,$B345))</f>
        <v/>
      </c>
      <c r="E345" s="11" t="str">
        <f>IF($B345="","",SUMIFS('Raw Data'!$I$2:$I$50000,'Raw Data'!$R$2:$R$50000,$B345))</f>
        <v/>
      </c>
      <c r="F345" s="11" t="str">
        <f>IF($B345="","",RANK($E345,$E$2:$E$1501)+COUNTIF($E$2:E345,$E345)-1)</f>
        <v/>
      </c>
      <c r="G345" s="11" t="str">
        <f>IF($B345="","",RANK($D345,$D$2:$D$1501)+COUNTIF($D$2:D345,$D345)-1)</f>
        <v/>
      </c>
    </row>
    <row r="346" spans="1:7">
      <c r="A346" s="11">
        <v>345</v>
      </c>
      <c r="B346" s="11" t="str">
        <f>IFERROR(INDEX('Raw Data'!$R$2:$R$50000,MATCH(345,'Raw Data'!$W$2:$W$50000,0)),"")</f>
        <v/>
      </c>
      <c r="C346" s="11" t="str">
        <f t="shared" si="5"/>
        <v/>
      </c>
      <c r="D346" s="11" t="str">
        <f>IF($B346="","",COUNTIFS('Raw Data'!$R$2:$R$50000,$B346))</f>
        <v/>
      </c>
      <c r="E346" s="11" t="str">
        <f>IF($B346="","",SUMIFS('Raw Data'!$I$2:$I$50000,'Raw Data'!$R$2:$R$50000,$B346))</f>
        <v/>
      </c>
      <c r="F346" s="11" t="str">
        <f>IF($B346="","",RANK($E346,$E$2:$E$1501)+COUNTIF($E$2:E346,$E346)-1)</f>
        <v/>
      </c>
      <c r="G346" s="11" t="str">
        <f>IF($B346="","",RANK($D346,$D$2:$D$1501)+COUNTIF($D$2:D346,$D346)-1)</f>
        <v/>
      </c>
    </row>
    <row r="347" spans="1:7">
      <c r="A347" s="11">
        <v>346</v>
      </c>
      <c r="B347" s="11" t="str">
        <f>IFERROR(INDEX('Raw Data'!$R$2:$R$50000,MATCH(346,'Raw Data'!$W$2:$W$50000,0)),"")</f>
        <v/>
      </c>
      <c r="C347" s="11" t="str">
        <f t="shared" si="5"/>
        <v/>
      </c>
      <c r="D347" s="11" t="str">
        <f>IF($B347="","",COUNTIFS('Raw Data'!$R$2:$R$50000,$B347))</f>
        <v/>
      </c>
      <c r="E347" s="11" t="str">
        <f>IF($B347="","",SUMIFS('Raw Data'!$I$2:$I$50000,'Raw Data'!$R$2:$R$50000,$B347))</f>
        <v/>
      </c>
      <c r="F347" s="11" t="str">
        <f>IF($B347="","",RANK($E347,$E$2:$E$1501)+COUNTIF($E$2:E347,$E347)-1)</f>
        <v/>
      </c>
      <c r="G347" s="11" t="str">
        <f>IF($B347="","",RANK($D347,$D$2:$D$1501)+COUNTIF($D$2:D347,$D347)-1)</f>
        <v/>
      </c>
    </row>
    <row r="348" spans="1:7">
      <c r="A348" s="11">
        <v>347</v>
      </c>
      <c r="B348" s="11" t="str">
        <f>IFERROR(INDEX('Raw Data'!$R$2:$R$50000,MATCH(347,'Raw Data'!$W$2:$W$50000,0)),"")</f>
        <v/>
      </c>
      <c r="C348" s="11" t="str">
        <f t="shared" si="5"/>
        <v/>
      </c>
      <c r="D348" s="11" t="str">
        <f>IF($B348="","",COUNTIFS('Raw Data'!$R$2:$R$50000,$B348))</f>
        <v/>
      </c>
      <c r="E348" s="11" t="str">
        <f>IF($B348="","",SUMIFS('Raw Data'!$I$2:$I$50000,'Raw Data'!$R$2:$R$50000,$B348))</f>
        <v/>
      </c>
      <c r="F348" s="11" t="str">
        <f>IF($B348="","",RANK($E348,$E$2:$E$1501)+COUNTIF($E$2:E348,$E348)-1)</f>
        <v/>
      </c>
      <c r="G348" s="11" t="str">
        <f>IF($B348="","",RANK($D348,$D$2:$D$1501)+COUNTIF($D$2:D348,$D348)-1)</f>
        <v/>
      </c>
    </row>
    <row r="349" spans="1:7">
      <c r="A349" s="11">
        <v>348</v>
      </c>
      <c r="B349" s="11" t="str">
        <f>IFERROR(INDEX('Raw Data'!$R$2:$R$50000,MATCH(348,'Raw Data'!$W$2:$W$50000,0)),"")</f>
        <v/>
      </c>
      <c r="C349" s="11" t="str">
        <f t="shared" si="5"/>
        <v/>
      </c>
      <c r="D349" s="11" t="str">
        <f>IF($B349="","",COUNTIFS('Raw Data'!$R$2:$R$50000,$B349))</f>
        <v/>
      </c>
      <c r="E349" s="11" t="str">
        <f>IF($B349="","",SUMIFS('Raw Data'!$I$2:$I$50000,'Raw Data'!$R$2:$R$50000,$B349))</f>
        <v/>
      </c>
      <c r="F349" s="11" t="str">
        <f>IF($B349="","",RANK($E349,$E$2:$E$1501)+COUNTIF($E$2:E349,$E349)-1)</f>
        <v/>
      </c>
      <c r="G349" s="11" t="str">
        <f>IF($B349="","",RANK($D349,$D$2:$D$1501)+COUNTIF($D$2:D349,$D349)-1)</f>
        <v/>
      </c>
    </row>
    <row r="350" spans="1:7">
      <c r="A350" s="11">
        <v>349</v>
      </c>
      <c r="B350" s="11" t="str">
        <f>IFERROR(INDEX('Raw Data'!$R$2:$R$50000,MATCH(349,'Raw Data'!$W$2:$W$50000,0)),"")</f>
        <v/>
      </c>
      <c r="C350" s="11" t="str">
        <f t="shared" si="5"/>
        <v/>
      </c>
      <c r="D350" s="11" t="str">
        <f>IF($B350="","",COUNTIFS('Raw Data'!$R$2:$R$50000,$B350))</f>
        <v/>
      </c>
      <c r="E350" s="11" t="str">
        <f>IF($B350="","",SUMIFS('Raw Data'!$I$2:$I$50000,'Raw Data'!$R$2:$R$50000,$B350))</f>
        <v/>
      </c>
      <c r="F350" s="11" t="str">
        <f>IF($B350="","",RANK($E350,$E$2:$E$1501)+COUNTIF($E$2:E350,$E350)-1)</f>
        <v/>
      </c>
      <c r="G350" s="11" t="str">
        <f>IF($B350="","",RANK($D350,$D$2:$D$1501)+COUNTIF($D$2:D350,$D350)-1)</f>
        <v/>
      </c>
    </row>
    <row r="351" spans="1:7">
      <c r="A351" s="11">
        <v>350</v>
      </c>
      <c r="B351" s="11" t="str">
        <f>IFERROR(INDEX('Raw Data'!$R$2:$R$50000,MATCH(350,'Raw Data'!$W$2:$W$50000,0)),"")</f>
        <v/>
      </c>
      <c r="C351" s="11" t="str">
        <f t="shared" si="5"/>
        <v/>
      </c>
      <c r="D351" s="11" t="str">
        <f>IF($B351="","",COUNTIFS('Raw Data'!$R$2:$R$50000,$B351))</f>
        <v/>
      </c>
      <c r="E351" s="11" t="str">
        <f>IF($B351="","",SUMIFS('Raw Data'!$I$2:$I$50000,'Raw Data'!$R$2:$R$50000,$B351))</f>
        <v/>
      </c>
      <c r="F351" s="11" t="str">
        <f>IF($B351="","",RANK($E351,$E$2:$E$1501)+COUNTIF($E$2:E351,$E351)-1)</f>
        <v/>
      </c>
      <c r="G351" s="11" t="str">
        <f>IF($B351="","",RANK($D351,$D$2:$D$1501)+COUNTIF($D$2:D351,$D351)-1)</f>
        <v/>
      </c>
    </row>
    <row r="352" spans="1:7">
      <c r="A352" s="11">
        <v>351</v>
      </c>
      <c r="B352" s="11" t="str">
        <f>IFERROR(INDEX('Raw Data'!$R$2:$R$50000,MATCH(351,'Raw Data'!$W$2:$W$50000,0)),"")</f>
        <v/>
      </c>
      <c r="C352" s="11" t="str">
        <f t="shared" si="5"/>
        <v/>
      </c>
      <c r="D352" s="11" t="str">
        <f>IF($B352="","",COUNTIFS('Raw Data'!$R$2:$R$50000,$B352))</f>
        <v/>
      </c>
      <c r="E352" s="11" t="str">
        <f>IF($B352="","",SUMIFS('Raw Data'!$I$2:$I$50000,'Raw Data'!$R$2:$R$50000,$B352))</f>
        <v/>
      </c>
      <c r="F352" s="11" t="str">
        <f>IF($B352="","",RANK($E352,$E$2:$E$1501)+COUNTIF($E$2:E352,$E352)-1)</f>
        <v/>
      </c>
      <c r="G352" s="11" t="str">
        <f>IF($B352="","",RANK($D352,$D$2:$D$1501)+COUNTIF($D$2:D352,$D352)-1)</f>
        <v/>
      </c>
    </row>
    <row r="353" spans="1:7">
      <c r="A353" s="11">
        <v>352</v>
      </c>
      <c r="B353" s="11" t="str">
        <f>IFERROR(INDEX('Raw Data'!$R$2:$R$50000,MATCH(352,'Raw Data'!$W$2:$W$50000,0)),"")</f>
        <v/>
      </c>
      <c r="C353" s="11" t="str">
        <f t="shared" si="5"/>
        <v/>
      </c>
      <c r="D353" s="11" t="str">
        <f>IF($B353="","",COUNTIFS('Raw Data'!$R$2:$R$50000,$B353))</f>
        <v/>
      </c>
      <c r="E353" s="11" t="str">
        <f>IF($B353="","",SUMIFS('Raw Data'!$I$2:$I$50000,'Raw Data'!$R$2:$R$50000,$B353))</f>
        <v/>
      </c>
      <c r="F353" s="11" t="str">
        <f>IF($B353="","",RANK($E353,$E$2:$E$1501)+COUNTIF($E$2:E353,$E353)-1)</f>
        <v/>
      </c>
      <c r="G353" s="11" t="str">
        <f>IF($B353="","",RANK($D353,$D$2:$D$1501)+COUNTIF($D$2:D353,$D353)-1)</f>
        <v/>
      </c>
    </row>
    <row r="354" spans="1:7">
      <c r="A354" s="11">
        <v>353</v>
      </c>
      <c r="B354" s="11" t="str">
        <f>IFERROR(INDEX('Raw Data'!$R$2:$R$50000,MATCH(353,'Raw Data'!$W$2:$W$50000,0)),"")</f>
        <v/>
      </c>
      <c r="C354" s="11" t="str">
        <f t="shared" si="5"/>
        <v/>
      </c>
      <c r="D354" s="11" t="str">
        <f>IF($B354="","",COUNTIFS('Raw Data'!$R$2:$R$50000,$B354))</f>
        <v/>
      </c>
      <c r="E354" s="11" t="str">
        <f>IF($B354="","",SUMIFS('Raw Data'!$I$2:$I$50000,'Raw Data'!$R$2:$R$50000,$B354))</f>
        <v/>
      </c>
      <c r="F354" s="11" t="str">
        <f>IF($B354="","",RANK($E354,$E$2:$E$1501)+COUNTIF($E$2:E354,$E354)-1)</f>
        <v/>
      </c>
      <c r="G354" s="11" t="str">
        <f>IF($B354="","",RANK($D354,$D$2:$D$1501)+COUNTIF($D$2:D354,$D354)-1)</f>
        <v/>
      </c>
    </row>
    <row r="355" spans="1:7">
      <c r="A355" s="11">
        <v>354</v>
      </c>
      <c r="B355" s="11" t="str">
        <f>IFERROR(INDEX('Raw Data'!$R$2:$R$50000,MATCH(354,'Raw Data'!$W$2:$W$50000,0)),"")</f>
        <v/>
      </c>
      <c r="C355" s="11" t="str">
        <f t="shared" si="5"/>
        <v/>
      </c>
      <c r="D355" s="11" t="str">
        <f>IF($B355="","",COUNTIFS('Raw Data'!$R$2:$R$50000,$B355))</f>
        <v/>
      </c>
      <c r="E355" s="11" t="str">
        <f>IF($B355="","",SUMIFS('Raw Data'!$I$2:$I$50000,'Raw Data'!$R$2:$R$50000,$B355))</f>
        <v/>
      </c>
      <c r="F355" s="11" t="str">
        <f>IF($B355="","",RANK($E355,$E$2:$E$1501)+COUNTIF($E$2:E355,$E355)-1)</f>
        <v/>
      </c>
      <c r="G355" s="11" t="str">
        <f>IF($B355="","",RANK($D355,$D$2:$D$1501)+COUNTIF($D$2:D355,$D355)-1)</f>
        <v/>
      </c>
    </row>
    <row r="356" spans="1:7">
      <c r="A356" s="11">
        <v>355</v>
      </c>
      <c r="B356" s="11" t="str">
        <f>IFERROR(INDEX('Raw Data'!$R$2:$R$50000,MATCH(355,'Raw Data'!$W$2:$W$50000,0)),"")</f>
        <v/>
      </c>
      <c r="C356" s="11" t="str">
        <f t="shared" si="5"/>
        <v/>
      </c>
      <c r="D356" s="11" t="str">
        <f>IF($B356="","",COUNTIFS('Raw Data'!$R$2:$R$50000,$B356))</f>
        <v/>
      </c>
      <c r="E356" s="11" t="str">
        <f>IF($B356="","",SUMIFS('Raw Data'!$I$2:$I$50000,'Raw Data'!$R$2:$R$50000,$B356))</f>
        <v/>
      </c>
      <c r="F356" s="11" t="str">
        <f>IF($B356="","",RANK($E356,$E$2:$E$1501)+COUNTIF($E$2:E356,$E356)-1)</f>
        <v/>
      </c>
      <c r="G356" s="11" t="str">
        <f>IF($B356="","",RANK($D356,$D$2:$D$1501)+COUNTIF($D$2:D356,$D356)-1)</f>
        <v/>
      </c>
    </row>
    <row r="357" spans="1:7">
      <c r="A357" s="11">
        <v>356</v>
      </c>
      <c r="B357" s="11" t="str">
        <f>IFERROR(INDEX('Raw Data'!$R$2:$R$50000,MATCH(356,'Raw Data'!$W$2:$W$50000,0)),"")</f>
        <v/>
      </c>
      <c r="C357" s="11" t="str">
        <f t="shared" si="5"/>
        <v/>
      </c>
      <c r="D357" s="11" t="str">
        <f>IF($B357="","",COUNTIFS('Raw Data'!$R$2:$R$50000,$B357))</f>
        <v/>
      </c>
      <c r="E357" s="11" t="str">
        <f>IF($B357="","",SUMIFS('Raw Data'!$I$2:$I$50000,'Raw Data'!$R$2:$R$50000,$B357))</f>
        <v/>
      </c>
      <c r="F357" s="11" t="str">
        <f>IF($B357="","",RANK($E357,$E$2:$E$1501)+COUNTIF($E$2:E357,$E357)-1)</f>
        <v/>
      </c>
      <c r="G357" s="11" t="str">
        <f>IF($B357="","",RANK($D357,$D$2:$D$1501)+COUNTIF($D$2:D357,$D357)-1)</f>
        <v/>
      </c>
    </row>
    <row r="358" spans="1:7">
      <c r="A358" s="11">
        <v>357</v>
      </c>
      <c r="B358" s="11" t="str">
        <f>IFERROR(INDEX('Raw Data'!$R$2:$R$50000,MATCH(357,'Raw Data'!$W$2:$W$50000,0)),"")</f>
        <v/>
      </c>
      <c r="C358" s="11" t="str">
        <f t="shared" si="5"/>
        <v/>
      </c>
      <c r="D358" s="11" t="str">
        <f>IF($B358="","",COUNTIFS('Raw Data'!$R$2:$R$50000,$B358))</f>
        <v/>
      </c>
      <c r="E358" s="11" t="str">
        <f>IF($B358="","",SUMIFS('Raw Data'!$I$2:$I$50000,'Raw Data'!$R$2:$R$50000,$B358))</f>
        <v/>
      </c>
      <c r="F358" s="11" t="str">
        <f>IF($B358="","",RANK($E358,$E$2:$E$1501)+COUNTIF($E$2:E358,$E358)-1)</f>
        <v/>
      </c>
      <c r="G358" s="11" t="str">
        <f>IF($B358="","",RANK($D358,$D$2:$D$1501)+COUNTIF($D$2:D358,$D358)-1)</f>
        <v/>
      </c>
    </row>
    <row r="359" spans="1:7">
      <c r="A359" s="11">
        <v>358</v>
      </c>
      <c r="B359" s="11" t="str">
        <f>IFERROR(INDEX('Raw Data'!$R$2:$R$50000,MATCH(358,'Raw Data'!$W$2:$W$50000,0)),"")</f>
        <v/>
      </c>
      <c r="C359" s="11" t="str">
        <f t="shared" si="5"/>
        <v/>
      </c>
      <c r="D359" s="11" t="str">
        <f>IF($B359="","",COUNTIFS('Raw Data'!$R$2:$R$50000,$B359))</f>
        <v/>
      </c>
      <c r="E359" s="11" t="str">
        <f>IF($B359="","",SUMIFS('Raw Data'!$I$2:$I$50000,'Raw Data'!$R$2:$R$50000,$B359))</f>
        <v/>
      </c>
      <c r="F359" s="11" t="str">
        <f>IF($B359="","",RANK($E359,$E$2:$E$1501)+COUNTIF($E$2:E359,$E359)-1)</f>
        <v/>
      </c>
      <c r="G359" s="11" t="str">
        <f>IF($B359="","",RANK($D359,$D$2:$D$1501)+COUNTIF($D$2:D359,$D359)-1)</f>
        <v/>
      </c>
    </row>
    <row r="360" spans="1:7">
      <c r="A360" s="11">
        <v>359</v>
      </c>
      <c r="B360" s="11" t="str">
        <f>IFERROR(INDEX('Raw Data'!$R$2:$R$50000,MATCH(359,'Raw Data'!$W$2:$W$50000,0)),"")</f>
        <v/>
      </c>
      <c r="C360" s="11" t="str">
        <f t="shared" si="5"/>
        <v/>
      </c>
      <c r="D360" s="11" t="str">
        <f>IF($B360="","",COUNTIFS('Raw Data'!$R$2:$R$50000,$B360))</f>
        <v/>
      </c>
      <c r="E360" s="11" t="str">
        <f>IF($B360="","",SUMIFS('Raw Data'!$I$2:$I$50000,'Raw Data'!$R$2:$R$50000,$B360))</f>
        <v/>
      </c>
      <c r="F360" s="11" t="str">
        <f>IF($B360="","",RANK($E360,$E$2:$E$1501)+COUNTIF($E$2:E360,$E360)-1)</f>
        <v/>
      </c>
      <c r="G360" s="11" t="str">
        <f>IF($B360="","",RANK($D360,$D$2:$D$1501)+COUNTIF($D$2:D360,$D360)-1)</f>
        <v/>
      </c>
    </row>
    <row r="361" spans="1:7">
      <c r="A361" s="11">
        <v>360</v>
      </c>
      <c r="B361" s="11" t="str">
        <f>IFERROR(INDEX('Raw Data'!$R$2:$R$50000,MATCH(360,'Raw Data'!$W$2:$W$50000,0)),"")</f>
        <v/>
      </c>
      <c r="C361" s="11" t="str">
        <f t="shared" si="5"/>
        <v/>
      </c>
      <c r="D361" s="11" t="str">
        <f>IF($B361="","",COUNTIFS('Raw Data'!$R$2:$R$50000,$B361))</f>
        <v/>
      </c>
      <c r="E361" s="11" t="str">
        <f>IF($B361="","",SUMIFS('Raw Data'!$I$2:$I$50000,'Raw Data'!$R$2:$R$50000,$B361))</f>
        <v/>
      </c>
      <c r="F361" s="11" t="str">
        <f>IF($B361="","",RANK($E361,$E$2:$E$1501)+COUNTIF($E$2:E361,$E361)-1)</f>
        <v/>
      </c>
      <c r="G361" s="11" t="str">
        <f>IF($B361="","",RANK($D361,$D$2:$D$1501)+COUNTIF($D$2:D361,$D361)-1)</f>
        <v/>
      </c>
    </row>
    <row r="362" spans="1:7">
      <c r="A362" s="11">
        <v>361</v>
      </c>
      <c r="B362" s="11" t="str">
        <f>IFERROR(INDEX('Raw Data'!$R$2:$R$50000,MATCH(361,'Raw Data'!$W$2:$W$50000,0)),"")</f>
        <v/>
      </c>
      <c r="C362" s="11" t="str">
        <f t="shared" si="5"/>
        <v/>
      </c>
      <c r="D362" s="11" t="str">
        <f>IF($B362="","",COUNTIFS('Raw Data'!$R$2:$R$50000,$B362))</f>
        <v/>
      </c>
      <c r="E362" s="11" t="str">
        <f>IF($B362="","",SUMIFS('Raw Data'!$I$2:$I$50000,'Raw Data'!$R$2:$R$50000,$B362))</f>
        <v/>
      </c>
      <c r="F362" s="11" t="str">
        <f>IF($B362="","",RANK($E362,$E$2:$E$1501)+COUNTIF($E$2:E362,$E362)-1)</f>
        <v/>
      </c>
      <c r="G362" s="11" t="str">
        <f>IF($B362="","",RANK($D362,$D$2:$D$1501)+COUNTIF($D$2:D362,$D362)-1)</f>
        <v/>
      </c>
    </row>
    <row r="363" spans="1:7">
      <c r="A363" s="11">
        <v>362</v>
      </c>
      <c r="B363" s="11" t="str">
        <f>IFERROR(INDEX('Raw Data'!$R$2:$R$50000,MATCH(362,'Raw Data'!$W$2:$W$50000,0)),"")</f>
        <v/>
      </c>
      <c r="C363" s="11" t="str">
        <f t="shared" si="5"/>
        <v/>
      </c>
      <c r="D363" s="11" t="str">
        <f>IF($B363="","",COUNTIFS('Raw Data'!$R$2:$R$50000,$B363))</f>
        <v/>
      </c>
      <c r="E363" s="11" t="str">
        <f>IF($B363="","",SUMIFS('Raw Data'!$I$2:$I$50000,'Raw Data'!$R$2:$R$50000,$B363))</f>
        <v/>
      </c>
      <c r="F363" s="11" t="str">
        <f>IF($B363="","",RANK($E363,$E$2:$E$1501)+COUNTIF($E$2:E363,$E363)-1)</f>
        <v/>
      </c>
      <c r="G363" s="11" t="str">
        <f>IF($B363="","",RANK($D363,$D$2:$D$1501)+COUNTIF($D$2:D363,$D363)-1)</f>
        <v/>
      </c>
    </row>
    <row r="364" spans="1:7">
      <c r="A364" s="11">
        <v>363</v>
      </c>
      <c r="B364" s="11" t="str">
        <f>IFERROR(INDEX('Raw Data'!$R$2:$R$50000,MATCH(363,'Raw Data'!$W$2:$W$50000,0)),"")</f>
        <v/>
      </c>
      <c r="C364" s="11" t="str">
        <f t="shared" si="5"/>
        <v/>
      </c>
      <c r="D364" s="11" t="str">
        <f>IF($B364="","",COUNTIFS('Raw Data'!$R$2:$R$50000,$B364))</f>
        <v/>
      </c>
      <c r="E364" s="11" t="str">
        <f>IF($B364="","",SUMIFS('Raw Data'!$I$2:$I$50000,'Raw Data'!$R$2:$R$50000,$B364))</f>
        <v/>
      </c>
      <c r="F364" s="11" t="str">
        <f>IF($B364="","",RANK($E364,$E$2:$E$1501)+COUNTIF($E$2:E364,$E364)-1)</f>
        <v/>
      </c>
      <c r="G364" s="11" t="str">
        <f>IF($B364="","",RANK($D364,$D$2:$D$1501)+COUNTIF($D$2:D364,$D364)-1)</f>
        <v/>
      </c>
    </row>
    <row r="365" spans="1:7">
      <c r="A365" s="11">
        <v>364</v>
      </c>
      <c r="B365" s="11" t="str">
        <f>IFERROR(INDEX('Raw Data'!$R$2:$R$50000,MATCH(364,'Raw Data'!$W$2:$W$50000,0)),"")</f>
        <v/>
      </c>
      <c r="C365" s="11" t="str">
        <f t="shared" si="5"/>
        <v/>
      </c>
      <c r="D365" s="11" t="str">
        <f>IF($B365="","",COUNTIFS('Raw Data'!$R$2:$R$50000,$B365))</f>
        <v/>
      </c>
      <c r="E365" s="11" t="str">
        <f>IF($B365="","",SUMIFS('Raw Data'!$I$2:$I$50000,'Raw Data'!$R$2:$R$50000,$B365))</f>
        <v/>
      </c>
      <c r="F365" s="11" t="str">
        <f>IF($B365="","",RANK($E365,$E$2:$E$1501)+COUNTIF($E$2:E365,$E365)-1)</f>
        <v/>
      </c>
      <c r="G365" s="11" t="str">
        <f>IF($B365="","",RANK($D365,$D$2:$D$1501)+COUNTIF($D$2:D365,$D365)-1)</f>
        <v/>
      </c>
    </row>
    <row r="366" spans="1:7">
      <c r="A366" s="11">
        <v>365</v>
      </c>
      <c r="B366" s="11" t="str">
        <f>IFERROR(INDEX('Raw Data'!$R$2:$R$50000,MATCH(365,'Raw Data'!$W$2:$W$50000,0)),"")</f>
        <v/>
      </c>
      <c r="C366" s="11" t="str">
        <f t="shared" si="5"/>
        <v/>
      </c>
      <c r="D366" s="11" t="str">
        <f>IF($B366="","",COUNTIFS('Raw Data'!$R$2:$R$50000,$B366))</f>
        <v/>
      </c>
      <c r="E366" s="11" t="str">
        <f>IF($B366="","",SUMIFS('Raw Data'!$I$2:$I$50000,'Raw Data'!$R$2:$R$50000,$B366))</f>
        <v/>
      </c>
      <c r="F366" s="11" t="str">
        <f>IF($B366="","",RANK($E366,$E$2:$E$1501)+COUNTIF($E$2:E366,$E366)-1)</f>
        <v/>
      </c>
      <c r="G366" s="11" t="str">
        <f>IF($B366="","",RANK($D366,$D$2:$D$1501)+COUNTIF($D$2:D366,$D366)-1)</f>
        <v/>
      </c>
    </row>
    <row r="367" spans="1:7">
      <c r="A367" s="11">
        <v>366</v>
      </c>
      <c r="B367" s="11" t="str">
        <f>IFERROR(INDEX('Raw Data'!$R$2:$R$50000,MATCH(366,'Raw Data'!$W$2:$W$50000,0)),"")</f>
        <v/>
      </c>
      <c r="C367" s="11" t="str">
        <f t="shared" si="5"/>
        <v/>
      </c>
      <c r="D367" s="11" t="str">
        <f>IF($B367="","",COUNTIFS('Raw Data'!$R$2:$R$50000,$B367))</f>
        <v/>
      </c>
      <c r="E367" s="11" t="str">
        <f>IF($B367="","",SUMIFS('Raw Data'!$I$2:$I$50000,'Raw Data'!$R$2:$R$50000,$B367))</f>
        <v/>
      </c>
      <c r="F367" s="11" t="str">
        <f>IF($B367="","",RANK($E367,$E$2:$E$1501)+COUNTIF($E$2:E367,$E367)-1)</f>
        <v/>
      </c>
      <c r="G367" s="11" t="str">
        <f>IF($B367="","",RANK($D367,$D$2:$D$1501)+COUNTIF($D$2:D367,$D367)-1)</f>
        <v/>
      </c>
    </row>
    <row r="368" spans="1:7">
      <c r="A368" s="11">
        <v>367</v>
      </c>
      <c r="B368" s="11" t="str">
        <f>IFERROR(INDEX('Raw Data'!$R$2:$R$50000,MATCH(367,'Raw Data'!$W$2:$W$50000,0)),"")</f>
        <v/>
      </c>
      <c r="C368" s="11" t="str">
        <f t="shared" si="5"/>
        <v/>
      </c>
      <c r="D368" s="11" t="str">
        <f>IF($B368="","",COUNTIFS('Raw Data'!$R$2:$R$50000,$B368))</f>
        <v/>
      </c>
      <c r="E368" s="11" t="str">
        <f>IF($B368="","",SUMIFS('Raw Data'!$I$2:$I$50000,'Raw Data'!$R$2:$R$50000,$B368))</f>
        <v/>
      </c>
      <c r="F368" s="11" t="str">
        <f>IF($B368="","",RANK($E368,$E$2:$E$1501)+COUNTIF($E$2:E368,$E368)-1)</f>
        <v/>
      </c>
      <c r="G368" s="11" t="str">
        <f>IF($B368="","",RANK($D368,$D$2:$D$1501)+COUNTIF($D$2:D368,$D368)-1)</f>
        <v/>
      </c>
    </row>
    <row r="369" spans="1:7">
      <c r="A369" s="11">
        <v>368</v>
      </c>
      <c r="B369" s="11" t="str">
        <f>IFERROR(INDEX('Raw Data'!$R$2:$R$50000,MATCH(368,'Raw Data'!$W$2:$W$50000,0)),"")</f>
        <v/>
      </c>
      <c r="C369" s="11" t="str">
        <f t="shared" si="5"/>
        <v/>
      </c>
      <c r="D369" s="11" t="str">
        <f>IF($B369="","",COUNTIFS('Raw Data'!$R$2:$R$50000,$B369))</f>
        <v/>
      </c>
      <c r="E369" s="11" t="str">
        <f>IF($B369="","",SUMIFS('Raw Data'!$I$2:$I$50000,'Raw Data'!$R$2:$R$50000,$B369))</f>
        <v/>
      </c>
      <c r="F369" s="11" t="str">
        <f>IF($B369="","",RANK($E369,$E$2:$E$1501)+COUNTIF($E$2:E369,$E369)-1)</f>
        <v/>
      </c>
      <c r="G369" s="11" t="str">
        <f>IF($B369="","",RANK($D369,$D$2:$D$1501)+COUNTIF($D$2:D369,$D369)-1)</f>
        <v/>
      </c>
    </row>
    <row r="370" spans="1:7">
      <c r="A370" s="11">
        <v>369</v>
      </c>
      <c r="B370" s="11" t="str">
        <f>IFERROR(INDEX('Raw Data'!$R$2:$R$50000,MATCH(369,'Raw Data'!$W$2:$W$50000,0)),"")</f>
        <v/>
      </c>
      <c r="C370" s="11" t="str">
        <f t="shared" si="5"/>
        <v/>
      </c>
      <c r="D370" s="11" t="str">
        <f>IF($B370="","",COUNTIFS('Raw Data'!$R$2:$R$50000,$B370))</f>
        <v/>
      </c>
      <c r="E370" s="11" t="str">
        <f>IF($B370="","",SUMIFS('Raw Data'!$I$2:$I$50000,'Raw Data'!$R$2:$R$50000,$B370))</f>
        <v/>
      </c>
      <c r="F370" s="11" t="str">
        <f>IF($B370="","",RANK($E370,$E$2:$E$1501)+COUNTIF($E$2:E370,$E370)-1)</f>
        <v/>
      </c>
      <c r="G370" s="11" t="str">
        <f>IF($B370="","",RANK($D370,$D$2:$D$1501)+COUNTIF($D$2:D370,$D370)-1)</f>
        <v/>
      </c>
    </row>
    <row r="371" spans="1:7">
      <c r="A371" s="11">
        <v>370</v>
      </c>
      <c r="B371" s="11" t="str">
        <f>IFERROR(INDEX('Raw Data'!$R$2:$R$50000,MATCH(370,'Raw Data'!$W$2:$W$50000,0)),"")</f>
        <v/>
      </c>
      <c r="C371" s="11" t="str">
        <f t="shared" si="5"/>
        <v/>
      </c>
      <c r="D371" s="11" t="str">
        <f>IF($B371="","",COUNTIFS('Raw Data'!$R$2:$R$50000,$B371))</f>
        <v/>
      </c>
      <c r="E371" s="11" t="str">
        <f>IF($B371="","",SUMIFS('Raw Data'!$I$2:$I$50000,'Raw Data'!$R$2:$R$50000,$B371))</f>
        <v/>
      </c>
      <c r="F371" s="11" t="str">
        <f>IF($B371="","",RANK($E371,$E$2:$E$1501)+COUNTIF($E$2:E371,$E371)-1)</f>
        <v/>
      </c>
      <c r="G371" s="11" t="str">
        <f>IF($B371="","",RANK($D371,$D$2:$D$1501)+COUNTIF($D$2:D371,$D371)-1)</f>
        <v/>
      </c>
    </row>
    <row r="372" spans="1:7">
      <c r="A372" s="11">
        <v>371</v>
      </c>
      <c r="B372" s="11" t="str">
        <f>IFERROR(INDEX('Raw Data'!$R$2:$R$50000,MATCH(371,'Raw Data'!$W$2:$W$50000,0)),"")</f>
        <v/>
      </c>
      <c r="C372" s="11" t="str">
        <f t="shared" si="5"/>
        <v/>
      </c>
      <c r="D372" s="11" t="str">
        <f>IF($B372="","",COUNTIFS('Raw Data'!$R$2:$R$50000,$B372))</f>
        <v/>
      </c>
      <c r="E372" s="11" t="str">
        <f>IF($B372="","",SUMIFS('Raw Data'!$I$2:$I$50000,'Raw Data'!$R$2:$R$50000,$B372))</f>
        <v/>
      </c>
      <c r="F372" s="11" t="str">
        <f>IF($B372="","",RANK($E372,$E$2:$E$1501)+COUNTIF($E$2:E372,$E372)-1)</f>
        <v/>
      </c>
      <c r="G372" s="11" t="str">
        <f>IF($B372="","",RANK($D372,$D$2:$D$1501)+COUNTIF($D$2:D372,$D372)-1)</f>
        <v/>
      </c>
    </row>
    <row r="373" spans="1:7">
      <c r="A373" s="11">
        <v>372</v>
      </c>
      <c r="B373" s="11" t="str">
        <f>IFERROR(INDEX('Raw Data'!$R$2:$R$50000,MATCH(372,'Raw Data'!$W$2:$W$50000,0)),"")</f>
        <v/>
      </c>
      <c r="C373" s="11" t="str">
        <f t="shared" si="5"/>
        <v/>
      </c>
      <c r="D373" s="11" t="str">
        <f>IF($B373="","",COUNTIFS('Raw Data'!$R$2:$R$50000,$B373))</f>
        <v/>
      </c>
      <c r="E373" s="11" t="str">
        <f>IF($B373="","",SUMIFS('Raw Data'!$I$2:$I$50000,'Raw Data'!$R$2:$R$50000,$B373))</f>
        <v/>
      </c>
      <c r="F373" s="11" t="str">
        <f>IF($B373="","",RANK($E373,$E$2:$E$1501)+COUNTIF($E$2:E373,$E373)-1)</f>
        <v/>
      </c>
      <c r="G373" s="11" t="str">
        <f>IF($B373="","",RANK($D373,$D$2:$D$1501)+COUNTIF($D$2:D373,$D373)-1)</f>
        <v/>
      </c>
    </row>
    <row r="374" spans="1:7">
      <c r="A374" s="11">
        <v>373</v>
      </c>
      <c r="B374" s="11" t="str">
        <f>IFERROR(INDEX('Raw Data'!$R$2:$R$50000,MATCH(373,'Raw Data'!$W$2:$W$50000,0)),"")</f>
        <v/>
      </c>
      <c r="C374" s="11" t="str">
        <f t="shared" si="5"/>
        <v/>
      </c>
      <c r="D374" s="11" t="str">
        <f>IF($B374="","",COUNTIFS('Raw Data'!$R$2:$R$50000,$B374))</f>
        <v/>
      </c>
      <c r="E374" s="11" t="str">
        <f>IF($B374="","",SUMIFS('Raw Data'!$I$2:$I$50000,'Raw Data'!$R$2:$R$50000,$B374))</f>
        <v/>
      </c>
      <c r="F374" s="11" t="str">
        <f>IF($B374="","",RANK($E374,$E$2:$E$1501)+COUNTIF($E$2:E374,$E374)-1)</f>
        <v/>
      </c>
      <c r="G374" s="11" t="str">
        <f>IF($B374="","",RANK($D374,$D$2:$D$1501)+COUNTIF($D$2:D374,$D374)-1)</f>
        <v/>
      </c>
    </row>
    <row r="375" spans="1:7">
      <c r="A375" s="11">
        <v>374</v>
      </c>
      <c r="B375" s="11" t="str">
        <f>IFERROR(INDEX('Raw Data'!$R$2:$R$50000,MATCH(374,'Raw Data'!$W$2:$W$50000,0)),"")</f>
        <v/>
      </c>
      <c r="C375" s="11" t="str">
        <f t="shared" si="5"/>
        <v/>
      </c>
      <c r="D375" s="11" t="str">
        <f>IF($B375="","",COUNTIFS('Raw Data'!$R$2:$R$50000,$B375))</f>
        <v/>
      </c>
      <c r="E375" s="11" t="str">
        <f>IF($B375="","",SUMIFS('Raw Data'!$I$2:$I$50000,'Raw Data'!$R$2:$R$50000,$B375))</f>
        <v/>
      </c>
      <c r="F375" s="11" t="str">
        <f>IF($B375="","",RANK($E375,$E$2:$E$1501)+COUNTIF($E$2:E375,$E375)-1)</f>
        <v/>
      </c>
      <c r="G375" s="11" t="str">
        <f>IF($B375="","",RANK($D375,$D$2:$D$1501)+COUNTIF($D$2:D375,$D375)-1)</f>
        <v/>
      </c>
    </row>
    <row r="376" spans="1:7">
      <c r="A376" s="11">
        <v>375</v>
      </c>
      <c r="B376" s="11" t="str">
        <f>IFERROR(INDEX('Raw Data'!$R$2:$R$50000,MATCH(375,'Raw Data'!$W$2:$W$50000,0)),"")</f>
        <v/>
      </c>
      <c r="C376" s="11" t="str">
        <f t="shared" si="5"/>
        <v/>
      </c>
      <c r="D376" s="11" t="str">
        <f>IF($B376="","",COUNTIFS('Raw Data'!$R$2:$R$50000,$B376))</f>
        <v/>
      </c>
      <c r="E376" s="11" t="str">
        <f>IF($B376="","",SUMIFS('Raw Data'!$I$2:$I$50000,'Raw Data'!$R$2:$R$50000,$B376))</f>
        <v/>
      </c>
      <c r="F376" s="11" t="str">
        <f>IF($B376="","",RANK($E376,$E$2:$E$1501)+COUNTIF($E$2:E376,$E376)-1)</f>
        <v/>
      </c>
      <c r="G376" s="11" t="str">
        <f>IF($B376="","",RANK($D376,$D$2:$D$1501)+COUNTIF($D$2:D376,$D376)-1)</f>
        <v/>
      </c>
    </row>
    <row r="377" spans="1:7">
      <c r="A377" s="11">
        <v>376</v>
      </c>
      <c r="B377" s="11" t="str">
        <f>IFERROR(INDEX('Raw Data'!$R$2:$R$50000,MATCH(376,'Raw Data'!$W$2:$W$50000,0)),"")</f>
        <v/>
      </c>
      <c r="C377" s="11" t="str">
        <f t="shared" si="5"/>
        <v/>
      </c>
      <c r="D377" s="11" t="str">
        <f>IF($B377="","",COUNTIFS('Raw Data'!$R$2:$R$50000,$B377))</f>
        <v/>
      </c>
      <c r="E377" s="11" t="str">
        <f>IF($B377="","",SUMIFS('Raw Data'!$I$2:$I$50000,'Raw Data'!$R$2:$R$50000,$B377))</f>
        <v/>
      </c>
      <c r="F377" s="11" t="str">
        <f>IF($B377="","",RANK($E377,$E$2:$E$1501)+COUNTIF($E$2:E377,$E377)-1)</f>
        <v/>
      </c>
      <c r="G377" s="11" t="str">
        <f>IF($B377="","",RANK($D377,$D$2:$D$1501)+COUNTIF($D$2:D377,$D377)-1)</f>
        <v/>
      </c>
    </row>
    <row r="378" spans="1:7">
      <c r="A378" s="11">
        <v>377</v>
      </c>
      <c r="B378" s="11" t="str">
        <f>IFERROR(INDEX('Raw Data'!$R$2:$R$50000,MATCH(377,'Raw Data'!$W$2:$W$50000,0)),"")</f>
        <v/>
      </c>
      <c r="C378" s="11" t="str">
        <f t="shared" si="5"/>
        <v/>
      </c>
      <c r="D378" s="11" t="str">
        <f>IF($B378="","",COUNTIFS('Raw Data'!$R$2:$R$50000,$B378))</f>
        <v/>
      </c>
      <c r="E378" s="11" t="str">
        <f>IF($B378="","",SUMIFS('Raw Data'!$I$2:$I$50000,'Raw Data'!$R$2:$R$50000,$B378))</f>
        <v/>
      </c>
      <c r="F378" s="11" t="str">
        <f>IF($B378="","",RANK($E378,$E$2:$E$1501)+COUNTIF($E$2:E378,$E378)-1)</f>
        <v/>
      </c>
      <c r="G378" s="11" t="str">
        <f>IF($B378="","",RANK($D378,$D$2:$D$1501)+COUNTIF($D$2:D378,$D378)-1)</f>
        <v/>
      </c>
    </row>
    <row r="379" spans="1:7">
      <c r="A379" s="11">
        <v>378</v>
      </c>
      <c r="B379" s="11" t="str">
        <f>IFERROR(INDEX('Raw Data'!$R$2:$R$50000,MATCH(378,'Raw Data'!$W$2:$W$50000,0)),"")</f>
        <v/>
      </c>
      <c r="C379" s="11" t="str">
        <f t="shared" si="5"/>
        <v/>
      </c>
      <c r="D379" s="11" t="str">
        <f>IF($B379="","",COUNTIFS('Raw Data'!$R$2:$R$50000,$B379))</f>
        <v/>
      </c>
      <c r="E379" s="11" t="str">
        <f>IF($B379="","",SUMIFS('Raw Data'!$I$2:$I$50000,'Raw Data'!$R$2:$R$50000,$B379))</f>
        <v/>
      </c>
      <c r="F379" s="11" t="str">
        <f>IF($B379="","",RANK($E379,$E$2:$E$1501)+COUNTIF($E$2:E379,$E379)-1)</f>
        <v/>
      </c>
      <c r="G379" s="11" t="str">
        <f>IF($B379="","",RANK($D379,$D$2:$D$1501)+COUNTIF($D$2:D379,$D379)-1)</f>
        <v/>
      </c>
    </row>
    <row r="380" spans="1:7">
      <c r="A380" s="11">
        <v>379</v>
      </c>
      <c r="B380" s="11" t="str">
        <f>IFERROR(INDEX('Raw Data'!$R$2:$R$50000,MATCH(379,'Raw Data'!$W$2:$W$50000,0)),"")</f>
        <v/>
      </c>
      <c r="C380" s="11" t="str">
        <f t="shared" si="5"/>
        <v/>
      </c>
      <c r="D380" s="11" t="str">
        <f>IF($B380="","",COUNTIFS('Raw Data'!$R$2:$R$50000,$B380))</f>
        <v/>
      </c>
      <c r="E380" s="11" t="str">
        <f>IF($B380="","",SUMIFS('Raw Data'!$I$2:$I$50000,'Raw Data'!$R$2:$R$50000,$B380))</f>
        <v/>
      </c>
      <c r="F380" s="11" t="str">
        <f>IF($B380="","",RANK($E380,$E$2:$E$1501)+COUNTIF($E$2:E380,$E380)-1)</f>
        <v/>
      </c>
      <c r="G380" s="11" t="str">
        <f>IF($B380="","",RANK($D380,$D$2:$D$1501)+COUNTIF($D$2:D380,$D380)-1)</f>
        <v/>
      </c>
    </row>
    <row r="381" spans="1:7">
      <c r="A381" s="11">
        <v>380</v>
      </c>
      <c r="B381" s="11" t="str">
        <f>IFERROR(INDEX('Raw Data'!$R$2:$R$50000,MATCH(380,'Raw Data'!$W$2:$W$50000,0)),"")</f>
        <v/>
      </c>
      <c r="C381" s="11" t="str">
        <f t="shared" si="5"/>
        <v/>
      </c>
      <c r="D381" s="11" t="str">
        <f>IF($B381="","",COUNTIFS('Raw Data'!$R$2:$R$50000,$B381))</f>
        <v/>
      </c>
      <c r="E381" s="11" t="str">
        <f>IF($B381="","",SUMIFS('Raw Data'!$I$2:$I$50000,'Raw Data'!$R$2:$R$50000,$B381))</f>
        <v/>
      </c>
      <c r="F381" s="11" t="str">
        <f>IF($B381="","",RANK($E381,$E$2:$E$1501)+COUNTIF($E$2:E381,$E381)-1)</f>
        <v/>
      </c>
      <c r="G381" s="11" t="str">
        <f>IF($B381="","",RANK($D381,$D$2:$D$1501)+COUNTIF($D$2:D381,$D381)-1)</f>
        <v/>
      </c>
    </row>
    <row r="382" spans="1:7">
      <c r="A382" s="11">
        <v>381</v>
      </c>
      <c r="B382" s="11" t="str">
        <f>IFERROR(INDEX('Raw Data'!$R$2:$R$50000,MATCH(381,'Raw Data'!$W$2:$W$50000,0)),"")</f>
        <v/>
      </c>
      <c r="C382" s="11" t="str">
        <f t="shared" si="5"/>
        <v/>
      </c>
      <c r="D382" s="11" t="str">
        <f>IF($B382="","",COUNTIFS('Raw Data'!$R$2:$R$50000,$B382))</f>
        <v/>
      </c>
      <c r="E382" s="11" t="str">
        <f>IF($B382="","",SUMIFS('Raw Data'!$I$2:$I$50000,'Raw Data'!$R$2:$R$50000,$B382))</f>
        <v/>
      </c>
      <c r="F382" s="11" t="str">
        <f>IF($B382="","",RANK($E382,$E$2:$E$1501)+COUNTIF($E$2:E382,$E382)-1)</f>
        <v/>
      </c>
      <c r="G382" s="11" t="str">
        <f>IF($B382="","",RANK($D382,$D$2:$D$1501)+COUNTIF($D$2:D382,$D382)-1)</f>
        <v/>
      </c>
    </row>
    <row r="383" spans="1:7">
      <c r="A383" s="11">
        <v>382</v>
      </c>
      <c r="B383" s="11" t="str">
        <f>IFERROR(INDEX('Raw Data'!$R$2:$R$50000,MATCH(382,'Raw Data'!$W$2:$W$50000,0)),"")</f>
        <v/>
      </c>
      <c r="C383" s="11" t="str">
        <f t="shared" si="5"/>
        <v/>
      </c>
      <c r="D383" s="11" t="str">
        <f>IF($B383="","",COUNTIFS('Raw Data'!$R$2:$R$50000,$B383))</f>
        <v/>
      </c>
      <c r="E383" s="11" t="str">
        <f>IF($B383="","",SUMIFS('Raw Data'!$I$2:$I$50000,'Raw Data'!$R$2:$R$50000,$B383))</f>
        <v/>
      </c>
      <c r="F383" s="11" t="str">
        <f>IF($B383="","",RANK($E383,$E$2:$E$1501)+COUNTIF($E$2:E383,$E383)-1)</f>
        <v/>
      </c>
      <c r="G383" s="11" t="str">
        <f>IF($B383="","",RANK($D383,$D$2:$D$1501)+COUNTIF($D$2:D383,$D383)-1)</f>
        <v/>
      </c>
    </row>
    <row r="384" spans="1:7">
      <c r="A384" s="11">
        <v>383</v>
      </c>
      <c r="B384" s="11" t="str">
        <f>IFERROR(INDEX('Raw Data'!$R$2:$R$50000,MATCH(383,'Raw Data'!$W$2:$W$50000,0)),"")</f>
        <v/>
      </c>
      <c r="C384" s="11" t="str">
        <f t="shared" si="5"/>
        <v/>
      </c>
      <c r="D384" s="11" t="str">
        <f>IF($B384="","",COUNTIFS('Raw Data'!$R$2:$R$50000,$B384))</f>
        <v/>
      </c>
      <c r="E384" s="11" t="str">
        <f>IF($B384="","",SUMIFS('Raw Data'!$I$2:$I$50000,'Raw Data'!$R$2:$R$50000,$B384))</f>
        <v/>
      </c>
      <c r="F384" s="11" t="str">
        <f>IF($B384="","",RANK($E384,$E$2:$E$1501)+COUNTIF($E$2:E384,$E384)-1)</f>
        <v/>
      </c>
      <c r="G384" s="11" t="str">
        <f>IF($B384="","",RANK($D384,$D$2:$D$1501)+COUNTIF($D$2:D384,$D384)-1)</f>
        <v/>
      </c>
    </row>
    <row r="385" spans="1:7">
      <c r="A385" s="11">
        <v>384</v>
      </c>
      <c r="B385" s="11" t="str">
        <f>IFERROR(INDEX('Raw Data'!$R$2:$R$50000,MATCH(384,'Raw Data'!$W$2:$W$50000,0)),"")</f>
        <v/>
      </c>
      <c r="C385" s="11" t="str">
        <f t="shared" si="5"/>
        <v/>
      </c>
      <c r="D385" s="11" t="str">
        <f>IF($B385="","",COUNTIFS('Raw Data'!$R$2:$R$50000,$B385))</f>
        <v/>
      </c>
      <c r="E385" s="11" t="str">
        <f>IF($B385="","",SUMIFS('Raw Data'!$I$2:$I$50000,'Raw Data'!$R$2:$R$50000,$B385))</f>
        <v/>
      </c>
      <c r="F385" s="11" t="str">
        <f>IF($B385="","",RANK($E385,$E$2:$E$1501)+COUNTIF($E$2:E385,$E385)-1)</f>
        <v/>
      </c>
      <c r="G385" s="11" t="str">
        <f>IF($B385="","",RANK($D385,$D$2:$D$1501)+COUNTIF($D$2:D385,$D385)-1)</f>
        <v/>
      </c>
    </row>
    <row r="386" spans="1:7">
      <c r="A386" s="11">
        <v>385</v>
      </c>
      <c r="B386" s="11" t="str">
        <f>IFERROR(INDEX('Raw Data'!$R$2:$R$50000,MATCH(385,'Raw Data'!$W$2:$W$50000,0)),"")</f>
        <v/>
      </c>
      <c r="C386" s="11" t="str">
        <f t="shared" ref="C386:C449" si="6">IF($B386="","",$B386)</f>
        <v/>
      </c>
      <c r="D386" s="11" t="str">
        <f>IF($B386="","",COUNTIFS('Raw Data'!$R$2:$R$50000,$B386))</f>
        <v/>
      </c>
      <c r="E386" s="11" t="str">
        <f>IF($B386="","",SUMIFS('Raw Data'!$I$2:$I$50000,'Raw Data'!$R$2:$R$50000,$B386))</f>
        <v/>
      </c>
      <c r="F386" s="11" t="str">
        <f>IF($B386="","",RANK($E386,$E$2:$E$1501)+COUNTIF($E$2:E386,$E386)-1)</f>
        <v/>
      </c>
      <c r="G386" s="11" t="str">
        <f>IF($B386="","",RANK($D386,$D$2:$D$1501)+COUNTIF($D$2:D386,$D386)-1)</f>
        <v/>
      </c>
    </row>
    <row r="387" spans="1:7">
      <c r="A387" s="11">
        <v>386</v>
      </c>
      <c r="B387" s="11" t="str">
        <f>IFERROR(INDEX('Raw Data'!$R$2:$R$50000,MATCH(386,'Raw Data'!$W$2:$W$50000,0)),"")</f>
        <v/>
      </c>
      <c r="C387" s="11" t="str">
        <f t="shared" si="6"/>
        <v/>
      </c>
      <c r="D387" s="11" t="str">
        <f>IF($B387="","",COUNTIFS('Raw Data'!$R$2:$R$50000,$B387))</f>
        <v/>
      </c>
      <c r="E387" s="11" t="str">
        <f>IF($B387="","",SUMIFS('Raw Data'!$I$2:$I$50000,'Raw Data'!$R$2:$R$50000,$B387))</f>
        <v/>
      </c>
      <c r="F387" s="11" t="str">
        <f>IF($B387="","",RANK($E387,$E$2:$E$1501)+COUNTIF($E$2:E387,$E387)-1)</f>
        <v/>
      </c>
      <c r="G387" s="11" t="str">
        <f>IF($B387="","",RANK($D387,$D$2:$D$1501)+COUNTIF($D$2:D387,$D387)-1)</f>
        <v/>
      </c>
    </row>
    <row r="388" spans="1:7">
      <c r="A388" s="11">
        <v>387</v>
      </c>
      <c r="B388" s="11" t="str">
        <f>IFERROR(INDEX('Raw Data'!$R$2:$R$50000,MATCH(387,'Raw Data'!$W$2:$W$50000,0)),"")</f>
        <v/>
      </c>
      <c r="C388" s="11" t="str">
        <f t="shared" si="6"/>
        <v/>
      </c>
      <c r="D388" s="11" t="str">
        <f>IF($B388="","",COUNTIFS('Raw Data'!$R$2:$R$50000,$B388))</f>
        <v/>
      </c>
      <c r="E388" s="11" t="str">
        <f>IF($B388="","",SUMIFS('Raw Data'!$I$2:$I$50000,'Raw Data'!$R$2:$R$50000,$B388))</f>
        <v/>
      </c>
      <c r="F388" s="11" t="str">
        <f>IF($B388="","",RANK($E388,$E$2:$E$1501)+COUNTIF($E$2:E388,$E388)-1)</f>
        <v/>
      </c>
      <c r="G388" s="11" t="str">
        <f>IF($B388="","",RANK($D388,$D$2:$D$1501)+COUNTIF($D$2:D388,$D388)-1)</f>
        <v/>
      </c>
    </row>
    <row r="389" spans="1:7">
      <c r="A389" s="11">
        <v>388</v>
      </c>
      <c r="B389" s="11" t="str">
        <f>IFERROR(INDEX('Raw Data'!$R$2:$R$50000,MATCH(388,'Raw Data'!$W$2:$W$50000,0)),"")</f>
        <v/>
      </c>
      <c r="C389" s="11" t="str">
        <f t="shared" si="6"/>
        <v/>
      </c>
      <c r="D389" s="11" t="str">
        <f>IF($B389="","",COUNTIFS('Raw Data'!$R$2:$R$50000,$B389))</f>
        <v/>
      </c>
      <c r="E389" s="11" t="str">
        <f>IF($B389="","",SUMIFS('Raw Data'!$I$2:$I$50000,'Raw Data'!$R$2:$R$50000,$B389))</f>
        <v/>
      </c>
      <c r="F389" s="11" t="str">
        <f>IF($B389="","",RANK($E389,$E$2:$E$1501)+COUNTIF($E$2:E389,$E389)-1)</f>
        <v/>
      </c>
      <c r="G389" s="11" t="str">
        <f>IF($B389="","",RANK($D389,$D$2:$D$1501)+COUNTIF($D$2:D389,$D389)-1)</f>
        <v/>
      </c>
    </row>
    <row r="390" spans="1:7">
      <c r="A390" s="11">
        <v>389</v>
      </c>
      <c r="B390" s="11" t="str">
        <f>IFERROR(INDEX('Raw Data'!$R$2:$R$50000,MATCH(389,'Raw Data'!$W$2:$W$50000,0)),"")</f>
        <v/>
      </c>
      <c r="C390" s="11" t="str">
        <f t="shared" si="6"/>
        <v/>
      </c>
      <c r="D390" s="11" t="str">
        <f>IF($B390="","",COUNTIFS('Raw Data'!$R$2:$R$50000,$B390))</f>
        <v/>
      </c>
      <c r="E390" s="11" t="str">
        <f>IF($B390="","",SUMIFS('Raw Data'!$I$2:$I$50000,'Raw Data'!$R$2:$R$50000,$B390))</f>
        <v/>
      </c>
      <c r="F390" s="11" t="str">
        <f>IF($B390="","",RANK($E390,$E$2:$E$1501)+COUNTIF($E$2:E390,$E390)-1)</f>
        <v/>
      </c>
      <c r="G390" s="11" t="str">
        <f>IF($B390="","",RANK($D390,$D$2:$D$1501)+COUNTIF($D$2:D390,$D390)-1)</f>
        <v/>
      </c>
    </row>
    <row r="391" spans="1:7">
      <c r="A391" s="11">
        <v>390</v>
      </c>
      <c r="B391" s="11" t="str">
        <f>IFERROR(INDEX('Raw Data'!$R$2:$R$50000,MATCH(390,'Raw Data'!$W$2:$W$50000,0)),"")</f>
        <v/>
      </c>
      <c r="C391" s="11" t="str">
        <f t="shared" si="6"/>
        <v/>
      </c>
      <c r="D391" s="11" t="str">
        <f>IF($B391="","",COUNTIFS('Raw Data'!$R$2:$R$50000,$B391))</f>
        <v/>
      </c>
      <c r="E391" s="11" t="str">
        <f>IF($B391="","",SUMIFS('Raw Data'!$I$2:$I$50000,'Raw Data'!$R$2:$R$50000,$B391))</f>
        <v/>
      </c>
      <c r="F391" s="11" t="str">
        <f>IF($B391="","",RANK($E391,$E$2:$E$1501)+COUNTIF($E$2:E391,$E391)-1)</f>
        <v/>
      </c>
      <c r="G391" s="11" t="str">
        <f>IF($B391="","",RANK($D391,$D$2:$D$1501)+COUNTIF($D$2:D391,$D391)-1)</f>
        <v/>
      </c>
    </row>
    <row r="392" spans="1:7">
      <c r="A392" s="11">
        <v>391</v>
      </c>
      <c r="B392" s="11" t="str">
        <f>IFERROR(INDEX('Raw Data'!$R$2:$R$50000,MATCH(391,'Raw Data'!$W$2:$W$50000,0)),"")</f>
        <v/>
      </c>
      <c r="C392" s="11" t="str">
        <f t="shared" si="6"/>
        <v/>
      </c>
      <c r="D392" s="11" t="str">
        <f>IF($B392="","",COUNTIFS('Raw Data'!$R$2:$R$50000,$B392))</f>
        <v/>
      </c>
      <c r="E392" s="11" t="str">
        <f>IF($B392="","",SUMIFS('Raw Data'!$I$2:$I$50000,'Raw Data'!$R$2:$R$50000,$B392))</f>
        <v/>
      </c>
      <c r="F392" s="11" t="str">
        <f>IF($B392="","",RANK($E392,$E$2:$E$1501)+COUNTIF($E$2:E392,$E392)-1)</f>
        <v/>
      </c>
      <c r="G392" s="11" t="str">
        <f>IF($B392="","",RANK($D392,$D$2:$D$1501)+COUNTIF($D$2:D392,$D392)-1)</f>
        <v/>
      </c>
    </row>
    <row r="393" spans="1:7">
      <c r="A393" s="11">
        <v>392</v>
      </c>
      <c r="B393" s="11" t="str">
        <f>IFERROR(INDEX('Raw Data'!$R$2:$R$50000,MATCH(392,'Raw Data'!$W$2:$W$50000,0)),"")</f>
        <v/>
      </c>
      <c r="C393" s="11" t="str">
        <f t="shared" si="6"/>
        <v/>
      </c>
      <c r="D393" s="11" t="str">
        <f>IF($B393="","",COUNTIFS('Raw Data'!$R$2:$R$50000,$B393))</f>
        <v/>
      </c>
      <c r="E393" s="11" t="str">
        <f>IF($B393="","",SUMIFS('Raw Data'!$I$2:$I$50000,'Raw Data'!$R$2:$R$50000,$B393))</f>
        <v/>
      </c>
      <c r="F393" s="11" t="str">
        <f>IF($B393="","",RANK($E393,$E$2:$E$1501)+COUNTIF($E$2:E393,$E393)-1)</f>
        <v/>
      </c>
      <c r="G393" s="11" t="str">
        <f>IF($B393="","",RANK($D393,$D$2:$D$1501)+COUNTIF($D$2:D393,$D393)-1)</f>
        <v/>
      </c>
    </row>
    <row r="394" spans="1:7">
      <c r="A394" s="11">
        <v>393</v>
      </c>
      <c r="B394" s="11" t="str">
        <f>IFERROR(INDEX('Raw Data'!$R$2:$R$50000,MATCH(393,'Raw Data'!$W$2:$W$50000,0)),"")</f>
        <v/>
      </c>
      <c r="C394" s="11" t="str">
        <f t="shared" si="6"/>
        <v/>
      </c>
      <c r="D394" s="11" t="str">
        <f>IF($B394="","",COUNTIFS('Raw Data'!$R$2:$R$50000,$B394))</f>
        <v/>
      </c>
      <c r="E394" s="11" t="str">
        <f>IF($B394="","",SUMIFS('Raw Data'!$I$2:$I$50000,'Raw Data'!$R$2:$R$50000,$B394))</f>
        <v/>
      </c>
      <c r="F394" s="11" t="str">
        <f>IF($B394="","",RANK($E394,$E$2:$E$1501)+COUNTIF($E$2:E394,$E394)-1)</f>
        <v/>
      </c>
      <c r="G394" s="11" t="str">
        <f>IF($B394="","",RANK($D394,$D$2:$D$1501)+COUNTIF($D$2:D394,$D394)-1)</f>
        <v/>
      </c>
    </row>
    <row r="395" spans="1:7">
      <c r="A395" s="11">
        <v>394</v>
      </c>
      <c r="B395" s="11" t="str">
        <f>IFERROR(INDEX('Raw Data'!$R$2:$R$50000,MATCH(394,'Raw Data'!$W$2:$W$50000,0)),"")</f>
        <v/>
      </c>
      <c r="C395" s="11" t="str">
        <f t="shared" si="6"/>
        <v/>
      </c>
      <c r="D395" s="11" t="str">
        <f>IF($B395="","",COUNTIFS('Raw Data'!$R$2:$R$50000,$B395))</f>
        <v/>
      </c>
      <c r="E395" s="11" t="str">
        <f>IF($B395="","",SUMIFS('Raw Data'!$I$2:$I$50000,'Raw Data'!$R$2:$R$50000,$B395))</f>
        <v/>
      </c>
      <c r="F395" s="11" t="str">
        <f>IF($B395="","",RANK($E395,$E$2:$E$1501)+COUNTIF($E$2:E395,$E395)-1)</f>
        <v/>
      </c>
      <c r="G395" s="11" t="str">
        <f>IF($B395="","",RANK($D395,$D$2:$D$1501)+COUNTIF($D$2:D395,$D395)-1)</f>
        <v/>
      </c>
    </row>
    <row r="396" spans="1:7">
      <c r="A396" s="11">
        <v>395</v>
      </c>
      <c r="B396" s="11" t="str">
        <f>IFERROR(INDEX('Raw Data'!$R$2:$R$50000,MATCH(395,'Raw Data'!$W$2:$W$50000,0)),"")</f>
        <v/>
      </c>
      <c r="C396" s="11" t="str">
        <f t="shared" si="6"/>
        <v/>
      </c>
      <c r="D396" s="11" t="str">
        <f>IF($B396="","",COUNTIFS('Raw Data'!$R$2:$R$50000,$B396))</f>
        <v/>
      </c>
      <c r="E396" s="11" t="str">
        <f>IF($B396="","",SUMIFS('Raw Data'!$I$2:$I$50000,'Raw Data'!$R$2:$R$50000,$B396))</f>
        <v/>
      </c>
      <c r="F396" s="11" t="str">
        <f>IF($B396="","",RANK($E396,$E$2:$E$1501)+COUNTIF($E$2:E396,$E396)-1)</f>
        <v/>
      </c>
      <c r="G396" s="11" t="str">
        <f>IF($B396="","",RANK($D396,$D$2:$D$1501)+COUNTIF($D$2:D396,$D396)-1)</f>
        <v/>
      </c>
    </row>
    <row r="397" spans="1:7">
      <c r="A397" s="11">
        <v>396</v>
      </c>
      <c r="B397" s="11" t="str">
        <f>IFERROR(INDEX('Raw Data'!$R$2:$R$50000,MATCH(396,'Raw Data'!$W$2:$W$50000,0)),"")</f>
        <v/>
      </c>
      <c r="C397" s="11" t="str">
        <f t="shared" si="6"/>
        <v/>
      </c>
      <c r="D397" s="11" t="str">
        <f>IF($B397="","",COUNTIFS('Raw Data'!$R$2:$R$50000,$B397))</f>
        <v/>
      </c>
      <c r="E397" s="11" t="str">
        <f>IF($B397="","",SUMIFS('Raw Data'!$I$2:$I$50000,'Raw Data'!$R$2:$R$50000,$B397))</f>
        <v/>
      </c>
      <c r="F397" s="11" t="str">
        <f>IF($B397="","",RANK($E397,$E$2:$E$1501)+COUNTIF($E$2:E397,$E397)-1)</f>
        <v/>
      </c>
      <c r="G397" s="11" t="str">
        <f>IF($B397="","",RANK($D397,$D$2:$D$1501)+COUNTIF($D$2:D397,$D397)-1)</f>
        <v/>
      </c>
    </row>
    <row r="398" spans="1:7">
      <c r="A398" s="11">
        <v>397</v>
      </c>
      <c r="B398" s="11" t="str">
        <f>IFERROR(INDEX('Raw Data'!$R$2:$R$50000,MATCH(397,'Raw Data'!$W$2:$W$50000,0)),"")</f>
        <v/>
      </c>
      <c r="C398" s="11" t="str">
        <f t="shared" si="6"/>
        <v/>
      </c>
      <c r="D398" s="11" t="str">
        <f>IF($B398="","",COUNTIFS('Raw Data'!$R$2:$R$50000,$B398))</f>
        <v/>
      </c>
      <c r="E398" s="11" t="str">
        <f>IF($B398="","",SUMIFS('Raw Data'!$I$2:$I$50000,'Raw Data'!$R$2:$R$50000,$B398))</f>
        <v/>
      </c>
      <c r="F398" s="11" t="str">
        <f>IF($B398="","",RANK($E398,$E$2:$E$1501)+COUNTIF($E$2:E398,$E398)-1)</f>
        <v/>
      </c>
      <c r="G398" s="11" t="str">
        <f>IF($B398="","",RANK($D398,$D$2:$D$1501)+COUNTIF($D$2:D398,$D398)-1)</f>
        <v/>
      </c>
    </row>
    <row r="399" spans="1:7">
      <c r="A399" s="11">
        <v>398</v>
      </c>
      <c r="B399" s="11" t="str">
        <f>IFERROR(INDEX('Raw Data'!$R$2:$R$50000,MATCH(398,'Raw Data'!$W$2:$W$50000,0)),"")</f>
        <v/>
      </c>
      <c r="C399" s="11" t="str">
        <f t="shared" si="6"/>
        <v/>
      </c>
      <c r="D399" s="11" t="str">
        <f>IF($B399="","",COUNTIFS('Raw Data'!$R$2:$R$50000,$B399))</f>
        <v/>
      </c>
      <c r="E399" s="11" t="str">
        <f>IF($B399="","",SUMIFS('Raw Data'!$I$2:$I$50000,'Raw Data'!$R$2:$R$50000,$B399))</f>
        <v/>
      </c>
      <c r="F399" s="11" t="str">
        <f>IF($B399="","",RANK($E399,$E$2:$E$1501)+COUNTIF($E$2:E399,$E399)-1)</f>
        <v/>
      </c>
      <c r="G399" s="11" t="str">
        <f>IF($B399="","",RANK($D399,$D$2:$D$1501)+COUNTIF($D$2:D399,$D399)-1)</f>
        <v/>
      </c>
    </row>
    <row r="400" spans="1:7">
      <c r="A400" s="11">
        <v>399</v>
      </c>
      <c r="B400" s="11" t="str">
        <f>IFERROR(INDEX('Raw Data'!$R$2:$R$50000,MATCH(399,'Raw Data'!$W$2:$W$50000,0)),"")</f>
        <v/>
      </c>
      <c r="C400" s="11" t="str">
        <f t="shared" si="6"/>
        <v/>
      </c>
      <c r="D400" s="11" t="str">
        <f>IF($B400="","",COUNTIFS('Raw Data'!$R$2:$R$50000,$B400))</f>
        <v/>
      </c>
      <c r="E400" s="11" t="str">
        <f>IF($B400="","",SUMIFS('Raw Data'!$I$2:$I$50000,'Raw Data'!$R$2:$R$50000,$B400))</f>
        <v/>
      </c>
      <c r="F400" s="11" t="str">
        <f>IF($B400="","",RANK($E400,$E$2:$E$1501)+COUNTIF($E$2:E400,$E400)-1)</f>
        <v/>
      </c>
      <c r="G400" s="11" t="str">
        <f>IF($B400="","",RANK($D400,$D$2:$D$1501)+COUNTIF($D$2:D400,$D400)-1)</f>
        <v/>
      </c>
    </row>
    <row r="401" spans="1:7">
      <c r="A401" s="11">
        <v>400</v>
      </c>
      <c r="B401" s="11" t="str">
        <f>IFERROR(INDEX('Raw Data'!$R$2:$R$50000,MATCH(400,'Raw Data'!$W$2:$W$50000,0)),"")</f>
        <v/>
      </c>
      <c r="C401" s="11" t="str">
        <f t="shared" si="6"/>
        <v/>
      </c>
      <c r="D401" s="11" t="str">
        <f>IF($B401="","",COUNTIFS('Raw Data'!$R$2:$R$50000,$B401))</f>
        <v/>
      </c>
      <c r="E401" s="11" t="str">
        <f>IF($B401="","",SUMIFS('Raw Data'!$I$2:$I$50000,'Raw Data'!$R$2:$R$50000,$B401))</f>
        <v/>
      </c>
      <c r="F401" s="11" t="str">
        <f>IF($B401="","",RANK($E401,$E$2:$E$1501)+COUNTIF($E$2:E401,$E401)-1)</f>
        <v/>
      </c>
      <c r="G401" s="11" t="str">
        <f>IF($B401="","",RANK($D401,$D$2:$D$1501)+COUNTIF($D$2:D401,$D401)-1)</f>
        <v/>
      </c>
    </row>
    <row r="402" spans="1:7">
      <c r="A402" s="11">
        <v>401</v>
      </c>
      <c r="B402" s="11" t="str">
        <f>IFERROR(INDEX('Raw Data'!$R$2:$R$50000,MATCH(401,'Raw Data'!$W$2:$W$50000,0)),"")</f>
        <v/>
      </c>
      <c r="C402" s="11" t="str">
        <f t="shared" si="6"/>
        <v/>
      </c>
      <c r="D402" s="11" t="str">
        <f>IF($B402="","",COUNTIFS('Raw Data'!$R$2:$R$50000,$B402))</f>
        <v/>
      </c>
      <c r="E402" s="11" t="str">
        <f>IF($B402="","",SUMIFS('Raw Data'!$I$2:$I$50000,'Raw Data'!$R$2:$R$50000,$B402))</f>
        <v/>
      </c>
      <c r="F402" s="11" t="str">
        <f>IF($B402="","",RANK($E402,$E$2:$E$1501)+COUNTIF($E$2:E402,$E402)-1)</f>
        <v/>
      </c>
      <c r="G402" s="11" t="str">
        <f>IF($B402="","",RANK($D402,$D$2:$D$1501)+COUNTIF($D$2:D402,$D402)-1)</f>
        <v/>
      </c>
    </row>
    <row r="403" spans="1:7">
      <c r="A403" s="11">
        <v>402</v>
      </c>
      <c r="B403" s="11" t="str">
        <f>IFERROR(INDEX('Raw Data'!$R$2:$R$50000,MATCH(402,'Raw Data'!$W$2:$W$50000,0)),"")</f>
        <v/>
      </c>
      <c r="C403" s="11" t="str">
        <f t="shared" si="6"/>
        <v/>
      </c>
      <c r="D403" s="11" t="str">
        <f>IF($B403="","",COUNTIFS('Raw Data'!$R$2:$R$50000,$B403))</f>
        <v/>
      </c>
      <c r="E403" s="11" t="str">
        <f>IF($B403="","",SUMIFS('Raw Data'!$I$2:$I$50000,'Raw Data'!$R$2:$R$50000,$B403))</f>
        <v/>
      </c>
      <c r="F403" s="11" t="str">
        <f>IF($B403="","",RANK($E403,$E$2:$E$1501)+COUNTIF($E$2:E403,$E403)-1)</f>
        <v/>
      </c>
      <c r="G403" s="11" t="str">
        <f>IF($B403="","",RANK($D403,$D$2:$D$1501)+COUNTIF($D$2:D403,$D403)-1)</f>
        <v/>
      </c>
    </row>
    <row r="404" spans="1:7">
      <c r="A404" s="11">
        <v>403</v>
      </c>
      <c r="B404" s="11" t="str">
        <f>IFERROR(INDEX('Raw Data'!$R$2:$R$50000,MATCH(403,'Raw Data'!$W$2:$W$50000,0)),"")</f>
        <v/>
      </c>
      <c r="C404" s="11" t="str">
        <f t="shared" si="6"/>
        <v/>
      </c>
      <c r="D404" s="11" t="str">
        <f>IF($B404="","",COUNTIFS('Raw Data'!$R$2:$R$50000,$B404))</f>
        <v/>
      </c>
      <c r="E404" s="11" t="str">
        <f>IF($B404="","",SUMIFS('Raw Data'!$I$2:$I$50000,'Raw Data'!$R$2:$R$50000,$B404))</f>
        <v/>
      </c>
      <c r="F404" s="11" t="str">
        <f>IF($B404="","",RANK($E404,$E$2:$E$1501)+COUNTIF($E$2:E404,$E404)-1)</f>
        <v/>
      </c>
      <c r="G404" s="11" t="str">
        <f>IF($B404="","",RANK($D404,$D$2:$D$1501)+COUNTIF($D$2:D404,$D404)-1)</f>
        <v/>
      </c>
    </row>
    <row r="405" spans="1:7">
      <c r="A405" s="11">
        <v>404</v>
      </c>
      <c r="B405" s="11" t="str">
        <f>IFERROR(INDEX('Raw Data'!$R$2:$R$50000,MATCH(404,'Raw Data'!$W$2:$W$50000,0)),"")</f>
        <v/>
      </c>
      <c r="C405" s="11" t="str">
        <f t="shared" si="6"/>
        <v/>
      </c>
      <c r="D405" s="11" t="str">
        <f>IF($B405="","",COUNTIFS('Raw Data'!$R$2:$R$50000,$B405))</f>
        <v/>
      </c>
      <c r="E405" s="11" t="str">
        <f>IF($B405="","",SUMIFS('Raw Data'!$I$2:$I$50000,'Raw Data'!$R$2:$R$50000,$B405))</f>
        <v/>
      </c>
      <c r="F405" s="11" t="str">
        <f>IF($B405="","",RANK($E405,$E$2:$E$1501)+COUNTIF($E$2:E405,$E405)-1)</f>
        <v/>
      </c>
      <c r="G405" s="11" t="str">
        <f>IF($B405="","",RANK($D405,$D$2:$D$1501)+COUNTIF($D$2:D405,$D405)-1)</f>
        <v/>
      </c>
    </row>
    <row r="406" spans="1:7">
      <c r="A406" s="11">
        <v>405</v>
      </c>
      <c r="B406" s="11" t="str">
        <f>IFERROR(INDEX('Raw Data'!$R$2:$R$50000,MATCH(405,'Raw Data'!$W$2:$W$50000,0)),"")</f>
        <v/>
      </c>
      <c r="C406" s="11" t="str">
        <f t="shared" si="6"/>
        <v/>
      </c>
      <c r="D406" s="11" t="str">
        <f>IF($B406="","",COUNTIFS('Raw Data'!$R$2:$R$50000,$B406))</f>
        <v/>
      </c>
      <c r="E406" s="11" t="str">
        <f>IF($B406="","",SUMIFS('Raw Data'!$I$2:$I$50000,'Raw Data'!$R$2:$R$50000,$B406))</f>
        <v/>
      </c>
      <c r="F406" s="11" t="str">
        <f>IF($B406="","",RANK($E406,$E$2:$E$1501)+COUNTIF($E$2:E406,$E406)-1)</f>
        <v/>
      </c>
      <c r="G406" s="11" t="str">
        <f>IF($B406="","",RANK($D406,$D$2:$D$1501)+COUNTIF($D$2:D406,$D406)-1)</f>
        <v/>
      </c>
    </row>
    <row r="407" spans="1:7">
      <c r="A407" s="11">
        <v>406</v>
      </c>
      <c r="B407" s="11" t="str">
        <f>IFERROR(INDEX('Raw Data'!$R$2:$R$50000,MATCH(406,'Raw Data'!$W$2:$W$50000,0)),"")</f>
        <v/>
      </c>
      <c r="C407" s="11" t="str">
        <f t="shared" si="6"/>
        <v/>
      </c>
      <c r="D407" s="11" t="str">
        <f>IF($B407="","",COUNTIFS('Raw Data'!$R$2:$R$50000,$B407))</f>
        <v/>
      </c>
      <c r="E407" s="11" t="str">
        <f>IF($B407="","",SUMIFS('Raw Data'!$I$2:$I$50000,'Raw Data'!$R$2:$R$50000,$B407))</f>
        <v/>
      </c>
      <c r="F407" s="11" t="str">
        <f>IF($B407="","",RANK($E407,$E$2:$E$1501)+COUNTIF($E$2:E407,$E407)-1)</f>
        <v/>
      </c>
      <c r="G407" s="11" t="str">
        <f>IF($B407="","",RANK($D407,$D$2:$D$1501)+COUNTIF($D$2:D407,$D407)-1)</f>
        <v/>
      </c>
    </row>
    <row r="408" spans="1:7">
      <c r="A408" s="11">
        <v>407</v>
      </c>
      <c r="B408" s="11" t="str">
        <f>IFERROR(INDEX('Raw Data'!$R$2:$R$50000,MATCH(407,'Raw Data'!$W$2:$W$50000,0)),"")</f>
        <v/>
      </c>
      <c r="C408" s="11" t="str">
        <f t="shared" si="6"/>
        <v/>
      </c>
      <c r="D408" s="11" t="str">
        <f>IF($B408="","",COUNTIFS('Raw Data'!$R$2:$R$50000,$B408))</f>
        <v/>
      </c>
      <c r="E408" s="11" t="str">
        <f>IF($B408="","",SUMIFS('Raw Data'!$I$2:$I$50000,'Raw Data'!$R$2:$R$50000,$B408))</f>
        <v/>
      </c>
      <c r="F408" s="11" t="str">
        <f>IF($B408="","",RANK($E408,$E$2:$E$1501)+COUNTIF($E$2:E408,$E408)-1)</f>
        <v/>
      </c>
      <c r="G408" s="11" t="str">
        <f>IF($B408="","",RANK($D408,$D$2:$D$1501)+COUNTIF($D$2:D408,$D408)-1)</f>
        <v/>
      </c>
    </row>
    <row r="409" spans="1:7">
      <c r="A409" s="11">
        <v>408</v>
      </c>
      <c r="B409" s="11" t="str">
        <f>IFERROR(INDEX('Raw Data'!$R$2:$R$50000,MATCH(408,'Raw Data'!$W$2:$W$50000,0)),"")</f>
        <v/>
      </c>
      <c r="C409" s="11" t="str">
        <f t="shared" si="6"/>
        <v/>
      </c>
      <c r="D409" s="11" t="str">
        <f>IF($B409="","",COUNTIFS('Raw Data'!$R$2:$R$50000,$B409))</f>
        <v/>
      </c>
      <c r="E409" s="11" t="str">
        <f>IF($B409="","",SUMIFS('Raw Data'!$I$2:$I$50000,'Raw Data'!$R$2:$R$50000,$B409))</f>
        <v/>
      </c>
      <c r="F409" s="11" t="str">
        <f>IF($B409="","",RANK($E409,$E$2:$E$1501)+COUNTIF($E$2:E409,$E409)-1)</f>
        <v/>
      </c>
      <c r="G409" s="11" t="str">
        <f>IF($B409="","",RANK($D409,$D$2:$D$1501)+COUNTIF($D$2:D409,$D409)-1)</f>
        <v/>
      </c>
    </row>
    <row r="410" spans="1:7">
      <c r="A410" s="11">
        <v>409</v>
      </c>
      <c r="B410" s="11" t="str">
        <f>IFERROR(INDEX('Raw Data'!$R$2:$R$50000,MATCH(409,'Raw Data'!$W$2:$W$50000,0)),"")</f>
        <v/>
      </c>
      <c r="C410" s="11" t="str">
        <f t="shared" si="6"/>
        <v/>
      </c>
      <c r="D410" s="11" t="str">
        <f>IF($B410="","",COUNTIFS('Raw Data'!$R$2:$R$50000,$B410))</f>
        <v/>
      </c>
      <c r="E410" s="11" t="str">
        <f>IF($B410="","",SUMIFS('Raw Data'!$I$2:$I$50000,'Raw Data'!$R$2:$R$50000,$B410))</f>
        <v/>
      </c>
      <c r="F410" s="11" t="str">
        <f>IF($B410="","",RANK($E410,$E$2:$E$1501)+COUNTIF($E$2:E410,$E410)-1)</f>
        <v/>
      </c>
      <c r="G410" s="11" t="str">
        <f>IF($B410="","",RANK($D410,$D$2:$D$1501)+COUNTIF($D$2:D410,$D410)-1)</f>
        <v/>
      </c>
    </row>
    <row r="411" spans="1:7">
      <c r="A411" s="11">
        <v>410</v>
      </c>
      <c r="B411" s="11" t="str">
        <f>IFERROR(INDEX('Raw Data'!$R$2:$R$50000,MATCH(410,'Raw Data'!$W$2:$W$50000,0)),"")</f>
        <v/>
      </c>
      <c r="C411" s="11" t="str">
        <f t="shared" si="6"/>
        <v/>
      </c>
      <c r="D411" s="11" t="str">
        <f>IF($B411="","",COUNTIFS('Raw Data'!$R$2:$R$50000,$B411))</f>
        <v/>
      </c>
      <c r="E411" s="11" t="str">
        <f>IF($B411="","",SUMIFS('Raw Data'!$I$2:$I$50000,'Raw Data'!$R$2:$R$50000,$B411))</f>
        <v/>
      </c>
      <c r="F411" s="11" t="str">
        <f>IF($B411="","",RANK($E411,$E$2:$E$1501)+COUNTIF($E$2:E411,$E411)-1)</f>
        <v/>
      </c>
      <c r="G411" s="11" t="str">
        <f>IF($B411="","",RANK($D411,$D$2:$D$1501)+COUNTIF($D$2:D411,$D411)-1)</f>
        <v/>
      </c>
    </row>
    <row r="412" spans="1:7">
      <c r="A412" s="11">
        <v>411</v>
      </c>
      <c r="B412" s="11" t="str">
        <f>IFERROR(INDEX('Raw Data'!$R$2:$R$50000,MATCH(411,'Raw Data'!$W$2:$W$50000,0)),"")</f>
        <v/>
      </c>
      <c r="C412" s="11" t="str">
        <f t="shared" si="6"/>
        <v/>
      </c>
      <c r="D412" s="11" t="str">
        <f>IF($B412="","",COUNTIFS('Raw Data'!$R$2:$R$50000,$B412))</f>
        <v/>
      </c>
      <c r="E412" s="11" t="str">
        <f>IF($B412="","",SUMIFS('Raw Data'!$I$2:$I$50000,'Raw Data'!$R$2:$R$50000,$B412))</f>
        <v/>
      </c>
      <c r="F412" s="11" t="str">
        <f>IF($B412="","",RANK($E412,$E$2:$E$1501)+COUNTIF($E$2:E412,$E412)-1)</f>
        <v/>
      </c>
      <c r="G412" s="11" t="str">
        <f>IF($B412="","",RANK($D412,$D$2:$D$1501)+COUNTIF($D$2:D412,$D412)-1)</f>
        <v/>
      </c>
    </row>
    <row r="413" spans="1:7">
      <c r="A413" s="11">
        <v>412</v>
      </c>
      <c r="B413" s="11" t="str">
        <f>IFERROR(INDEX('Raw Data'!$R$2:$R$50000,MATCH(412,'Raw Data'!$W$2:$W$50000,0)),"")</f>
        <v/>
      </c>
      <c r="C413" s="11" t="str">
        <f t="shared" si="6"/>
        <v/>
      </c>
      <c r="D413" s="11" t="str">
        <f>IF($B413="","",COUNTIFS('Raw Data'!$R$2:$R$50000,$B413))</f>
        <v/>
      </c>
      <c r="E413" s="11" t="str">
        <f>IF($B413="","",SUMIFS('Raw Data'!$I$2:$I$50000,'Raw Data'!$R$2:$R$50000,$B413))</f>
        <v/>
      </c>
      <c r="F413" s="11" t="str">
        <f>IF($B413="","",RANK($E413,$E$2:$E$1501)+COUNTIF($E$2:E413,$E413)-1)</f>
        <v/>
      </c>
      <c r="G413" s="11" t="str">
        <f>IF($B413="","",RANK($D413,$D$2:$D$1501)+COUNTIF($D$2:D413,$D413)-1)</f>
        <v/>
      </c>
    </row>
    <row r="414" spans="1:7">
      <c r="A414" s="11">
        <v>413</v>
      </c>
      <c r="B414" s="11" t="str">
        <f>IFERROR(INDEX('Raw Data'!$R$2:$R$50000,MATCH(413,'Raw Data'!$W$2:$W$50000,0)),"")</f>
        <v/>
      </c>
      <c r="C414" s="11" t="str">
        <f t="shared" si="6"/>
        <v/>
      </c>
      <c r="D414" s="11" t="str">
        <f>IF($B414="","",COUNTIFS('Raw Data'!$R$2:$R$50000,$B414))</f>
        <v/>
      </c>
      <c r="E414" s="11" t="str">
        <f>IF($B414="","",SUMIFS('Raw Data'!$I$2:$I$50000,'Raw Data'!$R$2:$R$50000,$B414))</f>
        <v/>
      </c>
      <c r="F414" s="11" t="str">
        <f>IF($B414="","",RANK($E414,$E$2:$E$1501)+COUNTIF($E$2:E414,$E414)-1)</f>
        <v/>
      </c>
      <c r="G414" s="11" t="str">
        <f>IF($B414="","",RANK($D414,$D$2:$D$1501)+COUNTIF($D$2:D414,$D414)-1)</f>
        <v/>
      </c>
    </row>
    <row r="415" spans="1:7">
      <c r="A415" s="11">
        <v>414</v>
      </c>
      <c r="B415" s="11" t="str">
        <f>IFERROR(INDEX('Raw Data'!$R$2:$R$50000,MATCH(414,'Raw Data'!$W$2:$W$50000,0)),"")</f>
        <v/>
      </c>
      <c r="C415" s="11" t="str">
        <f t="shared" si="6"/>
        <v/>
      </c>
      <c r="D415" s="11" t="str">
        <f>IF($B415="","",COUNTIFS('Raw Data'!$R$2:$R$50000,$B415))</f>
        <v/>
      </c>
      <c r="E415" s="11" t="str">
        <f>IF($B415="","",SUMIFS('Raw Data'!$I$2:$I$50000,'Raw Data'!$R$2:$R$50000,$B415))</f>
        <v/>
      </c>
      <c r="F415" s="11" t="str">
        <f>IF($B415="","",RANK($E415,$E$2:$E$1501)+COUNTIF($E$2:E415,$E415)-1)</f>
        <v/>
      </c>
      <c r="G415" s="11" t="str">
        <f>IF($B415="","",RANK($D415,$D$2:$D$1501)+COUNTIF($D$2:D415,$D415)-1)</f>
        <v/>
      </c>
    </row>
    <row r="416" spans="1:7">
      <c r="A416" s="11">
        <v>415</v>
      </c>
      <c r="B416" s="11" t="str">
        <f>IFERROR(INDEX('Raw Data'!$R$2:$R$50000,MATCH(415,'Raw Data'!$W$2:$W$50000,0)),"")</f>
        <v/>
      </c>
      <c r="C416" s="11" t="str">
        <f t="shared" si="6"/>
        <v/>
      </c>
      <c r="D416" s="11" t="str">
        <f>IF($B416="","",COUNTIFS('Raw Data'!$R$2:$R$50000,$B416))</f>
        <v/>
      </c>
      <c r="E416" s="11" t="str">
        <f>IF($B416="","",SUMIFS('Raw Data'!$I$2:$I$50000,'Raw Data'!$R$2:$R$50000,$B416))</f>
        <v/>
      </c>
      <c r="F416" s="11" t="str">
        <f>IF($B416="","",RANK($E416,$E$2:$E$1501)+COUNTIF($E$2:E416,$E416)-1)</f>
        <v/>
      </c>
      <c r="G416" s="11" t="str">
        <f>IF($B416="","",RANK($D416,$D$2:$D$1501)+COUNTIF($D$2:D416,$D416)-1)</f>
        <v/>
      </c>
    </row>
    <row r="417" spans="1:7">
      <c r="A417" s="11">
        <v>416</v>
      </c>
      <c r="B417" s="11" t="str">
        <f>IFERROR(INDEX('Raw Data'!$R$2:$R$50000,MATCH(416,'Raw Data'!$W$2:$W$50000,0)),"")</f>
        <v/>
      </c>
      <c r="C417" s="11" t="str">
        <f t="shared" si="6"/>
        <v/>
      </c>
      <c r="D417" s="11" t="str">
        <f>IF($B417="","",COUNTIFS('Raw Data'!$R$2:$R$50000,$B417))</f>
        <v/>
      </c>
      <c r="E417" s="11" t="str">
        <f>IF($B417="","",SUMIFS('Raw Data'!$I$2:$I$50000,'Raw Data'!$R$2:$R$50000,$B417))</f>
        <v/>
      </c>
      <c r="F417" s="11" t="str">
        <f>IF($B417="","",RANK($E417,$E$2:$E$1501)+COUNTIF($E$2:E417,$E417)-1)</f>
        <v/>
      </c>
      <c r="G417" s="11" t="str">
        <f>IF($B417="","",RANK($D417,$D$2:$D$1501)+COUNTIF($D$2:D417,$D417)-1)</f>
        <v/>
      </c>
    </row>
    <row r="418" spans="1:7">
      <c r="A418" s="11">
        <v>417</v>
      </c>
      <c r="B418" s="11" t="str">
        <f>IFERROR(INDEX('Raw Data'!$R$2:$R$50000,MATCH(417,'Raw Data'!$W$2:$W$50000,0)),"")</f>
        <v/>
      </c>
      <c r="C418" s="11" t="str">
        <f t="shared" si="6"/>
        <v/>
      </c>
      <c r="D418" s="11" t="str">
        <f>IF($B418="","",COUNTIFS('Raw Data'!$R$2:$R$50000,$B418))</f>
        <v/>
      </c>
      <c r="E418" s="11" t="str">
        <f>IF($B418="","",SUMIFS('Raw Data'!$I$2:$I$50000,'Raw Data'!$R$2:$R$50000,$B418))</f>
        <v/>
      </c>
      <c r="F418" s="11" t="str">
        <f>IF($B418="","",RANK($E418,$E$2:$E$1501)+COUNTIF($E$2:E418,$E418)-1)</f>
        <v/>
      </c>
      <c r="G418" s="11" t="str">
        <f>IF($B418="","",RANK($D418,$D$2:$D$1501)+COUNTIF($D$2:D418,$D418)-1)</f>
        <v/>
      </c>
    </row>
    <row r="419" spans="1:7">
      <c r="A419" s="11">
        <v>418</v>
      </c>
      <c r="B419" s="11" t="str">
        <f>IFERROR(INDEX('Raw Data'!$R$2:$R$50000,MATCH(418,'Raw Data'!$W$2:$W$50000,0)),"")</f>
        <v/>
      </c>
      <c r="C419" s="11" t="str">
        <f t="shared" si="6"/>
        <v/>
      </c>
      <c r="D419" s="11" t="str">
        <f>IF($B419="","",COUNTIFS('Raw Data'!$R$2:$R$50000,$B419))</f>
        <v/>
      </c>
      <c r="E419" s="11" t="str">
        <f>IF($B419="","",SUMIFS('Raw Data'!$I$2:$I$50000,'Raw Data'!$R$2:$R$50000,$B419))</f>
        <v/>
      </c>
      <c r="F419" s="11" t="str">
        <f>IF($B419="","",RANK($E419,$E$2:$E$1501)+COUNTIF($E$2:E419,$E419)-1)</f>
        <v/>
      </c>
      <c r="G419" s="11" t="str">
        <f>IF($B419="","",RANK($D419,$D$2:$D$1501)+COUNTIF($D$2:D419,$D419)-1)</f>
        <v/>
      </c>
    </row>
    <row r="420" spans="1:7">
      <c r="A420" s="11">
        <v>419</v>
      </c>
      <c r="B420" s="11" t="str">
        <f>IFERROR(INDEX('Raw Data'!$R$2:$R$50000,MATCH(419,'Raw Data'!$W$2:$W$50000,0)),"")</f>
        <v/>
      </c>
      <c r="C420" s="11" t="str">
        <f t="shared" si="6"/>
        <v/>
      </c>
      <c r="D420" s="11" t="str">
        <f>IF($B420="","",COUNTIFS('Raw Data'!$R$2:$R$50000,$B420))</f>
        <v/>
      </c>
      <c r="E420" s="11" t="str">
        <f>IF($B420="","",SUMIFS('Raw Data'!$I$2:$I$50000,'Raw Data'!$R$2:$R$50000,$B420))</f>
        <v/>
      </c>
      <c r="F420" s="11" t="str">
        <f>IF($B420="","",RANK($E420,$E$2:$E$1501)+COUNTIF($E$2:E420,$E420)-1)</f>
        <v/>
      </c>
      <c r="G420" s="11" t="str">
        <f>IF($B420="","",RANK($D420,$D$2:$D$1501)+COUNTIF($D$2:D420,$D420)-1)</f>
        <v/>
      </c>
    </row>
    <row r="421" spans="1:7">
      <c r="A421" s="11">
        <v>420</v>
      </c>
      <c r="B421" s="11" t="str">
        <f>IFERROR(INDEX('Raw Data'!$R$2:$R$50000,MATCH(420,'Raw Data'!$W$2:$W$50000,0)),"")</f>
        <v/>
      </c>
      <c r="C421" s="11" t="str">
        <f t="shared" si="6"/>
        <v/>
      </c>
      <c r="D421" s="11" t="str">
        <f>IF($B421="","",COUNTIFS('Raw Data'!$R$2:$R$50000,$B421))</f>
        <v/>
      </c>
      <c r="E421" s="11" t="str">
        <f>IF($B421="","",SUMIFS('Raw Data'!$I$2:$I$50000,'Raw Data'!$R$2:$R$50000,$B421))</f>
        <v/>
      </c>
      <c r="F421" s="11" t="str">
        <f>IF($B421="","",RANK($E421,$E$2:$E$1501)+COUNTIF($E$2:E421,$E421)-1)</f>
        <v/>
      </c>
      <c r="G421" s="11" t="str">
        <f>IF($B421="","",RANK($D421,$D$2:$D$1501)+COUNTIF($D$2:D421,$D421)-1)</f>
        <v/>
      </c>
    </row>
    <row r="422" spans="1:7">
      <c r="A422" s="11">
        <v>421</v>
      </c>
      <c r="B422" s="11" t="str">
        <f>IFERROR(INDEX('Raw Data'!$R$2:$R$50000,MATCH(421,'Raw Data'!$W$2:$W$50000,0)),"")</f>
        <v/>
      </c>
      <c r="C422" s="11" t="str">
        <f t="shared" si="6"/>
        <v/>
      </c>
      <c r="D422" s="11" t="str">
        <f>IF($B422="","",COUNTIFS('Raw Data'!$R$2:$R$50000,$B422))</f>
        <v/>
      </c>
      <c r="E422" s="11" t="str">
        <f>IF($B422="","",SUMIFS('Raw Data'!$I$2:$I$50000,'Raw Data'!$R$2:$R$50000,$B422))</f>
        <v/>
      </c>
      <c r="F422" s="11" t="str">
        <f>IF($B422="","",RANK($E422,$E$2:$E$1501)+COUNTIF($E$2:E422,$E422)-1)</f>
        <v/>
      </c>
      <c r="G422" s="11" t="str">
        <f>IF($B422="","",RANK($D422,$D$2:$D$1501)+COUNTIF($D$2:D422,$D422)-1)</f>
        <v/>
      </c>
    </row>
    <row r="423" spans="1:7">
      <c r="A423" s="11">
        <v>422</v>
      </c>
      <c r="B423" s="11" t="str">
        <f>IFERROR(INDEX('Raw Data'!$R$2:$R$50000,MATCH(422,'Raw Data'!$W$2:$W$50000,0)),"")</f>
        <v/>
      </c>
      <c r="C423" s="11" t="str">
        <f t="shared" si="6"/>
        <v/>
      </c>
      <c r="D423" s="11" t="str">
        <f>IF($B423="","",COUNTIFS('Raw Data'!$R$2:$R$50000,$B423))</f>
        <v/>
      </c>
      <c r="E423" s="11" t="str">
        <f>IF($B423="","",SUMIFS('Raw Data'!$I$2:$I$50000,'Raw Data'!$R$2:$R$50000,$B423))</f>
        <v/>
      </c>
      <c r="F423" s="11" t="str">
        <f>IF($B423="","",RANK($E423,$E$2:$E$1501)+COUNTIF($E$2:E423,$E423)-1)</f>
        <v/>
      </c>
      <c r="G423" s="11" t="str">
        <f>IF($B423="","",RANK($D423,$D$2:$D$1501)+COUNTIF($D$2:D423,$D423)-1)</f>
        <v/>
      </c>
    </row>
    <row r="424" spans="1:7">
      <c r="A424" s="11">
        <v>423</v>
      </c>
      <c r="B424" s="11" t="str">
        <f>IFERROR(INDEX('Raw Data'!$R$2:$R$50000,MATCH(423,'Raw Data'!$W$2:$W$50000,0)),"")</f>
        <v/>
      </c>
      <c r="C424" s="11" t="str">
        <f t="shared" si="6"/>
        <v/>
      </c>
      <c r="D424" s="11" t="str">
        <f>IF($B424="","",COUNTIFS('Raw Data'!$R$2:$R$50000,$B424))</f>
        <v/>
      </c>
      <c r="E424" s="11" t="str">
        <f>IF($B424="","",SUMIFS('Raw Data'!$I$2:$I$50000,'Raw Data'!$R$2:$R$50000,$B424))</f>
        <v/>
      </c>
      <c r="F424" s="11" t="str">
        <f>IF($B424="","",RANK($E424,$E$2:$E$1501)+COUNTIF($E$2:E424,$E424)-1)</f>
        <v/>
      </c>
      <c r="G424" s="11" t="str">
        <f>IF($B424="","",RANK($D424,$D$2:$D$1501)+COUNTIF($D$2:D424,$D424)-1)</f>
        <v/>
      </c>
    </row>
    <row r="425" spans="1:7">
      <c r="A425" s="11">
        <v>424</v>
      </c>
      <c r="B425" s="11" t="str">
        <f>IFERROR(INDEX('Raw Data'!$R$2:$R$50000,MATCH(424,'Raw Data'!$W$2:$W$50000,0)),"")</f>
        <v/>
      </c>
      <c r="C425" s="11" t="str">
        <f t="shared" si="6"/>
        <v/>
      </c>
      <c r="D425" s="11" t="str">
        <f>IF($B425="","",COUNTIFS('Raw Data'!$R$2:$R$50000,$B425))</f>
        <v/>
      </c>
      <c r="E425" s="11" t="str">
        <f>IF($B425="","",SUMIFS('Raw Data'!$I$2:$I$50000,'Raw Data'!$R$2:$R$50000,$B425))</f>
        <v/>
      </c>
      <c r="F425" s="11" t="str">
        <f>IF($B425="","",RANK($E425,$E$2:$E$1501)+COUNTIF($E$2:E425,$E425)-1)</f>
        <v/>
      </c>
      <c r="G425" s="11" t="str">
        <f>IF($B425="","",RANK($D425,$D$2:$D$1501)+COUNTIF($D$2:D425,$D425)-1)</f>
        <v/>
      </c>
    </row>
    <row r="426" spans="1:7">
      <c r="A426" s="11">
        <v>425</v>
      </c>
      <c r="B426" s="11" t="str">
        <f>IFERROR(INDEX('Raw Data'!$R$2:$R$50000,MATCH(425,'Raw Data'!$W$2:$W$50000,0)),"")</f>
        <v/>
      </c>
      <c r="C426" s="11" t="str">
        <f t="shared" si="6"/>
        <v/>
      </c>
      <c r="D426" s="11" t="str">
        <f>IF($B426="","",COUNTIFS('Raw Data'!$R$2:$R$50000,$B426))</f>
        <v/>
      </c>
      <c r="E426" s="11" t="str">
        <f>IF($B426="","",SUMIFS('Raw Data'!$I$2:$I$50000,'Raw Data'!$R$2:$R$50000,$B426))</f>
        <v/>
      </c>
      <c r="F426" s="11" t="str">
        <f>IF($B426="","",RANK($E426,$E$2:$E$1501)+COUNTIF($E$2:E426,$E426)-1)</f>
        <v/>
      </c>
      <c r="G426" s="11" t="str">
        <f>IF($B426="","",RANK($D426,$D$2:$D$1501)+COUNTIF($D$2:D426,$D426)-1)</f>
        <v/>
      </c>
    </row>
    <row r="427" spans="1:7">
      <c r="A427" s="11">
        <v>426</v>
      </c>
      <c r="B427" s="11" t="str">
        <f>IFERROR(INDEX('Raw Data'!$R$2:$R$50000,MATCH(426,'Raw Data'!$W$2:$W$50000,0)),"")</f>
        <v/>
      </c>
      <c r="C427" s="11" t="str">
        <f t="shared" si="6"/>
        <v/>
      </c>
      <c r="D427" s="11" t="str">
        <f>IF($B427="","",COUNTIFS('Raw Data'!$R$2:$R$50000,$B427))</f>
        <v/>
      </c>
      <c r="E427" s="11" t="str">
        <f>IF($B427="","",SUMIFS('Raw Data'!$I$2:$I$50000,'Raw Data'!$R$2:$R$50000,$B427))</f>
        <v/>
      </c>
      <c r="F427" s="11" t="str">
        <f>IF($B427="","",RANK($E427,$E$2:$E$1501)+COUNTIF($E$2:E427,$E427)-1)</f>
        <v/>
      </c>
      <c r="G427" s="11" t="str">
        <f>IF($B427="","",RANK($D427,$D$2:$D$1501)+COUNTIF($D$2:D427,$D427)-1)</f>
        <v/>
      </c>
    </row>
    <row r="428" spans="1:7">
      <c r="A428" s="11">
        <v>427</v>
      </c>
      <c r="B428" s="11" t="str">
        <f>IFERROR(INDEX('Raw Data'!$R$2:$R$50000,MATCH(427,'Raw Data'!$W$2:$W$50000,0)),"")</f>
        <v/>
      </c>
      <c r="C428" s="11" t="str">
        <f t="shared" si="6"/>
        <v/>
      </c>
      <c r="D428" s="11" t="str">
        <f>IF($B428="","",COUNTIFS('Raw Data'!$R$2:$R$50000,$B428))</f>
        <v/>
      </c>
      <c r="E428" s="11" t="str">
        <f>IF($B428="","",SUMIFS('Raw Data'!$I$2:$I$50000,'Raw Data'!$R$2:$R$50000,$B428))</f>
        <v/>
      </c>
      <c r="F428" s="11" t="str">
        <f>IF($B428="","",RANK($E428,$E$2:$E$1501)+COUNTIF($E$2:E428,$E428)-1)</f>
        <v/>
      </c>
      <c r="G428" s="11" t="str">
        <f>IF($B428="","",RANK($D428,$D$2:$D$1501)+COUNTIF($D$2:D428,$D428)-1)</f>
        <v/>
      </c>
    </row>
    <row r="429" spans="1:7">
      <c r="A429" s="11">
        <v>428</v>
      </c>
      <c r="B429" s="11" t="str">
        <f>IFERROR(INDEX('Raw Data'!$R$2:$R$50000,MATCH(428,'Raw Data'!$W$2:$W$50000,0)),"")</f>
        <v/>
      </c>
      <c r="C429" s="11" t="str">
        <f t="shared" si="6"/>
        <v/>
      </c>
      <c r="D429" s="11" t="str">
        <f>IF($B429="","",COUNTIFS('Raw Data'!$R$2:$R$50000,$B429))</f>
        <v/>
      </c>
      <c r="E429" s="11" t="str">
        <f>IF($B429="","",SUMIFS('Raw Data'!$I$2:$I$50000,'Raw Data'!$R$2:$R$50000,$B429))</f>
        <v/>
      </c>
      <c r="F429" s="11" t="str">
        <f>IF($B429="","",RANK($E429,$E$2:$E$1501)+COUNTIF($E$2:E429,$E429)-1)</f>
        <v/>
      </c>
      <c r="G429" s="11" t="str">
        <f>IF($B429="","",RANK($D429,$D$2:$D$1501)+COUNTIF($D$2:D429,$D429)-1)</f>
        <v/>
      </c>
    </row>
    <row r="430" spans="1:7">
      <c r="A430" s="11">
        <v>429</v>
      </c>
      <c r="B430" s="11" t="str">
        <f>IFERROR(INDEX('Raw Data'!$R$2:$R$50000,MATCH(429,'Raw Data'!$W$2:$W$50000,0)),"")</f>
        <v/>
      </c>
      <c r="C430" s="11" t="str">
        <f t="shared" si="6"/>
        <v/>
      </c>
      <c r="D430" s="11" t="str">
        <f>IF($B430="","",COUNTIFS('Raw Data'!$R$2:$R$50000,$B430))</f>
        <v/>
      </c>
      <c r="E430" s="11" t="str">
        <f>IF($B430="","",SUMIFS('Raw Data'!$I$2:$I$50000,'Raw Data'!$R$2:$R$50000,$B430))</f>
        <v/>
      </c>
      <c r="F430" s="11" t="str">
        <f>IF($B430="","",RANK($E430,$E$2:$E$1501)+COUNTIF($E$2:E430,$E430)-1)</f>
        <v/>
      </c>
      <c r="G430" s="11" t="str">
        <f>IF($B430="","",RANK($D430,$D$2:$D$1501)+COUNTIF($D$2:D430,$D430)-1)</f>
        <v/>
      </c>
    </row>
    <row r="431" spans="1:7">
      <c r="A431" s="11">
        <v>430</v>
      </c>
      <c r="B431" s="11" t="str">
        <f>IFERROR(INDEX('Raw Data'!$R$2:$R$50000,MATCH(430,'Raw Data'!$W$2:$W$50000,0)),"")</f>
        <v/>
      </c>
      <c r="C431" s="11" t="str">
        <f t="shared" si="6"/>
        <v/>
      </c>
      <c r="D431" s="11" t="str">
        <f>IF($B431="","",COUNTIFS('Raw Data'!$R$2:$R$50000,$B431))</f>
        <v/>
      </c>
      <c r="E431" s="11" t="str">
        <f>IF($B431="","",SUMIFS('Raw Data'!$I$2:$I$50000,'Raw Data'!$R$2:$R$50000,$B431))</f>
        <v/>
      </c>
      <c r="F431" s="11" t="str">
        <f>IF($B431="","",RANK($E431,$E$2:$E$1501)+COUNTIF($E$2:E431,$E431)-1)</f>
        <v/>
      </c>
      <c r="G431" s="11" t="str">
        <f>IF($B431="","",RANK($D431,$D$2:$D$1501)+COUNTIF($D$2:D431,$D431)-1)</f>
        <v/>
      </c>
    </row>
    <row r="432" spans="1:7">
      <c r="A432" s="11">
        <v>431</v>
      </c>
      <c r="B432" s="11" t="str">
        <f>IFERROR(INDEX('Raw Data'!$R$2:$R$50000,MATCH(431,'Raw Data'!$W$2:$W$50000,0)),"")</f>
        <v/>
      </c>
      <c r="C432" s="11" t="str">
        <f t="shared" si="6"/>
        <v/>
      </c>
      <c r="D432" s="11" t="str">
        <f>IF($B432="","",COUNTIFS('Raw Data'!$R$2:$R$50000,$B432))</f>
        <v/>
      </c>
      <c r="E432" s="11" t="str">
        <f>IF($B432="","",SUMIFS('Raw Data'!$I$2:$I$50000,'Raw Data'!$R$2:$R$50000,$B432))</f>
        <v/>
      </c>
      <c r="F432" s="11" t="str">
        <f>IF($B432="","",RANK($E432,$E$2:$E$1501)+COUNTIF($E$2:E432,$E432)-1)</f>
        <v/>
      </c>
      <c r="G432" s="11" t="str">
        <f>IF($B432="","",RANK($D432,$D$2:$D$1501)+COUNTIF($D$2:D432,$D432)-1)</f>
        <v/>
      </c>
    </row>
    <row r="433" spans="1:7">
      <c r="A433" s="11">
        <v>432</v>
      </c>
      <c r="B433" s="11" t="str">
        <f>IFERROR(INDEX('Raw Data'!$R$2:$R$50000,MATCH(432,'Raw Data'!$W$2:$W$50000,0)),"")</f>
        <v/>
      </c>
      <c r="C433" s="11" t="str">
        <f t="shared" si="6"/>
        <v/>
      </c>
      <c r="D433" s="11" t="str">
        <f>IF($B433="","",COUNTIFS('Raw Data'!$R$2:$R$50000,$B433))</f>
        <v/>
      </c>
      <c r="E433" s="11" t="str">
        <f>IF($B433="","",SUMIFS('Raw Data'!$I$2:$I$50000,'Raw Data'!$R$2:$R$50000,$B433))</f>
        <v/>
      </c>
      <c r="F433" s="11" t="str">
        <f>IF($B433="","",RANK($E433,$E$2:$E$1501)+COUNTIF($E$2:E433,$E433)-1)</f>
        <v/>
      </c>
      <c r="G433" s="11" t="str">
        <f>IF($B433="","",RANK($D433,$D$2:$D$1501)+COUNTIF($D$2:D433,$D433)-1)</f>
        <v/>
      </c>
    </row>
    <row r="434" spans="1:7">
      <c r="A434" s="11">
        <v>433</v>
      </c>
      <c r="B434" s="11" t="str">
        <f>IFERROR(INDEX('Raw Data'!$R$2:$R$50000,MATCH(433,'Raw Data'!$W$2:$W$50000,0)),"")</f>
        <v/>
      </c>
      <c r="C434" s="11" t="str">
        <f t="shared" si="6"/>
        <v/>
      </c>
      <c r="D434" s="11" t="str">
        <f>IF($B434="","",COUNTIFS('Raw Data'!$R$2:$R$50000,$B434))</f>
        <v/>
      </c>
      <c r="E434" s="11" t="str">
        <f>IF($B434="","",SUMIFS('Raw Data'!$I$2:$I$50000,'Raw Data'!$R$2:$R$50000,$B434))</f>
        <v/>
      </c>
      <c r="F434" s="11" t="str">
        <f>IF($B434="","",RANK($E434,$E$2:$E$1501)+COUNTIF($E$2:E434,$E434)-1)</f>
        <v/>
      </c>
      <c r="G434" s="11" t="str">
        <f>IF($B434="","",RANK($D434,$D$2:$D$1501)+COUNTIF($D$2:D434,$D434)-1)</f>
        <v/>
      </c>
    </row>
    <row r="435" spans="1:7">
      <c r="A435" s="11">
        <v>434</v>
      </c>
      <c r="B435" s="11" t="str">
        <f>IFERROR(INDEX('Raw Data'!$R$2:$R$50000,MATCH(434,'Raw Data'!$W$2:$W$50000,0)),"")</f>
        <v/>
      </c>
      <c r="C435" s="11" t="str">
        <f t="shared" si="6"/>
        <v/>
      </c>
      <c r="D435" s="11" t="str">
        <f>IF($B435="","",COUNTIFS('Raw Data'!$R$2:$R$50000,$B435))</f>
        <v/>
      </c>
      <c r="E435" s="11" t="str">
        <f>IF($B435="","",SUMIFS('Raw Data'!$I$2:$I$50000,'Raw Data'!$R$2:$R$50000,$B435))</f>
        <v/>
      </c>
      <c r="F435" s="11" t="str">
        <f>IF($B435="","",RANK($E435,$E$2:$E$1501)+COUNTIF($E$2:E435,$E435)-1)</f>
        <v/>
      </c>
      <c r="G435" s="11" t="str">
        <f>IF($B435="","",RANK($D435,$D$2:$D$1501)+COUNTIF($D$2:D435,$D435)-1)</f>
        <v/>
      </c>
    </row>
    <row r="436" spans="1:7">
      <c r="A436" s="11">
        <v>435</v>
      </c>
      <c r="B436" s="11" t="str">
        <f>IFERROR(INDEX('Raw Data'!$R$2:$R$50000,MATCH(435,'Raw Data'!$W$2:$W$50000,0)),"")</f>
        <v/>
      </c>
      <c r="C436" s="11" t="str">
        <f t="shared" si="6"/>
        <v/>
      </c>
      <c r="D436" s="11" t="str">
        <f>IF($B436="","",COUNTIFS('Raw Data'!$R$2:$R$50000,$B436))</f>
        <v/>
      </c>
      <c r="E436" s="11" t="str">
        <f>IF($B436="","",SUMIFS('Raw Data'!$I$2:$I$50000,'Raw Data'!$R$2:$R$50000,$B436))</f>
        <v/>
      </c>
      <c r="F436" s="11" t="str">
        <f>IF($B436="","",RANK($E436,$E$2:$E$1501)+COUNTIF($E$2:E436,$E436)-1)</f>
        <v/>
      </c>
      <c r="G436" s="11" t="str">
        <f>IF($B436="","",RANK($D436,$D$2:$D$1501)+COUNTIF($D$2:D436,$D436)-1)</f>
        <v/>
      </c>
    </row>
    <row r="437" spans="1:7">
      <c r="A437" s="11">
        <v>436</v>
      </c>
      <c r="B437" s="11" t="str">
        <f>IFERROR(INDEX('Raw Data'!$R$2:$R$50000,MATCH(436,'Raw Data'!$W$2:$W$50000,0)),"")</f>
        <v/>
      </c>
      <c r="C437" s="11" t="str">
        <f t="shared" si="6"/>
        <v/>
      </c>
      <c r="D437" s="11" t="str">
        <f>IF($B437="","",COUNTIFS('Raw Data'!$R$2:$R$50000,$B437))</f>
        <v/>
      </c>
      <c r="E437" s="11" t="str">
        <f>IF($B437="","",SUMIFS('Raw Data'!$I$2:$I$50000,'Raw Data'!$R$2:$R$50000,$B437))</f>
        <v/>
      </c>
      <c r="F437" s="11" t="str">
        <f>IF($B437="","",RANK($E437,$E$2:$E$1501)+COUNTIF($E$2:E437,$E437)-1)</f>
        <v/>
      </c>
      <c r="G437" s="11" t="str">
        <f>IF($B437="","",RANK($D437,$D$2:$D$1501)+COUNTIF($D$2:D437,$D437)-1)</f>
        <v/>
      </c>
    </row>
    <row r="438" spans="1:7">
      <c r="A438" s="11">
        <v>437</v>
      </c>
      <c r="B438" s="11" t="str">
        <f>IFERROR(INDEX('Raw Data'!$R$2:$R$50000,MATCH(437,'Raw Data'!$W$2:$W$50000,0)),"")</f>
        <v/>
      </c>
      <c r="C438" s="11" t="str">
        <f t="shared" si="6"/>
        <v/>
      </c>
      <c r="D438" s="11" t="str">
        <f>IF($B438="","",COUNTIFS('Raw Data'!$R$2:$R$50000,$B438))</f>
        <v/>
      </c>
      <c r="E438" s="11" t="str">
        <f>IF($B438="","",SUMIFS('Raw Data'!$I$2:$I$50000,'Raw Data'!$R$2:$R$50000,$B438))</f>
        <v/>
      </c>
      <c r="F438" s="11" t="str">
        <f>IF($B438="","",RANK($E438,$E$2:$E$1501)+COUNTIF($E$2:E438,$E438)-1)</f>
        <v/>
      </c>
      <c r="G438" s="11" t="str">
        <f>IF($B438="","",RANK($D438,$D$2:$D$1501)+COUNTIF($D$2:D438,$D438)-1)</f>
        <v/>
      </c>
    </row>
    <row r="439" spans="1:7">
      <c r="A439" s="11">
        <v>438</v>
      </c>
      <c r="B439" s="11" t="str">
        <f>IFERROR(INDEX('Raw Data'!$R$2:$R$50000,MATCH(438,'Raw Data'!$W$2:$W$50000,0)),"")</f>
        <v/>
      </c>
      <c r="C439" s="11" t="str">
        <f t="shared" si="6"/>
        <v/>
      </c>
      <c r="D439" s="11" t="str">
        <f>IF($B439="","",COUNTIFS('Raw Data'!$R$2:$R$50000,$B439))</f>
        <v/>
      </c>
      <c r="E439" s="11" t="str">
        <f>IF($B439="","",SUMIFS('Raw Data'!$I$2:$I$50000,'Raw Data'!$R$2:$R$50000,$B439))</f>
        <v/>
      </c>
      <c r="F439" s="11" t="str">
        <f>IF($B439="","",RANK($E439,$E$2:$E$1501)+COUNTIF($E$2:E439,$E439)-1)</f>
        <v/>
      </c>
      <c r="G439" s="11" t="str">
        <f>IF($B439="","",RANK($D439,$D$2:$D$1501)+COUNTIF($D$2:D439,$D439)-1)</f>
        <v/>
      </c>
    </row>
    <row r="440" spans="1:7">
      <c r="A440" s="11">
        <v>439</v>
      </c>
      <c r="B440" s="11" t="str">
        <f>IFERROR(INDEX('Raw Data'!$R$2:$R$50000,MATCH(439,'Raw Data'!$W$2:$W$50000,0)),"")</f>
        <v/>
      </c>
      <c r="C440" s="11" t="str">
        <f t="shared" si="6"/>
        <v/>
      </c>
      <c r="D440" s="11" t="str">
        <f>IF($B440="","",COUNTIFS('Raw Data'!$R$2:$R$50000,$B440))</f>
        <v/>
      </c>
      <c r="E440" s="11" t="str">
        <f>IF($B440="","",SUMIFS('Raw Data'!$I$2:$I$50000,'Raw Data'!$R$2:$R$50000,$B440))</f>
        <v/>
      </c>
      <c r="F440" s="11" t="str">
        <f>IF($B440="","",RANK($E440,$E$2:$E$1501)+COUNTIF($E$2:E440,$E440)-1)</f>
        <v/>
      </c>
      <c r="G440" s="11" t="str">
        <f>IF($B440="","",RANK($D440,$D$2:$D$1501)+COUNTIF($D$2:D440,$D440)-1)</f>
        <v/>
      </c>
    </row>
    <row r="441" spans="1:7">
      <c r="A441" s="11">
        <v>440</v>
      </c>
      <c r="B441" s="11" t="str">
        <f>IFERROR(INDEX('Raw Data'!$R$2:$R$50000,MATCH(440,'Raw Data'!$W$2:$W$50000,0)),"")</f>
        <v/>
      </c>
      <c r="C441" s="11" t="str">
        <f t="shared" si="6"/>
        <v/>
      </c>
      <c r="D441" s="11" t="str">
        <f>IF($B441="","",COUNTIFS('Raw Data'!$R$2:$R$50000,$B441))</f>
        <v/>
      </c>
      <c r="E441" s="11" t="str">
        <f>IF($B441="","",SUMIFS('Raw Data'!$I$2:$I$50000,'Raw Data'!$R$2:$R$50000,$B441))</f>
        <v/>
      </c>
      <c r="F441" s="11" t="str">
        <f>IF($B441="","",RANK($E441,$E$2:$E$1501)+COUNTIF($E$2:E441,$E441)-1)</f>
        <v/>
      </c>
      <c r="G441" s="11" t="str">
        <f>IF($B441="","",RANK($D441,$D$2:$D$1501)+COUNTIF($D$2:D441,$D441)-1)</f>
        <v/>
      </c>
    </row>
    <row r="442" spans="1:7">
      <c r="A442" s="11">
        <v>441</v>
      </c>
      <c r="B442" s="11" t="str">
        <f>IFERROR(INDEX('Raw Data'!$R$2:$R$50000,MATCH(441,'Raw Data'!$W$2:$W$50000,0)),"")</f>
        <v/>
      </c>
      <c r="C442" s="11" t="str">
        <f t="shared" si="6"/>
        <v/>
      </c>
      <c r="D442" s="11" t="str">
        <f>IF($B442="","",COUNTIFS('Raw Data'!$R$2:$R$50000,$B442))</f>
        <v/>
      </c>
      <c r="E442" s="11" t="str">
        <f>IF($B442="","",SUMIFS('Raw Data'!$I$2:$I$50000,'Raw Data'!$R$2:$R$50000,$B442))</f>
        <v/>
      </c>
      <c r="F442" s="11" t="str">
        <f>IF($B442="","",RANK($E442,$E$2:$E$1501)+COUNTIF($E$2:E442,$E442)-1)</f>
        <v/>
      </c>
      <c r="G442" s="11" t="str">
        <f>IF($B442="","",RANK($D442,$D$2:$D$1501)+COUNTIF($D$2:D442,$D442)-1)</f>
        <v/>
      </c>
    </row>
    <row r="443" spans="1:7">
      <c r="A443" s="11">
        <v>442</v>
      </c>
      <c r="B443" s="11" t="str">
        <f>IFERROR(INDEX('Raw Data'!$R$2:$R$50000,MATCH(442,'Raw Data'!$W$2:$W$50000,0)),"")</f>
        <v/>
      </c>
      <c r="C443" s="11" t="str">
        <f t="shared" si="6"/>
        <v/>
      </c>
      <c r="D443" s="11" t="str">
        <f>IF($B443="","",COUNTIFS('Raw Data'!$R$2:$R$50000,$B443))</f>
        <v/>
      </c>
      <c r="E443" s="11" t="str">
        <f>IF($B443="","",SUMIFS('Raw Data'!$I$2:$I$50000,'Raw Data'!$R$2:$R$50000,$B443))</f>
        <v/>
      </c>
      <c r="F443" s="11" t="str">
        <f>IF($B443="","",RANK($E443,$E$2:$E$1501)+COUNTIF($E$2:E443,$E443)-1)</f>
        <v/>
      </c>
      <c r="G443" s="11" t="str">
        <f>IF($B443="","",RANK($D443,$D$2:$D$1501)+COUNTIF($D$2:D443,$D443)-1)</f>
        <v/>
      </c>
    </row>
    <row r="444" spans="1:7">
      <c r="A444" s="11">
        <v>443</v>
      </c>
      <c r="B444" s="11" t="str">
        <f>IFERROR(INDEX('Raw Data'!$R$2:$R$50000,MATCH(443,'Raw Data'!$W$2:$W$50000,0)),"")</f>
        <v/>
      </c>
      <c r="C444" s="11" t="str">
        <f t="shared" si="6"/>
        <v/>
      </c>
      <c r="D444" s="11" t="str">
        <f>IF($B444="","",COUNTIFS('Raw Data'!$R$2:$R$50000,$B444))</f>
        <v/>
      </c>
      <c r="E444" s="11" t="str">
        <f>IF($B444="","",SUMIFS('Raw Data'!$I$2:$I$50000,'Raw Data'!$R$2:$R$50000,$B444))</f>
        <v/>
      </c>
      <c r="F444" s="11" t="str">
        <f>IF($B444="","",RANK($E444,$E$2:$E$1501)+COUNTIF($E$2:E444,$E444)-1)</f>
        <v/>
      </c>
      <c r="G444" s="11" t="str">
        <f>IF($B444="","",RANK($D444,$D$2:$D$1501)+COUNTIF($D$2:D444,$D444)-1)</f>
        <v/>
      </c>
    </row>
    <row r="445" spans="1:7">
      <c r="A445" s="11">
        <v>444</v>
      </c>
      <c r="B445" s="11" t="str">
        <f>IFERROR(INDEX('Raw Data'!$R$2:$R$50000,MATCH(444,'Raw Data'!$W$2:$W$50000,0)),"")</f>
        <v/>
      </c>
      <c r="C445" s="11" t="str">
        <f t="shared" si="6"/>
        <v/>
      </c>
      <c r="D445" s="11" t="str">
        <f>IF($B445="","",COUNTIFS('Raw Data'!$R$2:$R$50000,$B445))</f>
        <v/>
      </c>
      <c r="E445" s="11" t="str">
        <f>IF($B445="","",SUMIFS('Raw Data'!$I$2:$I$50000,'Raw Data'!$R$2:$R$50000,$B445))</f>
        <v/>
      </c>
      <c r="F445" s="11" t="str">
        <f>IF($B445="","",RANK($E445,$E$2:$E$1501)+COUNTIF($E$2:E445,$E445)-1)</f>
        <v/>
      </c>
      <c r="G445" s="11" t="str">
        <f>IF($B445="","",RANK($D445,$D$2:$D$1501)+COUNTIF($D$2:D445,$D445)-1)</f>
        <v/>
      </c>
    </row>
    <row r="446" spans="1:7">
      <c r="A446" s="11">
        <v>445</v>
      </c>
      <c r="B446" s="11" t="str">
        <f>IFERROR(INDEX('Raw Data'!$R$2:$R$50000,MATCH(445,'Raw Data'!$W$2:$W$50000,0)),"")</f>
        <v/>
      </c>
      <c r="C446" s="11" t="str">
        <f t="shared" si="6"/>
        <v/>
      </c>
      <c r="D446" s="11" t="str">
        <f>IF($B446="","",COUNTIFS('Raw Data'!$R$2:$R$50000,$B446))</f>
        <v/>
      </c>
      <c r="E446" s="11" t="str">
        <f>IF($B446="","",SUMIFS('Raw Data'!$I$2:$I$50000,'Raw Data'!$R$2:$R$50000,$B446))</f>
        <v/>
      </c>
      <c r="F446" s="11" t="str">
        <f>IF($B446="","",RANK($E446,$E$2:$E$1501)+COUNTIF($E$2:E446,$E446)-1)</f>
        <v/>
      </c>
      <c r="G446" s="11" t="str">
        <f>IF($B446="","",RANK($D446,$D$2:$D$1501)+COUNTIF($D$2:D446,$D446)-1)</f>
        <v/>
      </c>
    </row>
    <row r="447" spans="1:7">
      <c r="A447" s="11">
        <v>446</v>
      </c>
      <c r="B447" s="11" t="str">
        <f>IFERROR(INDEX('Raw Data'!$R$2:$R$50000,MATCH(446,'Raw Data'!$W$2:$W$50000,0)),"")</f>
        <v/>
      </c>
      <c r="C447" s="11" t="str">
        <f t="shared" si="6"/>
        <v/>
      </c>
      <c r="D447" s="11" t="str">
        <f>IF($B447="","",COUNTIFS('Raw Data'!$R$2:$R$50000,$B447))</f>
        <v/>
      </c>
      <c r="E447" s="11" t="str">
        <f>IF($B447="","",SUMIFS('Raw Data'!$I$2:$I$50000,'Raw Data'!$R$2:$R$50000,$B447))</f>
        <v/>
      </c>
      <c r="F447" s="11" t="str">
        <f>IF($B447="","",RANK($E447,$E$2:$E$1501)+COUNTIF($E$2:E447,$E447)-1)</f>
        <v/>
      </c>
      <c r="G447" s="11" t="str">
        <f>IF($B447="","",RANK($D447,$D$2:$D$1501)+COUNTIF($D$2:D447,$D447)-1)</f>
        <v/>
      </c>
    </row>
    <row r="448" spans="1:7">
      <c r="A448" s="11">
        <v>447</v>
      </c>
      <c r="B448" s="11" t="str">
        <f>IFERROR(INDEX('Raw Data'!$R$2:$R$50000,MATCH(447,'Raw Data'!$W$2:$W$50000,0)),"")</f>
        <v/>
      </c>
      <c r="C448" s="11" t="str">
        <f t="shared" si="6"/>
        <v/>
      </c>
      <c r="D448" s="11" t="str">
        <f>IF($B448="","",COUNTIFS('Raw Data'!$R$2:$R$50000,$B448))</f>
        <v/>
      </c>
      <c r="E448" s="11" t="str">
        <f>IF($B448="","",SUMIFS('Raw Data'!$I$2:$I$50000,'Raw Data'!$R$2:$R$50000,$B448))</f>
        <v/>
      </c>
      <c r="F448" s="11" t="str">
        <f>IF($B448="","",RANK($E448,$E$2:$E$1501)+COUNTIF($E$2:E448,$E448)-1)</f>
        <v/>
      </c>
      <c r="G448" s="11" t="str">
        <f>IF($B448="","",RANK($D448,$D$2:$D$1501)+COUNTIF($D$2:D448,$D448)-1)</f>
        <v/>
      </c>
    </row>
    <row r="449" spans="1:7">
      <c r="A449" s="11">
        <v>448</v>
      </c>
      <c r="B449" s="11" t="str">
        <f>IFERROR(INDEX('Raw Data'!$R$2:$R$50000,MATCH(448,'Raw Data'!$W$2:$W$50000,0)),"")</f>
        <v/>
      </c>
      <c r="C449" s="11" t="str">
        <f t="shared" si="6"/>
        <v/>
      </c>
      <c r="D449" s="11" t="str">
        <f>IF($B449="","",COUNTIFS('Raw Data'!$R$2:$R$50000,$B449))</f>
        <v/>
      </c>
      <c r="E449" s="11" t="str">
        <f>IF($B449="","",SUMIFS('Raw Data'!$I$2:$I$50000,'Raw Data'!$R$2:$R$50000,$B449))</f>
        <v/>
      </c>
      <c r="F449" s="11" t="str">
        <f>IF($B449="","",RANK($E449,$E$2:$E$1501)+COUNTIF($E$2:E449,$E449)-1)</f>
        <v/>
      </c>
      <c r="G449" s="11" t="str">
        <f>IF($B449="","",RANK($D449,$D$2:$D$1501)+COUNTIF($D$2:D449,$D449)-1)</f>
        <v/>
      </c>
    </row>
    <row r="450" spans="1:7">
      <c r="A450" s="11">
        <v>449</v>
      </c>
      <c r="B450" s="11" t="str">
        <f>IFERROR(INDEX('Raw Data'!$R$2:$R$50000,MATCH(449,'Raw Data'!$W$2:$W$50000,0)),"")</f>
        <v/>
      </c>
      <c r="C450" s="11" t="str">
        <f t="shared" ref="C450:C513" si="7">IF($B450="","",$B450)</f>
        <v/>
      </c>
      <c r="D450" s="11" t="str">
        <f>IF($B450="","",COUNTIFS('Raw Data'!$R$2:$R$50000,$B450))</f>
        <v/>
      </c>
      <c r="E450" s="11" t="str">
        <f>IF($B450="","",SUMIFS('Raw Data'!$I$2:$I$50000,'Raw Data'!$R$2:$R$50000,$B450))</f>
        <v/>
      </c>
      <c r="F450" s="11" t="str">
        <f>IF($B450="","",RANK($E450,$E$2:$E$1501)+COUNTIF($E$2:E450,$E450)-1)</f>
        <v/>
      </c>
      <c r="G450" s="11" t="str">
        <f>IF($B450="","",RANK($D450,$D$2:$D$1501)+COUNTIF($D$2:D450,$D450)-1)</f>
        <v/>
      </c>
    </row>
    <row r="451" spans="1:7">
      <c r="A451" s="11">
        <v>450</v>
      </c>
      <c r="B451" s="11" t="str">
        <f>IFERROR(INDEX('Raw Data'!$R$2:$R$50000,MATCH(450,'Raw Data'!$W$2:$W$50000,0)),"")</f>
        <v/>
      </c>
      <c r="C451" s="11" t="str">
        <f t="shared" si="7"/>
        <v/>
      </c>
      <c r="D451" s="11" t="str">
        <f>IF($B451="","",COUNTIFS('Raw Data'!$R$2:$R$50000,$B451))</f>
        <v/>
      </c>
      <c r="E451" s="11" t="str">
        <f>IF($B451="","",SUMIFS('Raw Data'!$I$2:$I$50000,'Raw Data'!$R$2:$R$50000,$B451))</f>
        <v/>
      </c>
      <c r="F451" s="11" t="str">
        <f>IF($B451="","",RANK($E451,$E$2:$E$1501)+COUNTIF($E$2:E451,$E451)-1)</f>
        <v/>
      </c>
      <c r="G451" s="11" t="str">
        <f>IF($B451="","",RANK($D451,$D$2:$D$1501)+COUNTIF($D$2:D451,$D451)-1)</f>
        <v/>
      </c>
    </row>
    <row r="452" spans="1:7">
      <c r="A452" s="11">
        <v>451</v>
      </c>
      <c r="B452" s="11" t="str">
        <f>IFERROR(INDEX('Raw Data'!$R$2:$R$50000,MATCH(451,'Raw Data'!$W$2:$W$50000,0)),"")</f>
        <v/>
      </c>
      <c r="C452" s="11" t="str">
        <f t="shared" si="7"/>
        <v/>
      </c>
      <c r="D452" s="11" t="str">
        <f>IF($B452="","",COUNTIFS('Raw Data'!$R$2:$R$50000,$B452))</f>
        <v/>
      </c>
      <c r="E452" s="11" t="str">
        <f>IF($B452="","",SUMIFS('Raw Data'!$I$2:$I$50000,'Raw Data'!$R$2:$R$50000,$B452))</f>
        <v/>
      </c>
      <c r="F452" s="11" t="str">
        <f>IF($B452="","",RANK($E452,$E$2:$E$1501)+COUNTIF($E$2:E452,$E452)-1)</f>
        <v/>
      </c>
      <c r="G452" s="11" t="str">
        <f>IF($B452="","",RANK($D452,$D$2:$D$1501)+COUNTIF($D$2:D452,$D452)-1)</f>
        <v/>
      </c>
    </row>
    <row r="453" spans="1:7">
      <c r="A453" s="11">
        <v>452</v>
      </c>
      <c r="B453" s="11" t="str">
        <f>IFERROR(INDEX('Raw Data'!$R$2:$R$50000,MATCH(452,'Raw Data'!$W$2:$W$50000,0)),"")</f>
        <v/>
      </c>
      <c r="C453" s="11" t="str">
        <f t="shared" si="7"/>
        <v/>
      </c>
      <c r="D453" s="11" t="str">
        <f>IF($B453="","",COUNTIFS('Raw Data'!$R$2:$R$50000,$B453))</f>
        <v/>
      </c>
      <c r="E453" s="11" t="str">
        <f>IF($B453="","",SUMIFS('Raw Data'!$I$2:$I$50000,'Raw Data'!$R$2:$R$50000,$B453))</f>
        <v/>
      </c>
      <c r="F453" s="11" t="str">
        <f>IF($B453="","",RANK($E453,$E$2:$E$1501)+COUNTIF($E$2:E453,$E453)-1)</f>
        <v/>
      </c>
      <c r="G453" s="11" t="str">
        <f>IF($B453="","",RANK($D453,$D$2:$D$1501)+COUNTIF($D$2:D453,$D453)-1)</f>
        <v/>
      </c>
    </row>
    <row r="454" spans="1:7">
      <c r="A454" s="11">
        <v>453</v>
      </c>
      <c r="B454" s="11" t="str">
        <f>IFERROR(INDEX('Raw Data'!$R$2:$R$50000,MATCH(453,'Raw Data'!$W$2:$W$50000,0)),"")</f>
        <v/>
      </c>
      <c r="C454" s="11" t="str">
        <f t="shared" si="7"/>
        <v/>
      </c>
      <c r="D454" s="11" t="str">
        <f>IF($B454="","",COUNTIFS('Raw Data'!$R$2:$R$50000,$B454))</f>
        <v/>
      </c>
      <c r="E454" s="11" t="str">
        <f>IF($B454="","",SUMIFS('Raw Data'!$I$2:$I$50000,'Raw Data'!$R$2:$R$50000,$B454))</f>
        <v/>
      </c>
      <c r="F454" s="11" t="str">
        <f>IF($B454="","",RANK($E454,$E$2:$E$1501)+COUNTIF($E$2:E454,$E454)-1)</f>
        <v/>
      </c>
      <c r="G454" s="11" t="str">
        <f>IF($B454="","",RANK($D454,$D$2:$D$1501)+COUNTIF($D$2:D454,$D454)-1)</f>
        <v/>
      </c>
    </row>
    <row r="455" spans="1:7">
      <c r="A455" s="11">
        <v>454</v>
      </c>
      <c r="B455" s="11" t="str">
        <f>IFERROR(INDEX('Raw Data'!$R$2:$R$50000,MATCH(454,'Raw Data'!$W$2:$W$50000,0)),"")</f>
        <v/>
      </c>
      <c r="C455" s="11" t="str">
        <f t="shared" si="7"/>
        <v/>
      </c>
      <c r="D455" s="11" t="str">
        <f>IF($B455="","",COUNTIFS('Raw Data'!$R$2:$R$50000,$B455))</f>
        <v/>
      </c>
      <c r="E455" s="11" t="str">
        <f>IF($B455="","",SUMIFS('Raw Data'!$I$2:$I$50000,'Raw Data'!$R$2:$R$50000,$B455))</f>
        <v/>
      </c>
      <c r="F455" s="11" t="str">
        <f>IF($B455="","",RANK($E455,$E$2:$E$1501)+COUNTIF($E$2:E455,$E455)-1)</f>
        <v/>
      </c>
      <c r="G455" s="11" t="str">
        <f>IF($B455="","",RANK($D455,$D$2:$D$1501)+COUNTIF($D$2:D455,$D455)-1)</f>
        <v/>
      </c>
    </row>
    <row r="456" spans="1:7">
      <c r="A456" s="11">
        <v>455</v>
      </c>
      <c r="B456" s="11" t="str">
        <f>IFERROR(INDEX('Raw Data'!$R$2:$R$50000,MATCH(455,'Raw Data'!$W$2:$W$50000,0)),"")</f>
        <v/>
      </c>
      <c r="C456" s="11" t="str">
        <f t="shared" si="7"/>
        <v/>
      </c>
      <c r="D456" s="11" t="str">
        <f>IF($B456="","",COUNTIFS('Raw Data'!$R$2:$R$50000,$B456))</f>
        <v/>
      </c>
      <c r="E456" s="11" t="str">
        <f>IF($B456="","",SUMIFS('Raw Data'!$I$2:$I$50000,'Raw Data'!$R$2:$R$50000,$B456))</f>
        <v/>
      </c>
      <c r="F456" s="11" t="str">
        <f>IF($B456="","",RANK($E456,$E$2:$E$1501)+COUNTIF($E$2:E456,$E456)-1)</f>
        <v/>
      </c>
      <c r="G456" s="11" t="str">
        <f>IF($B456="","",RANK($D456,$D$2:$D$1501)+COUNTIF($D$2:D456,$D456)-1)</f>
        <v/>
      </c>
    </row>
    <row r="457" spans="1:7">
      <c r="A457" s="11">
        <v>456</v>
      </c>
      <c r="B457" s="11" t="str">
        <f>IFERROR(INDEX('Raw Data'!$R$2:$R$50000,MATCH(456,'Raw Data'!$W$2:$W$50000,0)),"")</f>
        <v/>
      </c>
      <c r="C457" s="11" t="str">
        <f t="shared" si="7"/>
        <v/>
      </c>
      <c r="D457" s="11" t="str">
        <f>IF($B457="","",COUNTIFS('Raw Data'!$R$2:$R$50000,$B457))</f>
        <v/>
      </c>
      <c r="E457" s="11" t="str">
        <f>IF($B457="","",SUMIFS('Raw Data'!$I$2:$I$50000,'Raw Data'!$R$2:$R$50000,$B457))</f>
        <v/>
      </c>
      <c r="F457" s="11" t="str">
        <f>IF($B457="","",RANK($E457,$E$2:$E$1501)+COUNTIF($E$2:E457,$E457)-1)</f>
        <v/>
      </c>
      <c r="G457" s="11" t="str">
        <f>IF($B457="","",RANK($D457,$D$2:$D$1501)+COUNTIF($D$2:D457,$D457)-1)</f>
        <v/>
      </c>
    </row>
    <row r="458" spans="1:7">
      <c r="A458" s="11">
        <v>457</v>
      </c>
      <c r="B458" s="11" t="str">
        <f>IFERROR(INDEX('Raw Data'!$R$2:$R$50000,MATCH(457,'Raw Data'!$W$2:$W$50000,0)),"")</f>
        <v/>
      </c>
      <c r="C458" s="11" t="str">
        <f t="shared" si="7"/>
        <v/>
      </c>
      <c r="D458" s="11" t="str">
        <f>IF($B458="","",COUNTIFS('Raw Data'!$R$2:$R$50000,$B458))</f>
        <v/>
      </c>
      <c r="E458" s="11" t="str">
        <f>IF($B458="","",SUMIFS('Raw Data'!$I$2:$I$50000,'Raw Data'!$R$2:$R$50000,$B458))</f>
        <v/>
      </c>
      <c r="F458" s="11" t="str">
        <f>IF($B458="","",RANK($E458,$E$2:$E$1501)+COUNTIF($E$2:E458,$E458)-1)</f>
        <v/>
      </c>
      <c r="G458" s="11" t="str">
        <f>IF($B458="","",RANK($D458,$D$2:$D$1501)+COUNTIF($D$2:D458,$D458)-1)</f>
        <v/>
      </c>
    </row>
    <row r="459" spans="1:7">
      <c r="A459" s="11">
        <v>458</v>
      </c>
      <c r="B459" s="11" t="str">
        <f>IFERROR(INDEX('Raw Data'!$R$2:$R$50000,MATCH(458,'Raw Data'!$W$2:$W$50000,0)),"")</f>
        <v/>
      </c>
      <c r="C459" s="11" t="str">
        <f t="shared" si="7"/>
        <v/>
      </c>
      <c r="D459" s="11" t="str">
        <f>IF($B459="","",COUNTIFS('Raw Data'!$R$2:$R$50000,$B459))</f>
        <v/>
      </c>
      <c r="E459" s="11" t="str">
        <f>IF($B459="","",SUMIFS('Raw Data'!$I$2:$I$50000,'Raw Data'!$R$2:$R$50000,$B459))</f>
        <v/>
      </c>
      <c r="F459" s="11" t="str">
        <f>IF($B459="","",RANK($E459,$E$2:$E$1501)+COUNTIF($E$2:E459,$E459)-1)</f>
        <v/>
      </c>
      <c r="G459" s="11" t="str">
        <f>IF($B459="","",RANK($D459,$D$2:$D$1501)+COUNTIF($D$2:D459,$D459)-1)</f>
        <v/>
      </c>
    </row>
    <row r="460" spans="1:7">
      <c r="A460" s="11">
        <v>459</v>
      </c>
      <c r="B460" s="11" t="str">
        <f>IFERROR(INDEX('Raw Data'!$R$2:$R$50000,MATCH(459,'Raw Data'!$W$2:$W$50000,0)),"")</f>
        <v/>
      </c>
      <c r="C460" s="11" t="str">
        <f t="shared" si="7"/>
        <v/>
      </c>
      <c r="D460" s="11" t="str">
        <f>IF($B460="","",COUNTIFS('Raw Data'!$R$2:$R$50000,$B460))</f>
        <v/>
      </c>
      <c r="E460" s="11" t="str">
        <f>IF($B460="","",SUMIFS('Raw Data'!$I$2:$I$50000,'Raw Data'!$R$2:$R$50000,$B460))</f>
        <v/>
      </c>
      <c r="F460" s="11" t="str">
        <f>IF($B460="","",RANK($E460,$E$2:$E$1501)+COUNTIF($E$2:E460,$E460)-1)</f>
        <v/>
      </c>
      <c r="G460" s="11" t="str">
        <f>IF($B460="","",RANK($D460,$D$2:$D$1501)+COUNTIF($D$2:D460,$D460)-1)</f>
        <v/>
      </c>
    </row>
    <row r="461" spans="1:7">
      <c r="A461" s="11">
        <v>460</v>
      </c>
      <c r="B461" s="11" t="str">
        <f>IFERROR(INDEX('Raw Data'!$R$2:$R$50000,MATCH(460,'Raw Data'!$W$2:$W$50000,0)),"")</f>
        <v/>
      </c>
      <c r="C461" s="11" t="str">
        <f t="shared" si="7"/>
        <v/>
      </c>
      <c r="D461" s="11" t="str">
        <f>IF($B461="","",COUNTIFS('Raw Data'!$R$2:$R$50000,$B461))</f>
        <v/>
      </c>
      <c r="E461" s="11" t="str">
        <f>IF($B461="","",SUMIFS('Raw Data'!$I$2:$I$50000,'Raw Data'!$R$2:$R$50000,$B461))</f>
        <v/>
      </c>
      <c r="F461" s="11" t="str">
        <f>IF($B461="","",RANK($E461,$E$2:$E$1501)+COUNTIF($E$2:E461,$E461)-1)</f>
        <v/>
      </c>
      <c r="G461" s="11" t="str">
        <f>IF($B461="","",RANK($D461,$D$2:$D$1501)+COUNTIF($D$2:D461,$D461)-1)</f>
        <v/>
      </c>
    </row>
    <row r="462" spans="1:7">
      <c r="A462" s="11">
        <v>461</v>
      </c>
      <c r="B462" s="11" t="str">
        <f>IFERROR(INDEX('Raw Data'!$R$2:$R$50000,MATCH(461,'Raw Data'!$W$2:$W$50000,0)),"")</f>
        <v/>
      </c>
      <c r="C462" s="11" t="str">
        <f t="shared" si="7"/>
        <v/>
      </c>
      <c r="D462" s="11" t="str">
        <f>IF($B462="","",COUNTIFS('Raw Data'!$R$2:$R$50000,$B462))</f>
        <v/>
      </c>
      <c r="E462" s="11" t="str">
        <f>IF($B462="","",SUMIFS('Raw Data'!$I$2:$I$50000,'Raw Data'!$R$2:$R$50000,$B462))</f>
        <v/>
      </c>
      <c r="F462" s="11" t="str">
        <f>IF($B462="","",RANK($E462,$E$2:$E$1501)+COUNTIF($E$2:E462,$E462)-1)</f>
        <v/>
      </c>
      <c r="G462" s="11" t="str">
        <f>IF($B462="","",RANK($D462,$D$2:$D$1501)+COUNTIF($D$2:D462,$D462)-1)</f>
        <v/>
      </c>
    </row>
    <row r="463" spans="1:7">
      <c r="A463" s="11">
        <v>462</v>
      </c>
      <c r="B463" s="11" t="str">
        <f>IFERROR(INDEX('Raw Data'!$R$2:$R$50000,MATCH(462,'Raw Data'!$W$2:$W$50000,0)),"")</f>
        <v/>
      </c>
      <c r="C463" s="11" t="str">
        <f t="shared" si="7"/>
        <v/>
      </c>
      <c r="D463" s="11" t="str">
        <f>IF($B463="","",COUNTIFS('Raw Data'!$R$2:$R$50000,$B463))</f>
        <v/>
      </c>
      <c r="E463" s="11" t="str">
        <f>IF($B463="","",SUMIFS('Raw Data'!$I$2:$I$50000,'Raw Data'!$R$2:$R$50000,$B463))</f>
        <v/>
      </c>
      <c r="F463" s="11" t="str">
        <f>IF($B463="","",RANK($E463,$E$2:$E$1501)+COUNTIF($E$2:E463,$E463)-1)</f>
        <v/>
      </c>
      <c r="G463" s="11" t="str">
        <f>IF($B463="","",RANK($D463,$D$2:$D$1501)+COUNTIF($D$2:D463,$D463)-1)</f>
        <v/>
      </c>
    </row>
    <row r="464" spans="1:7">
      <c r="A464" s="11">
        <v>463</v>
      </c>
      <c r="B464" s="11" t="str">
        <f>IFERROR(INDEX('Raw Data'!$R$2:$R$50000,MATCH(463,'Raw Data'!$W$2:$W$50000,0)),"")</f>
        <v/>
      </c>
      <c r="C464" s="11" t="str">
        <f t="shared" si="7"/>
        <v/>
      </c>
      <c r="D464" s="11" t="str">
        <f>IF($B464="","",COUNTIFS('Raw Data'!$R$2:$R$50000,$B464))</f>
        <v/>
      </c>
      <c r="E464" s="11" t="str">
        <f>IF($B464="","",SUMIFS('Raw Data'!$I$2:$I$50000,'Raw Data'!$R$2:$R$50000,$B464))</f>
        <v/>
      </c>
      <c r="F464" s="11" t="str">
        <f>IF($B464="","",RANK($E464,$E$2:$E$1501)+COUNTIF($E$2:E464,$E464)-1)</f>
        <v/>
      </c>
      <c r="G464" s="11" t="str">
        <f>IF($B464="","",RANK($D464,$D$2:$D$1501)+COUNTIF($D$2:D464,$D464)-1)</f>
        <v/>
      </c>
    </row>
    <row r="465" spans="1:7">
      <c r="A465" s="11">
        <v>464</v>
      </c>
      <c r="B465" s="11" t="str">
        <f>IFERROR(INDEX('Raw Data'!$R$2:$R$50000,MATCH(464,'Raw Data'!$W$2:$W$50000,0)),"")</f>
        <v/>
      </c>
      <c r="C465" s="11" t="str">
        <f t="shared" si="7"/>
        <v/>
      </c>
      <c r="D465" s="11" t="str">
        <f>IF($B465="","",COUNTIFS('Raw Data'!$R$2:$R$50000,$B465))</f>
        <v/>
      </c>
      <c r="E465" s="11" t="str">
        <f>IF($B465="","",SUMIFS('Raw Data'!$I$2:$I$50000,'Raw Data'!$R$2:$R$50000,$B465))</f>
        <v/>
      </c>
      <c r="F465" s="11" t="str">
        <f>IF($B465="","",RANK($E465,$E$2:$E$1501)+COUNTIF($E$2:E465,$E465)-1)</f>
        <v/>
      </c>
      <c r="G465" s="11" t="str">
        <f>IF($B465="","",RANK($D465,$D$2:$D$1501)+COUNTIF($D$2:D465,$D465)-1)</f>
        <v/>
      </c>
    </row>
    <row r="466" spans="1:7">
      <c r="A466" s="11">
        <v>465</v>
      </c>
      <c r="B466" s="11" t="str">
        <f>IFERROR(INDEX('Raw Data'!$R$2:$R$50000,MATCH(465,'Raw Data'!$W$2:$W$50000,0)),"")</f>
        <v/>
      </c>
      <c r="C466" s="11" t="str">
        <f t="shared" si="7"/>
        <v/>
      </c>
      <c r="D466" s="11" t="str">
        <f>IF($B466="","",COUNTIFS('Raw Data'!$R$2:$R$50000,$B466))</f>
        <v/>
      </c>
      <c r="E466" s="11" t="str">
        <f>IF($B466="","",SUMIFS('Raw Data'!$I$2:$I$50000,'Raw Data'!$R$2:$R$50000,$B466))</f>
        <v/>
      </c>
      <c r="F466" s="11" t="str">
        <f>IF($B466="","",RANK($E466,$E$2:$E$1501)+COUNTIF($E$2:E466,$E466)-1)</f>
        <v/>
      </c>
      <c r="G466" s="11" t="str">
        <f>IF($B466="","",RANK($D466,$D$2:$D$1501)+COUNTIF($D$2:D466,$D466)-1)</f>
        <v/>
      </c>
    </row>
    <row r="467" spans="1:7">
      <c r="A467" s="11">
        <v>466</v>
      </c>
      <c r="B467" s="11" t="str">
        <f>IFERROR(INDEX('Raw Data'!$R$2:$R$50000,MATCH(466,'Raw Data'!$W$2:$W$50000,0)),"")</f>
        <v/>
      </c>
      <c r="C467" s="11" t="str">
        <f t="shared" si="7"/>
        <v/>
      </c>
      <c r="D467" s="11" t="str">
        <f>IF($B467="","",COUNTIFS('Raw Data'!$R$2:$R$50000,$B467))</f>
        <v/>
      </c>
      <c r="E467" s="11" t="str">
        <f>IF($B467="","",SUMIFS('Raw Data'!$I$2:$I$50000,'Raw Data'!$R$2:$R$50000,$B467))</f>
        <v/>
      </c>
      <c r="F467" s="11" t="str">
        <f>IF($B467="","",RANK($E467,$E$2:$E$1501)+COUNTIF($E$2:E467,$E467)-1)</f>
        <v/>
      </c>
      <c r="G467" s="11" t="str">
        <f>IF($B467="","",RANK($D467,$D$2:$D$1501)+COUNTIF($D$2:D467,$D467)-1)</f>
        <v/>
      </c>
    </row>
    <row r="468" spans="1:7">
      <c r="A468" s="11">
        <v>467</v>
      </c>
      <c r="B468" s="11" t="str">
        <f>IFERROR(INDEX('Raw Data'!$R$2:$R$50000,MATCH(467,'Raw Data'!$W$2:$W$50000,0)),"")</f>
        <v/>
      </c>
      <c r="C468" s="11" t="str">
        <f t="shared" si="7"/>
        <v/>
      </c>
      <c r="D468" s="11" t="str">
        <f>IF($B468="","",COUNTIFS('Raw Data'!$R$2:$R$50000,$B468))</f>
        <v/>
      </c>
      <c r="E468" s="11" t="str">
        <f>IF($B468="","",SUMIFS('Raw Data'!$I$2:$I$50000,'Raw Data'!$R$2:$R$50000,$B468))</f>
        <v/>
      </c>
      <c r="F468" s="11" t="str">
        <f>IF($B468="","",RANK($E468,$E$2:$E$1501)+COUNTIF($E$2:E468,$E468)-1)</f>
        <v/>
      </c>
      <c r="G468" s="11" t="str">
        <f>IF($B468="","",RANK($D468,$D$2:$D$1501)+COUNTIF($D$2:D468,$D468)-1)</f>
        <v/>
      </c>
    </row>
    <row r="469" spans="1:7">
      <c r="A469" s="11">
        <v>468</v>
      </c>
      <c r="B469" s="11" t="str">
        <f>IFERROR(INDEX('Raw Data'!$R$2:$R$50000,MATCH(468,'Raw Data'!$W$2:$W$50000,0)),"")</f>
        <v/>
      </c>
      <c r="C469" s="11" t="str">
        <f t="shared" si="7"/>
        <v/>
      </c>
      <c r="D469" s="11" t="str">
        <f>IF($B469="","",COUNTIFS('Raw Data'!$R$2:$R$50000,$B469))</f>
        <v/>
      </c>
      <c r="E469" s="11" t="str">
        <f>IF($B469="","",SUMIFS('Raw Data'!$I$2:$I$50000,'Raw Data'!$R$2:$R$50000,$B469))</f>
        <v/>
      </c>
      <c r="F469" s="11" t="str">
        <f>IF($B469="","",RANK($E469,$E$2:$E$1501)+COUNTIF($E$2:E469,$E469)-1)</f>
        <v/>
      </c>
      <c r="G469" s="11" t="str">
        <f>IF($B469="","",RANK($D469,$D$2:$D$1501)+COUNTIF($D$2:D469,$D469)-1)</f>
        <v/>
      </c>
    </row>
    <row r="470" spans="1:7">
      <c r="A470" s="11">
        <v>469</v>
      </c>
      <c r="B470" s="11" t="str">
        <f>IFERROR(INDEX('Raw Data'!$R$2:$R$50000,MATCH(469,'Raw Data'!$W$2:$W$50000,0)),"")</f>
        <v/>
      </c>
      <c r="C470" s="11" t="str">
        <f t="shared" si="7"/>
        <v/>
      </c>
      <c r="D470" s="11" t="str">
        <f>IF($B470="","",COUNTIFS('Raw Data'!$R$2:$R$50000,$B470))</f>
        <v/>
      </c>
      <c r="E470" s="11" t="str">
        <f>IF($B470="","",SUMIFS('Raw Data'!$I$2:$I$50000,'Raw Data'!$R$2:$R$50000,$B470))</f>
        <v/>
      </c>
      <c r="F470" s="11" t="str">
        <f>IF($B470="","",RANK($E470,$E$2:$E$1501)+COUNTIF($E$2:E470,$E470)-1)</f>
        <v/>
      </c>
      <c r="G470" s="11" t="str">
        <f>IF($B470="","",RANK($D470,$D$2:$D$1501)+COUNTIF($D$2:D470,$D470)-1)</f>
        <v/>
      </c>
    </row>
    <row r="471" spans="1:7">
      <c r="A471" s="11">
        <v>470</v>
      </c>
      <c r="B471" s="11" t="str">
        <f>IFERROR(INDEX('Raw Data'!$R$2:$R$50000,MATCH(470,'Raw Data'!$W$2:$W$50000,0)),"")</f>
        <v/>
      </c>
      <c r="C471" s="11" t="str">
        <f t="shared" si="7"/>
        <v/>
      </c>
      <c r="D471" s="11" t="str">
        <f>IF($B471="","",COUNTIFS('Raw Data'!$R$2:$R$50000,$B471))</f>
        <v/>
      </c>
      <c r="E471" s="11" t="str">
        <f>IF($B471="","",SUMIFS('Raw Data'!$I$2:$I$50000,'Raw Data'!$R$2:$R$50000,$B471))</f>
        <v/>
      </c>
      <c r="F471" s="11" t="str">
        <f>IF($B471="","",RANK($E471,$E$2:$E$1501)+COUNTIF($E$2:E471,$E471)-1)</f>
        <v/>
      </c>
      <c r="G471" s="11" t="str">
        <f>IF($B471="","",RANK($D471,$D$2:$D$1501)+COUNTIF($D$2:D471,$D471)-1)</f>
        <v/>
      </c>
    </row>
    <row r="472" spans="1:7">
      <c r="A472" s="11">
        <v>471</v>
      </c>
      <c r="B472" s="11" t="str">
        <f>IFERROR(INDEX('Raw Data'!$R$2:$R$50000,MATCH(471,'Raw Data'!$W$2:$W$50000,0)),"")</f>
        <v/>
      </c>
      <c r="C472" s="11" t="str">
        <f t="shared" si="7"/>
        <v/>
      </c>
      <c r="D472" s="11" t="str">
        <f>IF($B472="","",COUNTIFS('Raw Data'!$R$2:$R$50000,$B472))</f>
        <v/>
      </c>
      <c r="E472" s="11" t="str">
        <f>IF($B472="","",SUMIFS('Raw Data'!$I$2:$I$50000,'Raw Data'!$R$2:$R$50000,$B472))</f>
        <v/>
      </c>
      <c r="F472" s="11" t="str">
        <f>IF($B472="","",RANK($E472,$E$2:$E$1501)+COUNTIF($E$2:E472,$E472)-1)</f>
        <v/>
      </c>
      <c r="G472" s="11" t="str">
        <f>IF($B472="","",RANK($D472,$D$2:$D$1501)+COUNTIF($D$2:D472,$D472)-1)</f>
        <v/>
      </c>
    </row>
    <row r="473" spans="1:7">
      <c r="A473" s="11">
        <v>472</v>
      </c>
      <c r="B473" s="11" t="str">
        <f>IFERROR(INDEX('Raw Data'!$R$2:$R$50000,MATCH(472,'Raw Data'!$W$2:$W$50000,0)),"")</f>
        <v/>
      </c>
      <c r="C473" s="11" t="str">
        <f t="shared" si="7"/>
        <v/>
      </c>
      <c r="D473" s="11" t="str">
        <f>IF($B473="","",COUNTIFS('Raw Data'!$R$2:$R$50000,$B473))</f>
        <v/>
      </c>
      <c r="E473" s="11" t="str">
        <f>IF($B473="","",SUMIFS('Raw Data'!$I$2:$I$50000,'Raw Data'!$R$2:$R$50000,$B473))</f>
        <v/>
      </c>
      <c r="F473" s="11" t="str">
        <f>IF($B473="","",RANK($E473,$E$2:$E$1501)+COUNTIF($E$2:E473,$E473)-1)</f>
        <v/>
      </c>
      <c r="G473" s="11" t="str">
        <f>IF($B473="","",RANK($D473,$D$2:$D$1501)+COUNTIF($D$2:D473,$D473)-1)</f>
        <v/>
      </c>
    </row>
    <row r="474" spans="1:7">
      <c r="A474" s="11">
        <v>473</v>
      </c>
      <c r="B474" s="11" t="str">
        <f>IFERROR(INDEX('Raw Data'!$R$2:$R$50000,MATCH(473,'Raw Data'!$W$2:$W$50000,0)),"")</f>
        <v/>
      </c>
      <c r="C474" s="11" t="str">
        <f t="shared" si="7"/>
        <v/>
      </c>
      <c r="D474" s="11" t="str">
        <f>IF($B474="","",COUNTIFS('Raw Data'!$R$2:$R$50000,$B474))</f>
        <v/>
      </c>
      <c r="E474" s="11" t="str">
        <f>IF($B474="","",SUMIFS('Raw Data'!$I$2:$I$50000,'Raw Data'!$R$2:$R$50000,$B474))</f>
        <v/>
      </c>
      <c r="F474" s="11" t="str">
        <f>IF($B474="","",RANK($E474,$E$2:$E$1501)+COUNTIF($E$2:E474,$E474)-1)</f>
        <v/>
      </c>
      <c r="G474" s="11" t="str">
        <f>IF($B474="","",RANK($D474,$D$2:$D$1501)+COUNTIF($D$2:D474,$D474)-1)</f>
        <v/>
      </c>
    </row>
    <row r="475" spans="1:7">
      <c r="A475" s="11">
        <v>474</v>
      </c>
      <c r="B475" s="11" t="str">
        <f>IFERROR(INDEX('Raw Data'!$R$2:$R$50000,MATCH(474,'Raw Data'!$W$2:$W$50000,0)),"")</f>
        <v/>
      </c>
      <c r="C475" s="11" t="str">
        <f t="shared" si="7"/>
        <v/>
      </c>
      <c r="D475" s="11" t="str">
        <f>IF($B475="","",COUNTIFS('Raw Data'!$R$2:$R$50000,$B475))</f>
        <v/>
      </c>
      <c r="E475" s="11" t="str">
        <f>IF($B475="","",SUMIFS('Raw Data'!$I$2:$I$50000,'Raw Data'!$R$2:$R$50000,$B475))</f>
        <v/>
      </c>
      <c r="F475" s="11" t="str">
        <f>IF($B475="","",RANK($E475,$E$2:$E$1501)+COUNTIF($E$2:E475,$E475)-1)</f>
        <v/>
      </c>
      <c r="G475" s="11" t="str">
        <f>IF($B475="","",RANK($D475,$D$2:$D$1501)+COUNTIF($D$2:D475,$D475)-1)</f>
        <v/>
      </c>
    </row>
    <row r="476" spans="1:7">
      <c r="A476" s="11">
        <v>475</v>
      </c>
      <c r="B476" s="11" t="str">
        <f>IFERROR(INDEX('Raw Data'!$R$2:$R$50000,MATCH(475,'Raw Data'!$W$2:$W$50000,0)),"")</f>
        <v/>
      </c>
      <c r="C476" s="11" t="str">
        <f t="shared" si="7"/>
        <v/>
      </c>
      <c r="D476" s="11" t="str">
        <f>IF($B476="","",COUNTIFS('Raw Data'!$R$2:$R$50000,$B476))</f>
        <v/>
      </c>
      <c r="E476" s="11" t="str">
        <f>IF($B476="","",SUMIFS('Raw Data'!$I$2:$I$50000,'Raw Data'!$R$2:$R$50000,$B476))</f>
        <v/>
      </c>
      <c r="F476" s="11" t="str">
        <f>IF($B476="","",RANK($E476,$E$2:$E$1501)+COUNTIF($E$2:E476,$E476)-1)</f>
        <v/>
      </c>
      <c r="G476" s="11" t="str">
        <f>IF($B476="","",RANK($D476,$D$2:$D$1501)+COUNTIF($D$2:D476,$D476)-1)</f>
        <v/>
      </c>
    </row>
    <row r="477" spans="1:7">
      <c r="A477" s="11">
        <v>476</v>
      </c>
      <c r="B477" s="11" t="str">
        <f>IFERROR(INDEX('Raw Data'!$R$2:$R$50000,MATCH(476,'Raw Data'!$W$2:$W$50000,0)),"")</f>
        <v/>
      </c>
      <c r="C477" s="11" t="str">
        <f t="shared" si="7"/>
        <v/>
      </c>
      <c r="D477" s="11" t="str">
        <f>IF($B477="","",COUNTIFS('Raw Data'!$R$2:$R$50000,$B477))</f>
        <v/>
      </c>
      <c r="E477" s="11" t="str">
        <f>IF($B477="","",SUMIFS('Raw Data'!$I$2:$I$50000,'Raw Data'!$R$2:$R$50000,$B477))</f>
        <v/>
      </c>
      <c r="F477" s="11" t="str">
        <f>IF($B477="","",RANK($E477,$E$2:$E$1501)+COUNTIF($E$2:E477,$E477)-1)</f>
        <v/>
      </c>
      <c r="G477" s="11" t="str">
        <f>IF($B477="","",RANK($D477,$D$2:$D$1501)+COUNTIF($D$2:D477,$D477)-1)</f>
        <v/>
      </c>
    </row>
    <row r="478" spans="1:7">
      <c r="A478" s="11">
        <v>477</v>
      </c>
      <c r="B478" s="11" t="str">
        <f>IFERROR(INDEX('Raw Data'!$R$2:$R$50000,MATCH(477,'Raw Data'!$W$2:$W$50000,0)),"")</f>
        <v/>
      </c>
      <c r="C478" s="11" t="str">
        <f t="shared" si="7"/>
        <v/>
      </c>
      <c r="D478" s="11" t="str">
        <f>IF($B478="","",COUNTIFS('Raw Data'!$R$2:$R$50000,$B478))</f>
        <v/>
      </c>
      <c r="E478" s="11" t="str">
        <f>IF($B478="","",SUMIFS('Raw Data'!$I$2:$I$50000,'Raw Data'!$R$2:$R$50000,$B478))</f>
        <v/>
      </c>
      <c r="F478" s="11" t="str">
        <f>IF($B478="","",RANK($E478,$E$2:$E$1501)+COUNTIF($E$2:E478,$E478)-1)</f>
        <v/>
      </c>
      <c r="G478" s="11" t="str">
        <f>IF($B478="","",RANK($D478,$D$2:$D$1501)+COUNTIF($D$2:D478,$D478)-1)</f>
        <v/>
      </c>
    </row>
    <row r="479" spans="1:7">
      <c r="A479" s="11">
        <v>478</v>
      </c>
      <c r="B479" s="11" t="str">
        <f>IFERROR(INDEX('Raw Data'!$R$2:$R$50000,MATCH(478,'Raw Data'!$W$2:$W$50000,0)),"")</f>
        <v/>
      </c>
      <c r="C479" s="11" t="str">
        <f t="shared" si="7"/>
        <v/>
      </c>
      <c r="D479" s="11" t="str">
        <f>IF($B479="","",COUNTIFS('Raw Data'!$R$2:$R$50000,$B479))</f>
        <v/>
      </c>
      <c r="E479" s="11" t="str">
        <f>IF($B479="","",SUMIFS('Raw Data'!$I$2:$I$50000,'Raw Data'!$R$2:$R$50000,$B479))</f>
        <v/>
      </c>
      <c r="F479" s="11" t="str">
        <f>IF($B479="","",RANK($E479,$E$2:$E$1501)+COUNTIF($E$2:E479,$E479)-1)</f>
        <v/>
      </c>
      <c r="G479" s="11" t="str">
        <f>IF($B479="","",RANK($D479,$D$2:$D$1501)+COUNTIF($D$2:D479,$D479)-1)</f>
        <v/>
      </c>
    </row>
    <row r="480" spans="1:7">
      <c r="A480" s="11">
        <v>479</v>
      </c>
      <c r="B480" s="11" t="str">
        <f>IFERROR(INDEX('Raw Data'!$R$2:$R$50000,MATCH(479,'Raw Data'!$W$2:$W$50000,0)),"")</f>
        <v/>
      </c>
      <c r="C480" s="11" t="str">
        <f t="shared" si="7"/>
        <v/>
      </c>
      <c r="D480" s="11" t="str">
        <f>IF($B480="","",COUNTIFS('Raw Data'!$R$2:$R$50000,$B480))</f>
        <v/>
      </c>
      <c r="E480" s="11" t="str">
        <f>IF($B480="","",SUMIFS('Raw Data'!$I$2:$I$50000,'Raw Data'!$R$2:$R$50000,$B480))</f>
        <v/>
      </c>
      <c r="F480" s="11" t="str">
        <f>IF($B480="","",RANK($E480,$E$2:$E$1501)+COUNTIF($E$2:E480,$E480)-1)</f>
        <v/>
      </c>
      <c r="G480" s="11" t="str">
        <f>IF($B480="","",RANK($D480,$D$2:$D$1501)+COUNTIF($D$2:D480,$D480)-1)</f>
        <v/>
      </c>
    </row>
    <row r="481" spans="1:7">
      <c r="A481" s="11">
        <v>480</v>
      </c>
      <c r="B481" s="11" t="str">
        <f>IFERROR(INDEX('Raw Data'!$R$2:$R$50000,MATCH(480,'Raw Data'!$W$2:$W$50000,0)),"")</f>
        <v/>
      </c>
      <c r="C481" s="11" t="str">
        <f t="shared" si="7"/>
        <v/>
      </c>
      <c r="D481" s="11" t="str">
        <f>IF($B481="","",COUNTIFS('Raw Data'!$R$2:$R$50000,$B481))</f>
        <v/>
      </c>
      <c r="E481" s="11" t="str">
        <f>IF($B481="","",SUMIFS('Raw Data'!$I$2:$I$50000,'Raw Data'!$R$2:$R$50000,$B481))</f>
        <v/>
      </c>
      <c r="F481" s="11" t="str">
        <f>IF($B481="","",RANK($E481,$E$2:$E$1501)+COUNTIF($E$2:E481,$E481)-1)</f>
        <v/>
      </c>
      <c r="G481" s="11" t="str">
        <f>IF($B481="","",RANK($D481,$D$2:$D$1501)+COUNTIF($D$2:D481,$D481)-1)</f>
        <v/>
      </c>
    </row>
    <row r="482" spans="1:7">
      <c r="A482" s="11">
        <v>481</v>
      </c>
      <c r="B482" s="11" t="str">
        <f>IFERROR(INDEX('Raw Data'!$R$2:$R$50000,MATCH(481,'Raw Data'!$W$2:$W$50000,0)),"")</f>
        <v/>
      </c>
      <c r="C482" s="11" t="str">
        <f t="shared" si="7"/>
        <v/>
      </c>
      <c r="D482" s="11" t="str">
        <f>IF($B482="","",COUNTIFS('Raw Data'!$R$2:$R$50000,$B482))</f>
        <v/>
      </c>
      <c r="E482" s="11" t="str">
        <f>IF($B482="","",SUMIFS('Raw Data'!$I$2:$I$50000,'Raw Data'!$R$2:$R$50000,$B482))</f>
        <v/>
      </c>
      <c r="F482" s="11" t="str">
        <f>IF($B482="","",RANK($E482,$E$2:$E$1501)+COUNTIF($E$2:E482,$E482)-1)</f>
        <v/>
      </c>
      <c r="G482" s="11" t="str">
        <f>IF($B482="","",RANK($D482,$D$2:$D$1501)+COUNTIF($D$2:D482,$D482)-1)</f>
        <v/>
      </c>
    </row>
    <row r="483" spans="1:7">
      <c r="A483" s="11">
        <v>482</v>
      </c>
      <c r="B483" s="11" t="str">
        <f>IFERROR(INDEX('Raw Data'!$R$2:$R$50000,MATCH(482,'Raw Data'!$W$2:$W$50000,0)),"")</f>
        <v/>
      </c>
      <c r="C483" s="11" t="str">
        <f t="shared" si="7"/>
        <v/>
      </c>
      <c r="D483" s="11" t="str">
        <f>IF($B483="","",COUNTIFS('Raw Data'!$R$2:$R$50000,$B483))</f>
        <v/>
      </c>
      <c r="E483" s="11" t="str">
        <f>IF($B483="","",SUMIFS('Raw Data'!$I$2:$I$50000,'Raw Data'!$R$2:$R$50000,$B483))</f>
        <v/>
      </c>
      <c r="F483" s="11" t="str">
        <f>IF($B483="","",RANK($E483,$E$2:$E$1501)+COUNTIF($E$2:E483,$E483)-1)</f>
        <v/>
      </c>
      <c r="G483" s="11" t="str">
        <f>IF($B483="","",RANK($D483,$D$2:$D$1501)+COUNTIF($D$2:D483,$D483)-1)</f>
        <v/>
      </c>
    </row>
    <row r="484" spans="1:7">
      <c r="A484" s="11">
        <v>483</v>
      </c>
      <c r="B484" s="11" t="str">
        <f>IFERROR(INDEX('Raw Data'!$R$2:$R$50000,MATCH(483,'Raw Data'!$W$2:$W$50000,0)),"")</f>
        <v/>
      </c>
      <c r="C484" s="11" t="str">
        <f t="shared" si="7"/>
        <v/>
      </c>
      <c r="D484" s="11" t="str">
        <f>IF($B484="","",COUNTIFS('Raw Data'!$R$2:$R$50000,$B484))</f>
        <v/>
      </c>
      <c r="E484" s="11" t="str">
        <f>IF($B484="","",SUMIFS('Raw Data'!$I$2:$I$50000,'Raw Data'!$R$2:$R$50000,$B484))</f>
        <v/>
      </c>
      <c r="F484" s="11" t="str">
        <f>IF($B484="","",RANK($E484,$E$2:$E$1501)+COUNTIF($E$2:E484,$E484)-1)</f>
        <v/>
      </c>
      <c r="G484" s="11" t="str">
        <f>IF($B484="","",RANK($D484,$D$2:$D$1501)+COUNTIF($D$2:D484,$D484)-1)</f>
        <v/>
      </c>
    </row>
    <row r="485" spans="1:7">
      <c r="A485" s="11">
        <v>484</v>
      </c>
      <c r="B485" s="11" t="str">
        <f>IFERROR(INDEX('Raw Data'!$R$2:$R$50000,MATCH(484,'Raw Data'!$W$2:$W$50000,0)),"")</f>
        <v/>
      </c>
      <c r="C485" s="11" t="str">
        <f t="shared" si="7"/>
        <v/>
      </c>
      <c r="D485" s="11" t="str">
        <f>IF($B485="","",COUNTIFS('Raw Data'!$R$2:$R$50000,$B485))</f>
        <v/>
      </c>
      <c r="E485" s="11" t="str">
        <f>IF($B485="","",SUMIFS('Raw Data'!$I$2:$I$50000,'Raw Data'!$R$2:$R$50000,$B485))</f>
        <v/>
      </c>
      <c r="F485" s="11" t="str">
        <f>IF($B485="","",RANK($E485,$E$2:$E$1501)+COUNTIF($E$2:E485,$E485)-1)</f>
        <v/>
      </c>
      <c r="G485" s="11" t="str">
        <f>IF($B485="","",RANK($D485,$D$2:$D$1501)+COUNTIF($D$2:D485,$D485)-1)</f>
        <v/>
      </c>
    </row>
    <row r="486" spans="1:7">
      <c r="A486" s="11">
        <v>485</v>
      </c>
      <c r="B486" s="11" t="str">
        <f>IFERROR(INDEX('Raw Data'!$R$2:$R$50000,MATCH(485,'Raw Data'!$W$2:$W$50000,0)),"")</f>
        <v/>
      </c>
      <c r="C486" s="11" t="str">
        <f t="shared" si="7"/>
        <v/>
      </c>
      <c r="D486" s="11" t="str">
        <f>IF($B486="","",COUNTIFS('Raw Data'!$R$2:$R$50000,$B486))</f>
        <v/>
      </c>
      <c r="E486" s="11" t="str">
        <f>IF($B486="","",SUMIFS('Raw Data'!$I$2:$I$50000,'Raw Data'!$R$2:$R$50000,$B486))</f>
        <v/>
      </c>
      <c r="F486" s="11" t="str">
        <f>IF($B486="","",RANK($E486,$E$2:$E$1501)+COUNTIF($E$2:E486,$E486)-1)</f>
        <v/>
      </c>
      <c r="G486" s="11" t="str">
        <f>IF($B486="","",RANK($D486,$D$2:$D$1501)+COUNTIF($D$2:D486,$D486)-1)</f>
        <v/>
      </c>
    </row>
    <row r="487" spans="1:7">
      <c r="A487" s="11">
        <v>486</v>
      </c>
      <c r="B487" s="11" t="str">
        <f>IFERROR(INDEX('Raw Data'!$R$2:$R$50000,MATCH(486,'Raw Data'!$W$2:$W$50000,0)),"")</f>
        <v/>
      </c>
      <c r="C487" s="11" t="str">
        <f t="shared" si="7"/>
        <v/>
      </c>
      <c r="D487" s="11" t="str">
        <f>IF($B487="","",COUNTIFS('Raw Data'!$R$2:$R$50000,$B487))</f>
        <v/>
      </c>
      <c r="E487" s="11" t="str">
        <f>IF($B487="","",SUMIFS('Raw Data'!$I$2:$I$50000,'Raw Data'!$R$2:$R$50000,$B487))</f>
        <v/>
      </c>
      <c r="F487" s="11" t="str">
        <f>IF($B487="","",RANK($E487,$E$2:$E$1501)+COUNTIF($E$2:E487,$E487)-1)</f>
        <v/>
      </c>
      <c r="G487" s="11" t="str">
        <f>IF($B487="","",RANK($D487,$D$2:$D$1501)+COUNTIF($D$2:D487,$D487)-1)</f>
        <v/>
      </c>
    </row>
    <row r="488" spans="1:7">
      <c r="A488" s="11">
        <v>487</v>
      </c>
      <c r="B488" s="11" t="str">
        <f>IFERROR(INDEX('Raw Data'!$R$2:$R$50000,MATCH(487,'Raw Data'!$W$2:$W$50000,0)),"")</f>
        <v/>
      </c>
      <c r="C488" s="11" t="str">
        <f t="shared" si="7"/>
        <v/>
      </c>
      <c r="D488" s="11" t="str">
        <f>IF($B488="","",COUNTIFS('Raw Data'!$R$2:$R$50000,$B488))</f>
        <v/>
      </c>
      <c r="E488" s="11" t="str">
        <f>IF($B488="","",SUMIFS('Raw Data'!$I$2:$I$50000,'Raw Data'!$R$2:$R$50000,$B488))</f>
        <v/>
      </c>
      <c r="F488" s="11" t="str">
        <f>IF($B488="","",RANK($E488,$E$2:$E$1501)+COUNTIF($E$2:E488,$E488)-1)</f>
        <v/>
      </c>
      <c r="G488" s="11" t="str">
        <f>IF($B488="","",RANK($D488,$D$2:$D$1501)+COUNTIF($D$2:D488,$D488)-1)</f>
        <v/>
      </c>
    </row>
    <row r="489" spans="1:7">
      <c r="A489" s="11">
        <v>488</v>
      </c>
      <c r="B489" s="11" t="str">
        <f>IFERROR(INDEX('Raw Data'!$R$2:$R$50000,MATCH(488,'Raw Data'!$W$2:$W$50000,0)),"")</f>
        <v/>
      </c>
      <c r="C489" s="11" t="str">
        <f t="shared" si="7"/>
        <v/>
      </c>
      <c r="D489" s="11" t="str">
        <f>IF($B489="","",COUNTIFS('Raw Data'!$R$2:$R$50000,$B489))</f>
        <v/>
      </c>
      <c r="E489" s="11" t="str">
        <f>IF($B489="","",SUMIFS('Raw Data'!$I$2:$I$50000,'Raw Data'!$R$2:$R$50000,$B489))</f>
        <v/>
      </c>
      <c r="F489" s="11" t="str">
        <f>IF($B489="","",RANK($E489,$E$2:$E$1501)+COUNTIF($E$2:E489,$E489)-1)</f>
        <v/>
      </c>
      <c r="G489" s="11" t="str">
        <f>IF($B489="","",RANK($D489,$D$2:$D$1501)+COUNTIF($D$2:D489,$D489)-1)</f>
        <v/>
      </c>
    </row>
    <row r="490" spans="1:7">
      <c r="A490" s="11">
        <v>489</v>
      </c>
      <c r="B490" s="11" t="str">
        <f>IFERROR(INDEX('Raw Data'!$R$2:$R$50000,MATCH(489,'Raw Data'!$W$2:$W$50000,0)),"")</f>
        <v/>
      </c>
      <c r="C490" s="11" t="str">
        <f t="shared" si="7"/>
        <v/>
      </c>
      <c r="D490" s="11" t="str">
        <f>IF($B490="","",COUNTIFS('Raw Data'!$R$2:$R$50000,$B490))</f>
        <v/>
      </c>
      <c r="E490" s="11" t="str">
        <f>IF($B490="","",SUMIFS('Raw Data'!$I$2:$I$50000,'Raw Data'!$R$2:$R$50000,$B490))</f>
        <v/>
      </c>
      <c r="F490" s="11" t="str">
        <f>IF($B490="","",RANK($E490,$E$2:$E$1501)+COUNTIF($E$2:E490,$E490)-1)</f>
        <v/>
      </c>
      <c r="G490" s="11" t="str">
        <f>IF($B490="","",RANK($D490,$D$2:$D$1501)+COUNTIF($D$2:D490,$D490)-1)</f>
        <v/>
      </c>
    </row>
    <row r="491" spans="1:7">
      <c r="A491" s="11">
        <v>490</v>
      </c>
      <c r="B491" s="11" t="str">
        <f>IFERROR(INDEX('Raw Data'!$R$2:$R$50000,MATCH(490,'Raw Data'!$W$2:$W$50000,0)),"")</f>
        <v/>
      </c>
      <c r="C491" s="11" t="str">
        <f t="shared" si="7"/>
        <v/>
      </c>
      <c r="D491" s="11" t="str">
        <f>IF($B491="","",COUNTIFS('Raw Data'!$R$2:$R$50000,$B491))</f>
        <v/>
      </c>
      <c r="E491" s="11" t="str">
        <f>IF($B491="","",SUMIFS('Raw Data'!$I$2:$I$50000,'Raw Data'!$R$2:$R$50000,$B491))</f>
        <v/>
      </c>
      <c r="F491" s="11" t="str">
        <f>IF($B491="","",RANK($E491,$E$2:$E$1501)+COUNTIF($E$2:E491,$E491)-1)</f>
        <v/>
      </c>
      <c r="G491" s="11" t="str">
        <f>IF($B491="","",RANK($D491,$D$2:$D$1501)+COUNTIF($D$2:D491,$D491)-1)</f>
        <v/>
      </c>
    </row>
    <row r="492" spans="1:7">
      <c r="A492" s="11">
        <v>491</v>
      </c>
      <c r="B492" s="11" t="str">
        <f>IFERROR(INDEX('Raw Data'!$R$2:$R$50000,MATCH(491,'Raw Data'!$W$2:$W$50000,0)),"")</f>
        <v/>
      </c>
      <c r="C492" s="11" t="str">
        <f t="shared" si="7"/>
        <v/>
      </c>
      <c r="D492" s="11" t="str">
        <f>IF($B492="","",COUNTIFS('Raw Data'!$R$2:$R$50000,$B492))</f>
        <v/>
      </c>
      <c r="E492" s="11" t="str">
        <f>IF($B492="","",SUMIFS('Raw Data'!$I$2:$I$50000,'Raw Data'!$R$2:$R$50000,$B492))</f>
        <v/>
      </c>
      <c r="F492" s="11" t="str">
        <f>IF($B492="","",RANK($E492,$E$2:$E$1501)+COUNTIF($E$2:E492,$E492)-1)</f>
        <v/>
      </c>
      <c r="G492" s="11" t="str">
        <f>IF($B492="","",RANK($D492,$D$2:$D$1501)+COUNTIF($D$2:D492,$D492)-1)</f>
        <v/>
      </c>
    </row>
    <row r="493" spans="1:7">
      <c r="A493" s="11">
        <v>492</v>
      </c>
      <c r="B493" s="11" t="str">
        <f>IFERROR(INDEX('Raw Data'!$R$2:$R$50000,MATCH(492,'Raw Data'!$W$2:$W$50000,0)),"")</f>
        <v/>
      </c>
      <c r="C493" s="11" t="str">
        <f t="shared" si="7"/>
        <v/>
      </c>
      <c r="D493" s="11" t="str">
        <f>IF($B493="","",COUNTIFS('Raw Data'!$R$2:$R$50000,$B493))</f>
        <v/>
      </c>
      <c r="E493" s="11" t="str">
        <f>IF($B493="","",SUMIFS('Raw Data'!$I$2:$I$50000,'Raw Data'!$R$2:$R$50000,$B493))</f>
        <v/>
      </c>
      <c r="F493" s="11" t="str">
        <f>IF($B493="","",RANK($E493,$E$2:$E$1501)+COUNTIF($E$2:E493,$E493)-1)</f>
        <v/>
      </c>
      <c r="G493" s="11" t="str">
        <f>IF($B493="","",RANK($D493,$D$2:$D$1501)+COUNTIF($D$2:D493,$D493)-1)</f>
        <v/>
      </c>
    </row>
    <row r="494" spans="1:7">
      <c r="A494" s="11">
        <v>493</v>
      </c>
      <c r="B494" s="11" t="str">
        <f>IFERROR(INDEX('Raw Data'!$R$2:$R$50000,MATCH(493,'Raw Data'!$W$2:$W$50000,0)),"")</f>
        <v/>
      </c>
      <c r="C494" s="11" t="str">
        <f t="shared" si="7"/>
        <v/>
      </c>
      <c r="D494" s="11" t="str">
        <f>IF($B494="","",COUNTIFS('Raw Data'!$R$2:$R$50000,$B494))</f>
        <v/>
      </c>
      <c r="E494" s="11" t="str">
        <f>IF($B494="","",SUMIFS('Raw Data'!$I$2:$I$50000,'Raw Data'!$R$2:$R$50000,$B494))</f>
        <v/>
      </c>
      <c r="F494" s="11" t="str">
        <f>IF($B494="","",RANK($E494,$E$2:$E$1501)+COUNTIF($E$2:E494,$E494)-1)</f>
        <v/>
      </c>
      <c r="G494" s="11" t="str">
        <f>IF($B494="","",RANK($D494,$D$2:$D$1501)+COUNTIF($D$2:D494,$D494)-1)</f>
        <v/>
      </c>
    </row>
    <row r="495" spans="1:7">
      <c r="A495" s="11">
        <v>494</v>
      </c>
      <c r="B495" s="11" t="str">
        <f>IFERROR(INDEX('Raw Data'!$R$2:$R$50000,MATCH(494,'Raw Data'!$W$2:$W$50000,0)),"")</f>
        <v/>
      </c>
      <c r="C495" s="11" t="str">
        <f t="shared" si="7"/>
        <v/>
      </c>
      <c r="D495" s="11" t="str">
        <f>IF($B495="","",COUNTIFS('Raw Data'!$R$2:$R$50000,$B495))</f>
        <v/>
      </c>
      <c r="E495" s="11" t="str">
        <f>IF($B495="","",SUMIFS('Raw Data'!$I$2:$I$50000,'Raw Data'!$R$2:$R$50000,$B495))</f>
        <v/>
      </c>
      <c r="F495" s="11" t="str">
        <f>IF($B495="","",RANK($E495,$E$2:$E$1501)+COUNTIF($E$2:E495,$E495)-1)</f>
        <v/>
      </c>
      <c r="G495" s="11" t="str">
        <f>IF($B495="","",RANK($D495,$D$2:$D$1501)+COUNTIF($D$2:D495,$D495)-1)</f>
        <v/>
      </c>
    </row>
    <row r="496" spans="1:7">
      <c r="A496" s="11">
        <v>495</v>
      </c>
      <c r="B496" s="11" t="str">
        <f>IFERROR(INDEX('Raw Data'!$R$2:$R$50000,MATCH(495,'Raw Data'!$W$2:$W$50000,0)),"")</f>
        <v/>
      </c>
      <c r="C496" s="11" t="str">
        <f t="shared" si="7"/>
        <v/>
      </c>
      <c r="D496" s="11" t="str">
        <f>IF($B496="","",COUNTIFS('Raw Data'!$R$2:$R$50000,$B496))</f>
        <v/>
      </c>
      <c r="E496" s="11" t="str">
        <f>IF($B496="","",SUMIFS('Raw Data'!$I$2:$I$50000,'Raw Data'!$R$2:$R$50000,$B496))</f>
        <v/>
      </c>
      <c r="F496" s="11" t="str">
        <f>IF($B496="","",RANK($E496,$E$2:$E$1501)+COUNTIF($E$2:E496,$E496)-1)</f>
        <v/>
      </c>
      <c r="G496" s="11" t="str">
        <f>IF($B496="","",RANK($D496,$D$2:$D$1501)+COUNTIF($D$2:D496,$D496)-1)</f>
        <v/>
      </c>
    </row>
    <row r="497" spans="1:7">
      <c r="A497" s="11">
        <v>496</v>
      </c>
      <c r="B497" s="11" t="str">
        <f>IFERROR(INDEX('Raw Data'!$R$2:$R$50000,MATCH(496,'Raw Data'!$W$2:$W$50000,0)),"")</f>
        <v/>
      </c>
      <c r="C497" s="11" t="str">
        <f t="shared" si="7"/>
        <v/>
      </c>
      <c r="D497" s="11" t="str">
        <f>IF($B497="","",COUNTIFS('Raw Data'!$R$2:$R$50000,$B497))</f>
        <v/>
      </c>
      <c r="E497" s="11" t="str">
        <f>IF($B497="","",SUMIFS('Raw Data'!$I$2:$I$50000,'Raw Data'!$R$2:$R$50000,$B497))</f>
        <v/>
      </c>
      <c r="F497" s="11" t="str">
        <f>IF($B497="","",RANK($E497,$E$2:$E$1501)+COUNTIF($E$2:E497,$E497)-1)</f>
        <v/>
      </c>
      <c r="G497" s="11" t="str">
        <f>IF($B497="","",RANK($D497,$D$2:$D$1501)+COUNTIF($D$2:D497,$D497)-1)</f>
        <v/>
      </c>
    </row>
    <row r="498" spans="1:7">
      <c r="A498" s="11">
        <v>497</v>
      </c>
      <c r="B498" s="11" t="str">
        <f>IFERROR(INDEX('Raw Data'!$R$2:$R$50000,MATCH(497,'Raw Data'!$W$2:$W$50000,0)),"")</f>
        <v/>
      </c>
      <c r="C498" s="11" t="str">
        <f t="shared" si="7"/>
        <v/>
      </c>
      <c r="D498" s="11" t="str">
        <f>IF($B498="","",COUNTIFS('Raw Data'!$R$2:$R$50000,$B498))</f>
        <v/>
      </c>
      <c r="E498" s="11" t="str">
        <f>IF($B498="","",SUMIFS('Raw Data'!$I$2:$I$50000,'Raw Data'!$R$2:$R$50000,$B498))</f>
        <v/>
      </c>
      <c r="F498" s="11" t="str">
        <f>IF($B498="","",RANK($E498,$E$2:$E$1501)+COUNTIF($E$2:E498,$E498)-1)</f>
        <v/>
      </c>
      <c r="G498" s="11" t="str">
        <f>IF($B498="","",RANK($D498,$D$2:$D$1501)+COUNTIF($D$2:D498,$D498)-1)</f>
        <v/>
      </c>
    </row>
    <row r="499" spans="1:7">
      <c r="A499" s="11">
        <v>498</v>
      </c>
      <c r="B499" s="11" t="str">
        <f>IFERROR(INDEX('Raw Data'!$R$2:$R$50000,MATCH(498,'Raw Data'!$W$2:$W$50000,0)),"")</f>
        <v/>
      </c>
      <c r="C499" s="11" t="str">
        <f t="shared" si="7"/>
        <v/>
      </c>
      <c r="D499" s="11" t="str">
        <f>IF($B499="","",COUNTIFS('Raw Data'!$R$2:$R$50000,$B499))</f>
        <v/>
      </c>
      <c r="E499" s="11" t="str">
        <f>IF($B499="","",SUMIFS('Raw Data'!$I$2:$I$50000,'Raw Data'!$R$2:$R$50000,$B499))</f>
        <v/>
      </c>
      <c r="F499" s="11" t="str">
        <f>IF($B499="","",RANK($E499,$E$2:$E$1501)+COUNTIF($E$2:E499,$E499)-1)</f>
        <v/>
      </c>
      <c r="G499" s="11" t="str">
        <f>IF($B499="","",RANK($D499,$D$2:$D$1501)+COUNTIF($D$2:D499,$D499)-1)</f>
        <v/>
      </c>
    </row>
    <row r="500" spans="1:7">
      <c r="A500" s="11">
        <v>499</v>
      </c>
      <c r="B500" s="11" t="str">
        <f>IFERROR(INDEX('Raw Data'!$R$2:$R$50000,MATCH(499,'Raw Data'!$W$2:$W$50000,0)),"")</f>
        <v/>
      </c>
      <c r="C500" s="11" t="str">
        <f t="shared" si="7"/>
        <v/>
      </c>
      <c r="D500" s="11" t="str">
        <f>IF($B500="","",COUNTIFS('Raw Data'!$R$2:$R$50000,$B500))</f>
        <v/>
      </c>
      <c r="E500" s="11" t="str">
        <f>IF($B500="","",SUMIFS('Raw Data'!$I$2:$I$50000,'Raw Data'!$R$2:$R$50000,$B500))</f>
        <v/>
      </c>
      <c r="F500" s="11" t="str">
        <f>IF($B500="","",RANK($E500,$E$2:$E$1501)+COUNTIF($E$2:E500,$E500)-1)</f>
        <v/>
      </c>
      <c r="G500" s="11" t="str">
        <f>IF($B500="","",RANK($D500,$D$2:$D$1501)+COUNTIF($D$2:D500,$D500)-1)</f>
        <v/>
      </c>
    </row>
    <row r="501" spans="1:7">
      <c r="A501" s="11">
        <v>500</v>
      </c>
      <c r="B501" s="11" t="str">
        <f>IFERROR(INDEX('Raw Data'!$R$2:$R$50000,MATCH(500,'Raw Data'!$W$2:$W$50000,0)),"")</f>
        <v/>
      </c>
      <c r="C501" s="11" t="str">
        <f t="shared" si="7"/>
        <v/>
      </c>
      <c r="D501" s="11" t="str">
        <f>IF($B501="","",COUNTIFS('Raw Data'!$R$2:$R$50000,$B501))</f>
        <v/>
      </c>
      <c r="E501" s="11" t="str">
        <f>IF($B501="","",SUMIFS('Raw Data'!$I$2:$I$50000,'Raw Data'!$R$2:$R$50000,$B501))</f>
        <v/>
      </c>
      <c r="F501" s="11" t="str">
        <f>IF($B501="","",RANK($E501,$E$2:$E$1501)+COUNTIF($E$2:E501,$E501)-1)</f>
        <v/>
      </c>
      <c r="G501" s="11" t="str">
        <f>IF($B501="","",RANK($D501,$D$2:$D$1501)+COUNTIF($D$2:D501,$D501)-1)</f>
        <v/>
      </c>
    </row>
    <row r="502" spans="1:7">
      <c r="A502" s="11">
        <v>501</v>
      </c>
      <c r="B502" s="11" t="str">
        <f>IFERROR(INDEX('Raw Data'!$R$2:$R$50000,MATCH(501,'Raw Data'!$W$2:$W$50000,0)),"")</f>
        <v/>
      </c>
      <c r="C502" s="11" t="str">
        <f t="shared" si="7"/>
        <v/>
      </c>
      <c r="D502" s="11" t="str">
        <f>IF($B502="","",COUNTIFS('Raw Data'!$R$2:$R$50000,$B502))</f>
        <v/>
      </c>
      <c r="E502" s="11" t="str">
        <f>IF($B502="","",SUMIFS('Raw Data'!$I$2:$I$50000,'Raw Data'!$R$2:$R$50000,$B502))</f>
        <v/>
      </c>
      <c r="F502" s="11" t="str">
        <f>IF($B502="","",RANK($E502,$E$2:$E$1501)+COUNTIF($E$2:E502,$E502)-1)</f>
        <v/>
      </c>
      <c r="G502" s="11" t="str">
        <f>IF($B502="","",RANK($D502,$D$2:$D$1501)+COUNTIF($D$2:D502,$D502)-1)</f>
        <v/>
      </c>
    </row>
    <row r="503" spans="1:7">
      <c r="A503" s="11">
        <v>502</v>
      </c>
      <c r="B503" s="11" t="str">
        <f>IFERROR(INDEX('Raw Data'!$R$2:$R$50000,MATCH(502,'Raw Data'!$W$2:$W$50000,0)),"")</f>
        <v/>
      </c>
      <c r="C503" s="11" t="str">
        <f t="shared" si="7"/>
        <v/>
      </c>
      <c r="D503" s="11" t="str">
        <f>IF($B503="","",COUNTIFS('Raw Data'!$R$2:$R$50000,$B503))</f>
        <v/>
      </c>
      <c r="E503" s="11" t="str">
        <f>IF($B503="","",SUMIFS('Raw Data'!$I$2:$I$50000,'Raw Data'!$R$2:$R$50000,$B503))</f>
        <v/>
      </c>
      <c r="F503" s="11" t="str">
        <f>IF($B503="","",RANK($E503,$E$2:$E$1501)+COUNTIF($E$2:E503,$E503)-1)</f>
        <v/>
      </c>
      <c r="G503" s="11" t="str">
        <f>IF($B503="","",RANK($D503,$D$2:$D$1501)+COUNTIF($D$2:D503,$D503)-1)</f>
        <v/>
      </c>
    </row>
    <row r="504" spans="1:7">
      <c r="A504" s="11">
        <v>503</v>
      </c>
      <c r="B504" s="11" t="str">
        <f>IFERROR(INDEX('Raw Data'!$R$2:$R$50000,MATCH(503,'Raw Data'!$W$2:$W$50000,0)),"")</f>
        <v/>
      </c>
      <c r="C504" s="11" t="str">
        <f t="shared" si="7"/>
        <v/>
      </c>
      <c r="D504" s="11" t="str">
        <f>IF($B504="","",COUNTIFS('Raw Data'!$R$2:$R$50000,$B504))</f>
        <v/>
      </c>
      <c r="E504" s="11" t="str">
        <f>IF($B504="","",SUMIFS('Raw Data'!$I$2:$I$50000,'Raw Data'!$R$2:$R$50000,$B504))</f>
        <v/>
      </c>
      <c r="F504" s="11" t="str">
        <f>IF($B504="","",RANK($E504,$E$2:$E$1501)+COUNTIF($E$2:E504,$E504)-1)</f>
        <v/>
      </c>
      <c r="G504" s="11" t="str">
        <f>IF($B504="","",RANK($D504,$D$2:$D$1501)+COUNTIF($D$2:D504,$D504)-1)</f>
        <v/>
      </c>
    </row>
    <row r="505" spans="1:7">
      <c r="A505" s="11">
        <v>504</v>
      </c>
      <c r="B505" s="11" t="str">
        <f>IFERROR(INDEX('Raw Data'!$R$2:$R$50000,MATCH(504,'Raw Data'!$W$2:$W$50000,0)),"")</f>
        <v/>
      </c>
      <c r="C505" s="11" t="str">
        <f t="shared" si="7"/>
        <v/>
      </c>
      <c r="D505" s="11" t="str">
        <f>IF($B505="","",COUNTIFS('Raw Data'!$R$2:$R$50000,$B505))</f>
        <v/>
      </c>
      <c r="E505" s="11" t="str">
        <f>IF($B505="","",SUMIFS('Raw Data'!$I$2:$I$50000,'Raw Data'!$R$2:$R$50000,$B505))</f>
        <v/>
      </c>
      <c r="F505" s="11" t="str">
        <f>IF($B505="","",RANK($E505,$E$2:$E$1501)+COUNTIF($E$2:E505,$E505)-1)</f>
        <v/>
      </c>
      <c r="G505" s="11" t="str">
        <f>IF($B505="","",RANK($D505,$D$2:$D$1501)+COUNTIF($D$2:D505,$D505)-1)</f>
        <v/>
      </c>
    </row>
    <row r="506" spans="1:7">
      <c r="A506" s="11">
        <v>505</v>
      </c>
      <c r="B506" s="11" t="str">
        <f>IFERROR(INDEX('Raw Data'!$R$2:$R$50000,MATCH(505,'Raw Data'!$W$2:$W$50000,0)),"")</f>
        <v/>
      </c>
      <c r="C506" s="11" t="str">
        <f t="shared" si="7"/>
        <v/>
      </c>
      <c r="D506" s="11" t="str">
        <f>IF($B506="","",COUNTIFS('Raw Data'!$R$2:$R$50000,$B506))</f>
        <v/>
      </c>
      <c r="E506" s="11" t="str">
        <f>IF($B506="","",SUMIFS('Raw Data'!$I$2:$I$50000,'Raw Data'!$R$2:$R$50000,$B506))</f>
        <v/>
      </c>
      <c r="F506" s="11" t="str">
        <f>IF($B506="","",RANK($E506,$E$2:$E$1501)+COUNTIF($E$2:E506,$E506)-1)</f>
        <v/>
      </c>
      <c r="G506" s="11" t="str">
        <f>IF($B506="","",RANK($D506,$D$2:$D$1501)+COUNTIF($D$2:D506,$D506)-1)</f>
        <v/>
      </c>
    </row>
    <row r="507" spans="1:7">
      <c r="A507" s="11">
        <v>506</v>
      </c>
      <c r="B507" s="11" t="str">
        <f>IFERROR(INDEX('Raw Data'!$R$2:$R$50000,MATCH(506,'Raw Data'!$W$2:$W$50000,0)),"")</f>
        <v/>
      </c>
      <c r="C507" s="11" t="str">
        <f t="shared" si="7"/>
        <v/>
      </c>
      <c r="D507" s="11" t="str">
        <f>IF($B507="","",COUNTIFS('Raw Data'!$R$2:$R$50000,$B507))</f>
        <v/>
      </c>
      <c r="E507" s="11" t="str">
        <f>IF($B507="","",SUMIFS('Raw Data'!$I$2:$I$50000,'Raw Data'!$R$2:$R$50000,$B507))</f>
        <v/>
      </c>
      <c r="F507" s="11" t="str">
        <f>IF($B507="","",RANK($E507,$E$2:$E$1501)+COUNTIF($E$2:E507,$E507)-1)</f>
        <v/>
      </c>
      <c r="G507" s="11" t="str">
        <f>IF($B507="","",RANK($D507,$D$2:$D$1501)+COUNTIF($D$2:D507,$D507)-1)</f>
        <v/>
      </c>
    </row>
    <row r="508" spans="1:7">
      <c r="A508" s="11">
        <v>507</v>
      </c>
      <c r="B508" s="11" t="str">
        <f>IFERROR(INDEX('Raw Data'!$R$2:$R$50000,MATCH(507,'Raw Data'!$W$2:$W$50000,0)),"")</f>
        <v/>
      </c>
      <c r="C508" s="11" t="str">
        <f t="shared" si="7"/>
        <v/>
      </c>
      <c r="D508" s="11" t="str">
        <f>IF($B508="","",COUNTIFS('Raw Data'!$R$2:$R$50000,$B508))</f>
        <v/>
      </c>
      <c r="E508" s="11" t="str">
        <f>IF($B508="","",SUMIFS('Raw Data'!$I$2:$I$50000,'Raw Data'!$R$2:$R$50000,$B508))</f>
        <v/>
      </c>
      <c r="F508" s="11" t="str">
        <f>IF($B508="","",RANK($E508,$E$2:$E$1501)+COUNTIF($E$2:E508,$E508)-1)</f>
        <v/>
      </c>
      <c r="G508" s="11" t="str">
        <f>IF($B508="","",RANK($D508,$D$2:$D$1501)+COUNTIF($D$2:D508,$D508)-1)</f>
        <v/>
      </c>
    </row>
    <row r="509" spans="1:7">
      <c r="A509" s="11">
        <v>508</v>
      </c>
      <c r="B509" s="11" t="str">
        <f>IFERROR(INDEX('Raw Data'!$R$2:$R$50000,MATCH(508,'Raw Data'!$W$2:$W$50000,0)),"")</f>
        <v/>
      </c>
      <c r="C509" s="11" t="str">
        <f t="shared" si="7"/>
        <v/>
      </c>
      <c r="D509" s="11" t="str">
        <f>IF($B509="","",COUNTIFS('Raw Data'!$R$2:$R$50000,$B509))</f>
        <v/>
      </c>
      <c r="E509" s="11" t="str">
        <f>IF($B509="","",SUMIFS('Raw Data'!$I$2:$I$50000,'Raw Data'!$R$2:$R$50000,$B509))</f>
        <v/>
      </c>
      <c r="F509" s="11" t="str">
        <f>IF($B509="","",RANK($E509,$E$2:$E$1501)+COUNTIF($E$2:E509,$E509)-1)</f>
        <v/>
      </c>
      <c r="G509" s="11" t="str">
        <f>IF($B509="","",RANK($D509,$D$2:$D$1501)+COUNTIF($D$2:D509,$D509)-1)</f>
        <v/>
      </c>
    </row>
    <row r="510" spans="1:7">
      <c r="A510" s="11">
        <v>509</v>
      </c>
      <c r="B510" s="11" t="str">
        <f>IFERROR(INDEX('Raw Data'!$R$2:$R$50000,MATCH(509,'Raw Data'!$W$2:$W$50000,0)),"")</f>
        <v/>
      </c>
      <c r="C510" s="11" t="str">
        <f t="shared" si="7"/>
        <v/>
      </c>
      <c r="D510" s="11" t="str">
        <f>IF($B510="","",COUNTIFS('Raw Data'!$R$2:$R$50000,$B510))</f>
        <v/>
      </c>
      <c r="E510" s="11" t="str">
        <f>IF($B510="","",SUMIFS('Raw Data'!$I$2:$I$50000,'Raw Data'!$R$2:$R$50000,$B510))</f>
        <v/>
      </c>
      <c r="F510" s="11" t="str">
        <f>IF($B510="","",RANK($E510,$E$2:$E$1501)+COUNTIF($E$2:E510,$E510)-1)</f>
        <v/>
      </c>
      <c r="G510" s="11" t="str">
        <f>IF($B510="","",RANK($D510,$D$2:$D$1501)+COUNTIF($D$2:D510,$D510)-1)</f>
        <v/>
      </c>
    </row>
    <row r="511" spans="1:7">
      <c r="A511" s="11">
        <v>510</v>
      </c>
      <c r="B511" s="11" t="str">
        <f>IFERROR(INDEX('Raw Data'!$R$2:$R$50000,MATCH(510,'Raw Data'!$W$2:$W$50000,0)),"")</f>
        <v/>
      </c>
      <c r="C511" s="11" t="str">
        <f t="shared" si="7"/>
        <v/>
      </c>
      <c r="D511" s="11" t="str">
        <f>IF($B511="","",COUNTIFS('Raw Data'!$R$2:$R$50000,$B511))</f>
        <v/>
      </c>
      <c r="E511" s="11" t="str">
        <f>IF($B511="","",SUMIFS('Raw Data'!$I$2:$I$50000,'Raw Data'!$R$2:$R$50000,$B511))</f>
        <v/>
      </c>
      <c r="F511" s="11" t="str">
        <f>IF($B511="","",RANK($E511,$E$2:$E$1501)+COUNTIF($E$2:E511,$E511)-1)</f>
        <v/>
      </c>
      <c r="G511" s="11" t="str">
        <f>IF($B511="","",RANK($D511,$D$2:$D$1501)+COUNTIF($D$2:D511,$D511)-1)</f>
        <v/>
      </c>
    </row>
    <row r="512" spans="1:7">
      <c r="A512" s="11">
        <v>511</v>
      </c>
      <c r="B512" s="11" t="str">
        <f>IFERROR(INDEX('Raw Data'!$R$2:$R$50000,MATCH(511,'Raw Data'!$W$2:$W$50000,0)),"")</f>
        <v/>
      </c>
      <c r="C512" s="11" t="str">
        <f t="shared" si="7"/>
        <v/>
      </c>
      <c r="D512" s="11" t="str">
        <f>IF($B512="","",COUNTIFS('Raw Data'!$R$2:$R$50000,$B512))</f>
        <v/>
      </c>
      <c r="E512" s="11" t="str">
        <f>IF($B512="","",SUMIFS('Raw Data'!$I$2:$I$50000,'Raw Data'!$R$2:$R$50000,$B512))</f>
        <v/>
      </c>
      <c r="F512" s="11" t="str">
        <f>IF($B512="","",RANK($E512,$E$2:$E$1501)+COUNTIF($E$2:E512,$E512)-1)</f>
        <v/>
      </c>
      <c r="G512" s="11" t="str">
        <f>IF($B512="","",RANK($D512,$D$2:$D$1501)+COUNTIF($D$2:D512,$D512)-1)</f>
        <v/>
      </c>
    </row>
    <row r="513" spans="1:7">
      <c r="A513" s="11">
        <v>512</v>
      </c>
      <c r="B513" s="11" t="str">
        <f>IFERROR(INDEX('Raw Data'!$R$2:$R$50000,MATCH(512,'Raw Data'!$W$2:$W$50000,0)),"")</f>
        <v/>
      </c>
      <c r="C513" s="11" t="str">
        <f t="shared" si="7"/>
        <v/>
      </c>
      <c r="D513" s="11" t="str">
        <f>IF($B513="","",COUNTIFS('Raw Data'!$R$2:$R$50000,$B513))</f>
        <v/>
      </c>
      <c r="E513" s="11" t="str">
        <f>IF($B513="","",SUMIFS('Raw Data'!$I$2:$I$50000,'Raw Data'!$R$2:$R$50000,$B513))</f>
        <v/>
      </c>
      <c r="F513" s="11" t="str">
        <f>IF($B513="","",RANK($E513,$E$2:$E$1501)+COUNTIF($E$2:E513,$E513)-1)</f>
        <v/>
      </c>
      <c r="G513" s="11" t="str">
        <f>IF($B513="","",RANK($D513,$D$2:$D$1501)+COUNTIF($D$2:D513,$D513)-1)</f>
        <v/>
      </c>
    </row>
    <row r="514" spans="1:7">
      <c r="A514" s="11">
        <v>513</v>
      </c>
      <c r="B514" s="11" t="str">
        <f>IFERROR(INDEX('Raw Data'!$R$2:$R$50000,MATCH(513,'Raw Data'!$W$2:$W$50000,0)),"")</f>
        <v/>
      </c>
      <c r="C514" s="11" t="str">
        <f t="shared" ref="C514:C577" si="8">IF($B514="","",$B514)</f>
        <v/>
      </c>
      <c r="D514" s="11" t="str">
        <f>IF($B514="","",COUNTIFS('Raw Data'!$R$2:$R$50000,$B514))</f>
        <v/>
      </c>
      <c r="E514" s="11" t="str">
        <f>IF($B514="","",SUMIFS('Raw Data'!$I$2:$I$50000,'Raw Data'!$R$2:$R$50000,$B514))</f>
        <v/>
      </c>
      <c r="F514" s="11" t="str">
        <f>IF($B514="","",RANK($E514,$E$2:$E$1501)+COUNTIF($E$2:E514,$E514)-1)</f>
        <v/>
      </c>
      <c r="G514" s="11" t="str">
        <f>IF($B514="","",RANK($D514,$D$2:$D$1501)+COUNTIF($D$2:D514,$D514)-1)</f>
        <v/>
      </c>
    </row>
    <row r="515" spans="1:7">
      <c r="A515" s="11">
        <v>514</v>
      </c>
      <c r="B515" s="11" t="str">
        <f>IFERROR(INDEX('Raw Data'!$R$2:$R$50000,MATCH(514,'Raw Data'!$W$2:$W$50000,0)),"")</f>
        <v/>
      </c>
      <c r="C515" s="11" t="str">
        <f t="shared" si="8"/>
        <v/>
      </c>
      <c r="D515" s="11" t="str">
        <f>IF($B515="","",COUNTIFS('Raw Data'!$R$2:$R$50000,$B515))</f>
        <v/>
      </c>
      <c r="E515" s="11" t="str">
        <f>IF($B515="","",SUMIFS('Raw Data'!$I$2:$I$50000,'Raw Data'!$R$2:$R$50000,$B515))</f>
        <v/>
      </c>
      <c r="F515" s="11" t="str">
        <f>IF($B515="","",RANK($E515,$E$2:$E$1501)+COUNTIF($E$2:E515,$E515)-1)</f>
        <v/>
      </c>
      <c r="G515" s="11" t="str">
        <f>IF($B515="","",RANK($D515,$D$2:$D$1501)+COUNTIF($D$2:D515,$D515)-1)</f>
        <v/>
      </c>
    </row>
    <row r="516" spans="1:7">
      <c r="A516" s="11">
        <v>515</v>
      </c>
      <c r="B516" s="11" t="str">
        <f>IFERROR(INDEX('Raw Data'!$R$2:$R$50000,MATCH(515,'Raw Data'!$W$2:$W$50000,0)),"")</f>
        <v/>
      </c>
      <c r="C516" s="11" t="str">
        <f t="shared" si="8"/>
        <v/>
      </c>
      <c r="D516" s="11" t="str">
        <f>IF($B516="","",COUNTIFS('Raw Data'!$R$2:$R$50000,$B516))</f>
        <v/>
      </c>
      <c r="E516" s="11" t="str">
        <f>IF($B516="","",SUMIFS('Raw Data'!$I$2:$I$50000,'Raw Data'!$R$2:$R$50000,$B516))</f>
        <v/>
      </c>
      <c r="F516" s="11" t="str">
        <f>IF($B516="","",RANK($E516,$E$2:$E$1501)+COUNTIF($E$2:E516,$E516)-1)</f>
        <v/>
      </c>
      <c r="G516" s="11" t="str">
        <f>IF($B516="","",RANK($D516,$D$2:$D$1501)+COUNTIF($D$2:D516,$D516)-1)</f>
        <v/>
      </c>
    </row>
    <row r="517" spans="1:7">
      <c r="A517" s="11">
        <v>516</v>
      </c>
      <c r="B517" s="11" t="str">
        <f>IFERROR(INDEX('Raw Data'!$R$2:$R$50000,MATCH(516,'Raw Data'!$W$2:$W$50000,0)),"")</f>
        <v/>
      </c>
      <c r="C517" s="11" t="str">
        <f t="shared" si="8"/>
        <v/>
      </c>
      <c r="D517" s="11" t="str">
        <f>IF($B517="","",COUNTIFS('Raw Data'!$R$2:$R$50000,$B517))</f>
        <v/>
      </c>
      <c r="E517" s="11" t="str">
        <f>IF($B517="","",SUMIFS('Raw Data'!$I$2:$I$50000,'Raw Data'!$R$2:$R$50000,$B517))</f>
        <v/>
      </c>
      <c r="F517" s="11" t="str">
        <f>IF($B517="","",RANK($E517,$E$2:$E$1501)+COUNTIF($E$2:E517,$E517)-1)</f>
        <v/>
      </c>
      <c r="G517" s="11" t="str">
        <f>IF($B517="","",RANK($D517,$D$2:$D$1501)+COUNTIF($D$2:D517,$D517)-1)</f>
        <v/>
      </c>
    </row>
    <row r="518" spans="1:7">
      <c r="A518" s="11">
        <v>517</v>
      </c>
      <c r="B518" s="11" t="str">
        <f>IFERROR(INDEX('Raw Data'!$R$2:$R$50000,MATCH(517,'Raw Data'!$W$2:$W$50000,0)),"")</f>
        <v/>
      </c>
      <c r="C518" s="11" t="str">
        <f t="shared" si="8"/>
        <v/>
      </c>
      <c r="D518" s="11" t="str">
        <f>IF($B518="","",COUNTIFS('Raw Data'!$R$2:$R$50000,$B518))</f>
        <v/>
      </c>
      <c r="E518" s="11" t="str">
        <f>IF($B518="","",SUMIFS('Raw Data'!$I$2:$I$50000,'Raw Data'!$R$2:$R$50000,$B518))</f>
        <v/>
      </c>
      <c r="F518" s="11" t="str">
        <f>IF($B518="","",RANK($E518,$E$2:$E$1501)+COUNTIF($E$2:E518,$E518)-1)</f>
        <v/>
      </c>
      <c r="G518" s="11" t="str">
        <f>IF($B518="","",RANK($D518,$D$2:$D$1501)+COUNTIF($D$2:D518,$D518)-1)</f>
        <v/>
      </c>
    </row>
    <row r="519" spans="1:7">
      <c r="A519" s="11">
        <v>518</v>
      </c>
      <c r="B519" s="11" t="str">
        <f>IFERROR(INDEX('Raw Data'!$R$2:$R$50000,MATCH(518,'Raw Data'!$W$2:$W$50000,0)),"")</f>
        <v/>
      </c>
      <c r="C519" s="11" t="str">
        <f t="shared" si="8"/>
        <v/>
      </c>
      <c r="D519" s="11" t="str">
        <f>IF($B519="","",COUNTIFS('Raw Data'!$R$2:$R$50000,$B519))</f>
        <v/>
      </c>
      <c r="E519" s="11" t="str">
        <f>IF($B519="","",SUMIFS('Raw Data'!$I$2:$I$50000,'Raw Data'!$R$2:$R$50000,$B519))</f>
        <v/>
      </c>
      <c r="F519" s="11" t="str">
        <f>IF($B519="","",RANK($E519,$E$2:$E$1501)+COUNTIF($E$2:E519,$E519)-1)</f>
        <v/>
      </c>
      <c r="G519" s="11" t="str">
        <f>IF($B519="","",RANK($D519,$D$2:$D$1501)+COUNTIF($D$2:D519,$D519)-1)</f>
        <v/>
      </c>
    </row>
    <row r="520" spans="1:7">
      <c r="A520" s="11">
        <v>519</v>
      </c>
      <c r="B520" s="11" t="str">
        <f>IFERROR(INDEX('Raw Data'!$R$2:$R$50000,MATCH(519,'Raw Data'!$W$2:$W$50000,0)),"")</f>
        <v/>
      </c>
      <c r="C520" s="11" t="str">
        <f t="shared" si="8"/>
        <v/>
      </c>
      <c r="D520" s="11" t="str">
        <f>IF($B520="","",COUNTIFS('Raw Data'!$R$2:$R$50000,$B520))</f>
        <v/>
      </c>
      <c r="E520" s="11" t="str">
        <f>IF($B520="","",SUMIFS('Raw Data'!$I$2:$I$50000,'Raw Data'!$R$2:$R$50000,$B520))</f>
        <v/>
      </c>
      <c r="F520" s="11" t="str">
        <f>IF($B520="","",RANK($E520,$E$2:$E$1501)+COUNTIF($E$2:E520,$E520)-1)</f>
        <v/>
      </c>
      <c r="G520" s="11" t="str">
        <f>IF($B520="","",RANK($D520,$D$2:$D$1501)+COUNTIF($D$2:D520,$D520)-1)</f>
        <v/>
      </c>
    </row>
    <row r="521" spans="1:7">
      <c r="A521" s="11">
        <v>520</v>
      </c>
      <c r="B521" s="11" t="str">
        <f>IFERROR(INDEX('Raw Data'!$R$2:$R$50000,MATCH(520,'Raw Data'!$W$2:$W$50000,0)),"")</f>
        <v/>
      </c>
      <c r="C521" s="11" t="str">
        <f t="shared" si="8"/>
        <v/>
      </c>
      <c r="D521" s="11" t="str">
        <f>IF($B521="","",COUNTIFS('Raw Data'!$R$2:$R$50000,$B521))</f>
        <v/>
      </c>
      <c r="E521" s="11" t="str">
        <f>IF($B521="","",SUMIFS('Raw Data'!$I$2:$I$50000,'Raw Data'!$R$2:$R$50000,$B521))</f>
        <v/>
      </c>
      <c r="F521" s="11" t="str">
        <f>IF($B521="","",RANK($E521,$E$2:$E$1501)+COUNTIF($E$2:E521,$E521)-1)</f>
        <v/>
      </c>
      <c r="G521" s="11" t="str">
        <f>IF($B521="","",RANK($D521,$D$2:$D$1501)+COUNTIF($D$2:D521,$D521)-1)</f>
        <v/>
      </c>
    </row>
    <row r="522" spans="1:7">
      <c r="A522" s="11">
        <v>521</v>
      </c>
      <c r="B522" s="11" t="str">
        <f>IFERROR(INDEX('Raw Data'!$R$2:$R$50000,MATCH(521,'Raw Data'!$W$2:$W$50000,0)),"")</f>
        <v/>
      </c>
      <c r="C522" s="11" t="str">
        <f t="shared" si="8"/>
        <v/>
      </c>
      <c r="D522" s="11" t="str">
        <f>IF($B522="","",COUNTIFS('Raw Data'!$R$2:$R$50000,$B522))</f>
        <v/>
      </c>
      <c r="E522" s="11" t="str">
        <f>IF($B522="","",SUMIFS('Raw Data'!$I$2:$I$50000,'Raw Data'!$R$2:$R$50000,$B522))</f>
        <v/>
      </c>
      <c r="F522" s="11" t="str">
        <f>IF($B522="","",RANK($E522,$E$2:$E$1501)+COUNTIF($E$2:E522,$E522)-1)</f>
        <v/>
      </c>
      <c r="G522" s="11" t="str">
        <f>IF($B522="","",RANK($D522,$D$2:$D$1501)+COUNTIF($D$2:D522,$D522)-1)</f>
        <v/>
      </c>
    </row>
    <row r="523" spans="1:7">
      <c r="A523" s="11">
        <v>522</v>
      </c>
      <c r="B523" s="11" t="str">
        <f>IFERROR(INDEX('Raw Data'!$R$2:$R$50000,MATCH(522,'Raw Data'!$W$2:$W$50000,0)),"")</f>
        <v/>
      </c>
      <c r="C523" s="11" t="str">
        <f t="shared" si="8"/>
        <v/>
      </c>
      <c r="D523" s="11" t="str">
        <f>IF($B523="","",COUNTIFS('Raw Data'!$R$2:$R$50000,$B523))</f>
        <v/>
      </c>
      <c r="E523" s="11" t="str">
        <f>IF($B523="","",SUMIFS('Raw Data'!$I$2:$I$50000,'Raw Data'!$R$2:$R$50000,$B523))</f>
        <v/>
      </c>
      <c r="F523" s="11" t="str">
        <f>IF($B523="","",RANK($E523,$E$2:$E$1501)+COUNTIF($E$2:E523,$E523)-1)</f>
        <v/>
      </c>
      <c r="G523" s="11" t="str">
        <f>IF($B523="","",RANK($D523,$D$2:$D$1501)+COUNTIF($D$2:D523,$D523)-1)</f>
        <v/>
      </c>
    </row>
    <row r="524" spans="1:7">
      <c r="A524" s="11">
        <v>523</v>
      </c>
      <c r="B524" s="11" t="str">
        <f>IFERROR(INDEX('Raw Data'!$R$2:$R$50000,MATCH(523,'Raw Data'!$W$2:$W$50000,0)),"")</f>
        <v/>
      </c>
      <c r="C524" s="11" t="str">
        <f t="shared" si="8"/>
        <v/>
      </c>
      <c r="D524" s="11" t="str">
        <f>IF($B524="","",COUNTIFS('Raw Data'!$R$2:$R$50000,$B524))</f>
        <v/>
      </c>
      <c r="E524" s="11" t="str">
        <f>IF($B524="","",SUMIFS('Raw Data'!$I$2:$I$50000,'Raw Data'!$R$2:$R$50000,$B524))</f>
        <v/>
      </c>
      <c r="F524" s="11" t="str">
        <f>IF($B524="","",RANK($E524,$E$2:$E$1501)+COUNTIF($E$2:E524,$E524)-1)</f>
        <v/>
      </c>
      <c r="G524" s="11" t="str">
        <f>IF($B524="","",RANK($D524,$D$2:$D$1501)+COUNTIF($D$2:D524,$D524)-1)</f>
        <v/>
      </c>
    </row>
    <row r="525" spans="1:7">
      <c r="A525" s="11">
        <v>524</v>
      </c>
      <c r="B525" s="11" t="str">
        <f>IFERROR(INDEX('Raw Data'!$R$2:$R$50000,MATCH(524,'Raw Data'!$W$2:$W$50000,0)),"")</f>
        <v/>
      </c>
      <c r="C525" s="11" t="str">
        <f t="shared" si="8"/>
        <v/>
      </c>
      <c r="D525" s="11" t="str">
        <f>IF($B525="","",COUNTIFS('Raw Data'!$R$2:$R$50000,$B525))</f>
        <v/>
      </c>
      <c r="E525" s="11" t="str">
        <f>IF($B525="","",SUMIFS('Raw Data'!$I$2:$I$50000,'Raw Data'!$R$2:$R$50000,$B525))</f>
        <v/>
      </c>
      <c r="F525" s="11" t="str">
        <f>IF($B525="","",RANK($E525,$E$2:$E$1501)+COUNTIF($E$2:E525,$E525)-1)</f>
        <v/>
      </c>
      <c r="G525" s="11" t="str">
        <f>IF($B525="","",RANK($D525,$D$2:$D$1501)+COUNTIF($D$2:D525,$D525)-1)</f>
        <v/>
      </c>
    </row>
    <row r="526" spans="1:7">
      <c r="A526" s="11">
        <v>525</v>
      </c>
      <c r="B526" s="11" t="str">
        <f>IFERROR(INDEX('Raw Data'!$R$2:$R$50000,MATCH(525,'Raw Data'!$W$2:$W$50000,0)),"")</f>
        <v/>
      </c>
      <c r="C526" s="11" t="str">
        <f t="shared" si="8"/>
        <v/>
      </c>
      <c r="D526" s="11" t="str">
        <f>IF($B526="","",COUNTIFS('Raw Data'!$R$2:$R$50000,$B526))</f>
        <v/>
      </c>
      <c r="E526" s="11" t="str">
        <f>IF($B526="","",SUMIFS('Raw Data'!$I$2:$I$50000,'Raw Data'!$R$2:$R$50000,$B526))</f>
        <v/>
      </c>
      <c r="F526" s="11" t="str">
        <f>IF($B526="","",RANK($E526,$E$2:$E$1501)+COUNTIF($E$2:E526,$E526)-1)</f>
        <v/>
      </c>
      <c r="G526" s="11" t="str">
        <f>IF($B526="","",RANK($D526,$D$2:$D$1501)+COUNTIF($D$2:D526,$D526)-1)</f>
        <v/>
      </c>
    </row>
    <row r="527" spans="1:7">
      <c r="A527" s="11">
        <v>526</v>
      </c>
      <c r="B527" s="11" t="str">
        <f>IFERROR(INDEX('Raw Data'!$R$2:$R$50000,MATCH(526,'Raw Data'!$W$2:$W$50000,0)),"")</f>
        <v/>
      </c>
      <c r="C527" s="11" t="str">
        <f t="shared" si="8"/>
        <v/>
      </c>
      <c r="D527" s="11" t="str">
        <f>IF($B527="","",COUNTIFS('Raw Data'!$R$2:$R$50000,$B527))</f>
        <v/>
      </c>
      <c r="E527" s="11" t="str">
        <f>IF($B527="","",SUMIFS('Raw Data'!$I$2:$I$50000,'Raw Data'!$R$2:$R$50000,$B527))</f>
        <v/>
      </c>
      <c r="F527" s="11" t="str">
        <f>IF($B527="","",RANK($E527,$E$2:$E$1501)+COUNTIF($E$2:E527,$E527)-1)</f>
        <v/>
      </c>
      <c r="G527" s="11" t="str">
        <f>IF($B527="","",RANK($D527,$D$2:$D$1501)+COUNTIF($D$2:D527,$D527)-1)</f>
        <v/>
      </c>
    </row>
    <row r="528" spans="1:7">
      <c r="A528" s="11">
        <v>527</v>
      </c>
      <c r="B528" s="11" t="str">
        <f>IFERROR(INDEX('Raw Data'!$R$2:$R$50000,MATCH(527,'Raw Data'!$W$2:$W$50000,0)),"")</f>
        <v/>
      </c>
      <c r="C528" s="11" t="str">
        <f t="shared" si="8"/>
        <v/>
      </c>
      <c r="D528" s="11" t="str">
        <f>IF($B528="","",COUNTIFS('Raw Data'!$R$2:$R$50000,$B528))</f>
        <v/>
      </c>
      <c r="E528" s="11" t="str">
        <f>IF($B528="","",SUMIFS('Raw Data'!$I$2:$I$50000,'Raw Data'!$R$2:$R$50000,$B528))</f>
        <v/>
      </c>
      <c r="F528" s="11" t="str">
        <f>IF($B528="","",RANK($E528,$E$2:$E$1501)+COUNTIF($E$2:E528,$E528)-1)</f>
        <v/>
      </c>
      <c r="G528" s="11" t="str">
        <f>IF($B528="","",RANK($D528,$D$2:$D$1501)+COUNTIF($D$2:D528,$D528)-1)</f>
        <v/>
      </c>
    </row>
    <row r="529" spans="1:7">
      <c r="A529" s="11">
        <v>528</v>
      </c>
      <c r="B529" s="11" t="str">
        <f>IFERROR(INDEX('Raw Data'!$R$2:$R$50000,MATCH(528,'Raw Data'!$W$2:$W$50000,0)),"")</f>
        <v/>
      </c>
      <c r="C529" s="11" t="str">
        <f t="shared" si="8"/>
        <v/>
      </c>
      <c r="D529" s="11" t="str">
        <f>IF($B529="","",COUNTIFS('Raw Data'!$R$2:$R$50000,$B529))</f>
        <v/>
      </c>
      <c r="E529" s="11" t="str">
        <f>IF($B529="","",SUMIFS('Raw Data'!$I$2:$I$50000,'Raw Data'!$R$2:$R$50000,$B529))</f>
        <v/>
      </c>
      <c r="F529" s="11" t="str">
        <f>IF($B529="","",RANK($E529,$E$2:$E$1501)+COUNTIF($E$2:E529,$E529)-1)</f>
        <v/>
      </c>
      <c r="G529" s="11" t="str">
        <f>IF($B529="","",RANK($D529,$D$2:$D$1501)+COUNTIF($D$2:D529,$D529)-1)</f>
        <v/>
      </c>
    </row>
    <row r="530" spans="1:7">
      <c r="A530" s="11">
        <v>529</v>
      </c>
      <c r="B530" s="11" t="str">
        <f>IFERROR(INDEX('Raw Data'!$R$2:$R$50000,MATCH(529,'Raw Data'!$W$2:$W$50000,0)),"")</f>
        <v/>
      </c>
      <c r="C530" s="11" t="str">
        <f t="shared" si="8"/>
        <v/>
      </c>
      <c r="D530" s="11" t="str">
        <f>IF($B530="","",COUNTIFS('Raw Data'!$R$2:$R$50000,$B530))</f>
        <v/>
      </c>
      <c r="E530" s="11" t="str">
        <f>IF($B530="","",SUMIFS('Raw Data'!$I$2:$I$50000,'Raw Data'!$R$2:$R$50000,$B530))</f>
        <v/>
      </c>
      <c r="F530" s="11" t="str">
        <f>IF($B530="","",RANK($E530,$E$2:$E$1501)+COUNTIF($E$2:E530,$E530)-1)</f>
        <v/>
      </c>
      <c r="G530" s="11" t="str">
        <f>IF($B530="","",RANK($D530,$D$2:$D$1501)+COUNTIF($D$2:D530,$D530)-1)</f>
        <v/>
      </c>
    </row>
    <row r="531" spans="1:7">
      <c r="A531" s="11">
        <v>530</v>
      </c>
      <c r="B531" s="11" t="str">
        <f>IFERROR(INDEX('Raw Data'!$R$2:$R$50000,MATCH(530,'Raw Data'!$W$2:$W$50000,0)),"")</f>
        <v/>
      </c>
      <c r="C531" s="11" t="str">
        <f t="shared" si="8"/>
        <v/>
      </c>
      <c r="D531" s="11" t="str">
        <f>IF($B531="","",COUNTIFS('Raw Data'!$R$2:$R$50000,$B531))</f>
        <v/>
      </c>
      <c r="E531" s="11" t="str">
        <f>IF($B531="","",SUMIFS('Raw Data'!$I$2:$I$50000,'Raw Data'!$R$2:$R$50000,$B531))</f>
        <v/>
      </c>
      <c r="F531" s="11" t="str">
        <f>IF($B531="","",RANK($E531,$E$2:$E$1501)+COUNTIF($E$2:E531,$E531)-1)</f>
        <v/>
      </c>
      <c r="G531" s="11" t="str">
        <f>IF($B531="","",RANK($D531,$D$2:$D$1501)+COUNTIF($D$2:D531,$D531)-1)</f>
        <v/>
      </c>
    </row>
    <row r="532" spans="1:7">
      <c r="A532" s="11">
        <v>531</v>
      </c>
      <c r="B532" s="11" t="str">
        <f>IFERROR(INDEX('Raw Data'!$R$2:$R$50000,MATCH(531,'Raw Data'!$W$2:$W$50000,0)),"")</f>
        <v/>
      </c>
      <c r="C532" s="11" t="str">
        <f t="shared" si="8"/>
        <v/>
      </c>
      <c r="D532" s="11" t="str">
        <f>IF($B532="","",COUNTIFS('Raw Data'!$R$2:$R$50000,$B532))</f>
        <v/>
      </c>
      <c r="E532" s="11" t="str">
        <f>IF($B532="","",SUMIFS('Raw Data'!$I$2:$I$50000,'Raw Data'!$R$2:$R$50000,$B532))</f>
        <v/>
      </c>
      <c r="F532" s="11" t="str">
        <f>IF($B532="","",RANK($E532,$E$2:$E$1501)+COUNTIF($E$2:E532,$E532)-1)</f>
        <v/>
      </c>
      <c r="G532" s="11" t="str">
        <f>IF($B532="","",RANK($D532,$D$2:$D$1501)+COUNTIF($D$2:D532,$D532)-1)</f>
        <v/>
      </c>
    </row>
    <row r="533" spans="1:7">
      <c r="A533" s="11">
        <v>532</v>
      </c>
      <c r="B533" s="11" t="str">
        <f>IFERROR(INDEX('Raw Data'!$R$2:$R$50000,MATCH(532,'Raw Data'!$W$2:$W$50000,0)),"")</f>
        <v/>
      </c>
      <c r="C533" s="11" t="str">
        <f t="shared" si="8"/>
        <v/>
      </c>
      <c r="D533" s="11" t="str">
        <f>IF($B533="","",COUNTIFS('Raw Data'!$R$2:$R$50000,$B533))</f>
        <v/>
      </c>
      <c r="E533" s="11" t="str">
        <f>IF($B533="","",SUMIFS('Raw Data'!$I$2:$I$50000,'Raw Data'!$R$2:$R$50000,$B533))</f>
        <v/>
      </c>
      <c r="F533" s="11" t="str">
        <f>IF($B533="","",RANK($E533,$E$2:$E$1501)+COUNTIF($E$2:E533,$E533)-1)</f>
        <v/>
      </c>
      <c r="G533" s="11" t="str">
        <f>IF($B533="","",RANK($D533,$D$2:$D$1501)+COUNTIF($D$2:D533,$D533)-1)</f>
        <v/>
      </c>
    </row>
    <row r="534" spans="1:7">
      <c r="A534" s="11">
        <v>533</v>
      </c>
      <c r="B534" s="11" t="str">
        <f>IFERROR(INDEX('Raw Data'!$R$2:$R$50000,MATCH(533,'Raw Data'!$W$2:$W$50000,0)),"")</f>
        <v/>
      </c>
      <c r="C534" s="11" t="str">
        <f t="shared" si="8"/>
        <v/>
      </c>
      <c r="D534" s="11" t="str">
        <f>IF($B534="","",COUNTIFS('Raw Data'!$R$2:$R$50000,$B534))</f>
        <v/>
      </c>
      <c r="E534" s="11" t="str">
        <f>IF($B534="","",SUMIFS('Raw Data'!$I$2:$I$50000,'Raw Data'!$R$2:$R$50000,$B534))</f>
        <v/>
      </c>
      <c r="F534" s="11" t="str">
        <f>IF($B534="","",RANK($E534,$E$2:$E$1501)+COUNTIF($E$2:E534,$E534)-1)</f>
        <v/>
      </c>
      <c r="G534" s="11" t="str">
        <f>IF($B534="","",RANK($D534,$D$2:$D$1501)+COUNTIF($D$2:D534,$D534)-1)</f>
        <v/>
      </c>
    </row>
    <row r="535" spans="1:7">
      <c r="A535" s="11">
        <v>534</v>
      </c>
      <c r="B535" s="11" t="str">
        <f>IFERROR(INDEX('Raw Data'!$R$2:$R$50000,MATCH(534,'Raw Data'!$W$2:$W$50000,0)),"")</f>
        <v/>
      </c>
      <c r="C535" s="11" t="str">
        <f t="shared" si="8"/>
        <v/>
      </c>
      <c r="D535" s="11" t="str">
        <f>IF($B535="","",COUNTIFS('Raw Data'!$R$2:$R$50000,$B535))</f>
        <v/>
      </c>
      <c r="E535" s="11" t="str">
        <f>IF($B535="","",SUMIFS('Raw Data'!$I$2:$I$50000,'Raw Data'!$R$2:$R$50000,$B535))</f>
        <v/>
      </c>
      <c r="F535" s="11" t="str">
        <f>IF($B535="","",RANK($E535,$E$2:$E$1501)+COUNTIF($E$2:E535,$E535)-1)</f>
        <v/>
      </c>
      <c r="G535" s="11" t="str">
        <f>IF($B535="","",RANK($D535,$D$2:$D$1501)+COUNTIF($D$2:D535,$D535)-1)</f>
        <v/>
      </c>
    </row>
    <row r="536" spans="1:7">
      <c r="A536" s="11">
        <v>535</v>
      </c>
      <c r="B536" s="11" t="str">
        <f>IFERROR(INDEX('Raw Data'!$R$2:$R$50000,MATCH(535,'Raw Data'!$W$2:$W$50000,0)),"")</f>
        <v/>
      </c>
      <c r="C536" s="11" t="str">
        <f t="shared" si="8"/>
        <v/>
      </c>
      <c r="D536" s="11" t="str">
        <f>IF($B536="","",COUNTIFS('Raw Data'!$R$2:$R$50000,$B536))</f>
        <v/>
      </c>
      <c r="E536" s="11" t="str">
        <f>IF($B536="","",SUMIFS('Raw Data'!$I$2:$I$50000,'Raw Data'!$R$2:$R$50000,$B536))</f>
        <v/>
      </c>
      <c r="F536" s="11" t="str">
        <f>IF($B536="","",RANK($E536,$E$2:$E$1501)+COUNTIF($E$2:E536,$E536)-1)</f>
        <v/>
      </c>
      <c r="G536" s="11" t="str">
        <f>IF($B536="","",RANK($D536,$D$2:$D$1501)+COUNTIF($D$2:D536,$D536)-1)</f>
        <v/>
      </c>
    </row>
    <row r="537" spans="1:7">
      <c r="A537" s="11">
        <v>536</v>
      </c>
      <c r="B537" s="11" t="str">
        <f>IFERROR(INDEX('Raw Data'!$R$2:$R$50000,MATCH(536,'Raw Data'!$W$2:$W$50000,0)),"")</f>
        <v/>
      </c>
      <c r="C537" s="11" t="str">
        <f t="shared" si="8"/>
        <v/>
      </c>
      <c r="D537" s="11" t="str">
        <f>IF($B537="","",COUNTIFS('Raw Data'!$R$2:$R$50000,$B537))</f>
        <v/>
      </c>
      <c r="E537" s="11" t="str">
        <f>IF($B537="","",SUMIFS('Raw Data'!$I$2:$I$50000,'Raw Data'!$R$2:$R$50000,$B537))</f>
        <v/>
      </c>
      <c r="F537" s="11" t="str">
        <f>IF($B537="","",RANK($E537,$E$2:$E$1501)+COUNTIF($E$2:E537,$E537)-1)</f>
        <v/>
      </c>
      <c r="G537" s="11" t="str">
        <f>IF($B537="","",RANK($D537,$D$2:$D$1501)+COUNTIF($D$2:D537,$D537)-1)</f>
        <v/>
      </c>
    </row>
    <row r="538" spans="1:7">
      <c r="A538" s="11">
        <v>537</v>
      </c>
      <c r="B538" s="11" t="str">
        <f>IFERROR(INDEX('Raw Data'!$R$2:$R$50000,MATCH(537,'Raw Data'!$W$2:$W$50000,0)),"")</f>
        <v/>
      </c>
      <c r="C538" s="11" t="str">
        <f t="shared" si="8"/>
        <v/>
      </c>
      <c r="D538" s="11" t="str">
        <f>IF($B538="","",COUNTIFS('Raw Data'!$R$2:$R$50000,$B538))</f>
        <v/>
      </c>
      <c r="E538" s="11" t="str">
        <f>IF($B538="","",SUMIFS('Raw Data'!$I$2:$I$50000,'Raw Data'!$R$2:$R$50000,$B538))</f>
        <v/>
      </c>
      <c r="F538" s="11" t="str">
        <f>IF($B538="","",RANK($E538,$E$2:$E$1501)+COUNTIF($E$2:E538,$E538)-1)</f>
        <v/>
      </c>
      <c r="G538" s="11" t="str">
        <f>IF($B538="","",RANK($D538,$D$2:$D$1501)+COUNTIF($D$2:D538,$D538)-1)</f>
        <v/>
      </c>
    </row>
    <row r="539" spans="1:7">
      <c r="A539" s="11">
        <v>538</v>
      </c>
      <c r="B539" s="11" t="str">
        <f>IFERROR(INDEX('Raw Data'!$R$2:$R$50000,MATCH(538,'Raw Data'!$W$2:$W$50000,0)),"")</f>
        <v/>
      </c>
      <c r="C539" s="11" t="str">
        <f t="shared" si="8"/>
        <v/>
      </c>
      <c r="D539" s="11" t="str">
        <f>IF($B539="","",COUNTIFS('Raw Data'!$R$2:$R$50000,$B539))</f>
        <v/>
      </c>
      <c r="E539" s="11" t="str">
        <f>IF($B539="","",SUMIFS('Raw Data'!$I$2:$I$50000,'Raw Data'!$R$2:$R$50000,$B539))</f>
        <v/>
      </c>
      <c r="F539" s="11" t="str">
        <f>IF($B539="","",RANK($E539,$E$2:$E$1501)+COUNTIF($E$2:E539,$E539)-1)</f>
        <v/>
      </c>
      <c r="G539" s="11" t="str">
        <f>IF($B539="","",RANK($D539,$D$2:$D$1501)+COUNTIF($D$2:D539,$D539)-1)</f>
        <v/>
      </c>
    </row>
    <row r="540" spans="1:7">
      <c r="A540" s="11">
        <v>539</v>
      </c>
      <c r="B540" s="11" t="str">
        <f>IFERROR(INDEX('Raw Data'!$R$2:$R$50000,MATCH(539,'Raw Data'!$W$2:$W$50000,0)),"")</f>
        <v/>
      </c>
      <c r="C540" s="11" t="str">
        <f t="shared" si="8"/>
        <v/>
      </c>
      <c r="D540" s="11" t="str">
        <f>IF($B540="","",COUNTIFS('Raw Data'!$R$2:$R$50000,$B540))</f>
        <v/>
      </c>
      <c r="E540" s="11" t="str">
        <f>IF($B540="","",SUMIFS('Raw Data'!$I$2:$I$50000,'Raw Data'!$R$2:$R$50000,$B540))</f>
        <v/>
      </c>
      <c r="F540" s="11" t="str">
        <f>IF($B540="","",RANK($E540,$E$2:$E$1501)+COUNTIF($E$2:E540,$E540)-1)</f>
        <v/>
      </c>
      <c r="G540" s="11" t="str">
        <f>IF($B540="","",RANK($D540,$D$2:$D$1501)+COUNTIF($D$2:D540,$D540)-1)</f>
        <v/>
      </c>
    </row>
    <row r="541" spans="1:7">
      <c r="A541" s="11">
        <v>540</v>
      </c>
      <c r="B541" s="11" t="str">
        <f>IFERROR(INDEX('Raw Data'!$R$2:$R$50000,MATCH(540,'Raw Data'!$W$2:$W$50000,0)),"")</f>
        <v/>
      </c>
      <c r="C541" s="11" t="str">
        <f t="shared" si="8"/>
        <v/>
      </c>
      <c r="D541" s="11" t="str">
        <f>IF($B541="","",COUNTIFS('Raw Data'!$R$2:$R$50000,$B541))</f>
        <v/>
      </c>
      <c r="E541" s="11" t="str">
        <f>IF($B541="","",SUMIFS('Raw Data'!$I$2:$I$50000,'Raw Data'!$R$2:$R$50000,$B541))</f>
        <v/>
      </c>
      <c r="F541" s="11" t="str">
        <f>IF($B541="","",RANK($E541,$E$2:$E$1501)+COUNTIF($E$2:E541,$E541)-1)</f>
        <v/>
      </c>
      <c r="G541" s="11" t="str">
        <f>IF($B541="","",RANK($D541,$D$2:$D$1501)+COUNTIF($D$2:D541,$D541)-1)</f>
        <v/>
      </c>
    </row>
    <row r="542" spans="1:7">
      <c r="A542" s="11">
        <v>541</v>
      </c>
      <c r="B542" s="11" t="str">
        <f>IFERROR(INDEX('Raw Data'!$R$2:$R$50000,MATCH(541,'Raw Data'!$W$2:$W$50000,0)),"")</f>
        <v/>
      </c>
      <c r="C542" s="11" t="str">
        <f t="shared" si="8"/>
        <v/>
      </c>
      <c r="D542" s="11" t="str">
        <f>IF($B542="","",COUNTIFS('Raw Data'!$R$2:$R$50000,$B542))</f>
        <v/>
      </c>
      <c r="E542" s="11" t="str">
        <f>IF($B542="","",SUMIFS('Raw Data'!$I$2:$I$50000,'Raw Data'!$R$2:$R$50000,$B542))</f>
        <v/>
      </c>
      <c r="F542" s="11" t="str">
        <f>IF($B542="","",RANK($E542,$E$2:$E$1501)+COUNTIF($E$2:E542,$E542)-1)</f>
        <v/>
      </c>
      <c r="G542" s="11" t="str">
        <f>IF($B542="","",RANK($D542,$D$2:$D$1501)+COUNTIF($D$2:D542,$D542)-1)</f>
        <v/>
      </c>
    </row>
    <row r="543" spans="1:7">
      <c r="A543" s="11">
        <v>542</v>
      </c>
      <c r="B543" s="11" t="str">
        <f>IFERROR(INDEX('Raw Data'!$R$2:$R$50000,MATCH(542,'Raw Data'!$W$2:$W$50000,0)),"")</f>
        <v/>
      </c>
      <c r="C543" s="11" t="str">
        <f t="shared" si="8"/>
        <v/>
      </c>
      <c r="D543" s="11" t="str">
        <f>IF($B543="","",COUNTIFS('Raw Data'!$R$2:$R$50000,$B543))</f>
        <v/>
      </c>
      <c r="E543" s="11" t="str">
        <f>IF($B543="","",SUMIFS('Raw Data'!$I$2:$I$50000,'Raw Data'!$R$2:$R$50000,$B543))</f>
        <v/>
      </c>
      <c r="F543" s="11" t="str">
        <f>IF($B543="","",RANK($E543,$E$2:$E$1501)+COUNTIF($E$2:E543,$E543)-1)</f>
        <v/>
      </c>
      <c r="G543" s="11" t="str">
        <f>IF($B543="","",RANK($D543,$D$2:$D$1501)+COUNTIF($D$2:D543,$D543)-1)</f>
        <v/>
      </c>
    </row>
    <row r="544" spans="1:7">
      <c r="A544" s="11">
        <v>543</v>
      </c>
      <c r="B544" s="11" t="str">
        <f>IFERROR(INDEX('Raw Data'!$R$2:$R$50000,MATCH(543,'Raw Data'!$W$2:$W$50000,0)),"")</f>
        <v/>
      </c>
      <c r="C544" s="11" t="str">
        <f t="shared" si="8"/>
        <v/>
      </c>
      <c r="D544" s="11" t="str">
        <f>IF($B544="","",COUNTIFS('Raw Data'!$R$2:$R$50000,$B544))</f>
        <v/>
      </c>
      <c r="E544" s="11" t="str">
        <f>IF($B544="","",SUMIFS('Raw Data'!$I$2:$I$50000,'Raw Data'!$R$2:$R$50000,$B544))</f>
        <v/>
      </c>
      <c r="F544" s="11" t="str">
        <f>IF($B544="","",RANK($E544,$E$2:$E$1501)+COUNTIF($E$2:E544,$E544)-1)</f>
        <v/>
      </c>
      <c r="G544" s="11" t="str">
        <f>IF($B544="","",RANK($D544,$D$2:$D$1501)+COUNTIF($D$2:D544,$D544)-1)</f>
        <v/>
      </c>
    </row>
    <row r="545" spans="1:7">
      <c r="A545" s="11">
        <v>544</v>
      </c>
      <c r="B545" s="11" t="str">
        <f>IFERROR(INDEX('Raw Data'!$R$2:$R$50000,MATCH(544,'Raw Data'!$W$2:$W$50000,0)),"")</f>
        <v/>
      </c>
      <c r="C545" s="11" t="str">
        <f t="shared" si="8"/>
        <v/>
      </c>
      <c r="D545" s="11" t="str">
        <f>IF($B545="","",COUNTIFS('Raw Data'!$R$2:$R$50000,$B545))</f>
        <v/>
      </c>
      <c r="E545" s="11" t="str">
        <f>IF($B545="","",SUMIFS('Raw Data'!$I$2:$I$50000,'Raw Data'!$R$2:$R$50000,$B545))</f>
        <v/>
      </c>
      <c r="F545" s="11" t="str">
        <f>IF($B545="","",RANK($E545,$E$2:$E$1501)+COUNTIF($E$2:E545,$E545)-1)</f>
        <v/>
      </c>
      <c r="G545" s="11" t="str">
        <f>IF($B545="","",RANK($D545,$D$2:$D$1501)+COUNTIF($D$2:D545,$D545)-1)</f>
        <v/>
      </c>
    </row>
    <row r="546" spans="1:7">
      <c r="A546" s="11">
        <v>545</v>
      </c>
      <c r="B546" s="11" t="str">
        <f>IFERROR(INDEX('Raw Data'!$R$2:$R$50000,MATCH(545,'Raw Data'!$W$2:$W$50000,0)),"")</f>
        <v/>
      </c>
      <c r="C546" s="11" t="str">
        <f t="shared" si="8"/>
        <v/>
      </c>
      <c r="D546" s="11" t="str">
        <f>IF($B546="","",COUNTIFS('Raw Data'!$R$2:$R$50000,$B546))</f>
        <v/>
      </c>
      <c r="E546" s="11" t="str">
        <f>IF($B546="","",SUMIFS('Raw Data'!$I$2:$I$50000,'Raw Data'!$R$2:$R$50000,$B546))</f>
        <v/>
      </c>
      <c r="F546" s="11" t="str">
        <f>IF($B546="","",RANK($E546,$E$2:$E$1501)+COUNTIF($E$2:E546,$E546)-1)</f>
        <v/>
      </c>
      <c r="G546" s="11" t="str">
        <f>IF($B546="","",RANK($D546,$D$2:$D$1501)+COUNTIF($D$2:D546,$D546)-1)</f>
        <v/>
      </c>
    </row>
    <row r="547" spans="1:7">
      <c r="A547" s="11">
        <v>546</v>
      </c>
      <c r="B547" s="11" t="str">
        <f>IFERROR(INDEX('Raw Data'!$R$2:$R$50000,MATCH(546,'Raw Data'!$W$2:$W$50000,0)),"")</f>
        <v/>
      </c>
      <c r="C547" s="11" t="str">
        <f t="shared" si="8"/>
        <v/>
      </c>
      <c r="D547" s="11" t="str">
        <f>IF($B547="","",COUNTIFS('Raw Data'!$R$2:$R$50000,$B547))</f>
        <v/>
      </c>
      <c r="E547" s="11" t="str">
        <f>IF($B547="","",SUMIFS('Raw Data'!$I$2:$I$50000,'Raw Data'!$R$2:$R$50000,$B547))</f>
        <v/>
      </c>
      <c r="F547" s="11" t="str">
        <f>IF($B547="","",RANK($E547,$E$2:$E$1501)+COUNTIF($E$2:E547,$E547)-1)</f>
        <v/>
      </c>
      <c r="G547" s="11" t="str">
        <f>IF($B547="","",RANK($D547,$D$2:$D$1501)+COUNTIF($D$2:D547,$D547)-1)</f>
        <v/>
      </c>
    </row>
    <row r="548" spans="1:7">
      <c r="A548" s="11">
        <v>547</v>
      </c>
      <c r="B548" s="11" t="str">
        <f>IFERROR(INDEX('Raw Data'!$R$2:$R$50000,MATCH(547,'Raw Data'!$W$2:$W$50000,0)),"")</f>
        <v/>
      </c>
      <c r="C548" s="11" t="str">
        <f t="shared" si="8"/>
        <v/>
      </c>
      <c r="D548" s="11" t="str">
        <f>IF($B548="","",COUNTIFS('Raw Data'!$R$2:$R$50000,$B548))</f>
        <v/>
      </c>
      <c r="E548" s="11" t="str">
        <f>IF($B548="","",SUMIFS('Raw Data'!$I$2:$I$50000,'Raw Data'!$R$2:$R$50000,$B548))</f>
        <v/>
      </c>
      <c r="F548" s="11" t="str">
        <f>IF($B548="","",RANK($E548,$E$2:$E$1501)+COUNTIF($E$2:E548,$E548)-1)</f>
        <v/>
      </c>
      <c r="G548" s="11" t="str">
        <f>IF($B548="","",RANK($D548,$D$2:$D$1501)+COUNTIF($D$2:D548,$D548)-1)</f>
        <v/>
      </c>
    </row>
    <row r="549" spans="1:7">
      <c r="A549" s="11">
        <v>548</v>
      </c>
      <c r="B549" s="11" t="str">
        <f>IFERROR(INDEX('Raw Data'!$R$2:$R$50000,MATCH(548,'Raw Data'!$W$2:$W$50000,0)),"")</f>
        <v/>
      </c>
      <c r="C549" s="11" t="str">
        <f t="shared" si="8"/>
        <v/>
      </c>
      <c r="D549" s="11" t="str">
        <f>IF($B549="","",COUNTIFS('Raw Data'!$R$2:$R$50000,$B549))</f>
        <v/>
      </c>
      <c r="E549" s="11" t="str">
        <f>IF($B549="","",SUMIFS('Raw Data'!$I$2:$I$50000,'Raw Data'!$R$2:$R$50000,$B549))</f>
        <v/>
      </c>
      <c r="F549" s="11" t="str">
        <f>IF($B549="","",RANK($E549,$E$2:$E$1501)+COUNTIF($E$2:E549,$E549)-1)</f>
        <v/>
      </c>
      <c r="G549" s="11" t="str">
        <f>IF($B549="","",RANK($D549,$D$2:$D$1501)+COUNTIF($D$2:D549,$D549)-1)</f>
        <v/>
      </c>
    </row>
    <row r="550" spans="1:7">
      <c r="A550" s="11">
        <v>549</v>
      </c>
      <c r="B550" s="11" t="str">
        <f>IFERROR(INDEX('Raw Data'!$R$2:$R$50000,MATCH(549,'Raw Data'!$W$2:$W$50000,0)),"")</f>
        <v/>
      </c>
      <c r="C550" s="11" t="str">
        <f t="shared" si="8"/>
        <v/>
      </c>
      <c r="D550" s="11" t="str">
        <f>IF($B550="","",COUNTIFS('Raw Data'!$R$2:$R$50000,$B550))</f>
        <v/>
      </c>
      <c r="E550" s="11" t="str">
        <f>IF($B550="","",SUMIFS('Raw Data'!$I$2:$I$50000,'Raw Data'!$R$2:$R$50000,$B550))</f>
        <v/>
      </c>
      <c r="F550" s="11" t="str">
        <f>IF($B550="","",RANK($E550,$E$2:$E$1501)+COUNTIF($E$2:E550,$E550)-1)</f>
        <v/>
      </c>
      <c r="G550" s="11" t="str">
        <f>IF($B550="","",RANK($D550,$D$2:$D$1501)+COUNTIF($D$2:D550,$D550)-1)</f>
        <v/>
      </c>
    </row>
    <row r="551" spans="1:7">
      <c r="A551" s="11">
        <v>550</v>
      </c>
      <c r="B551" s="11" t="str">
        <f>IFERROR(INDEX('Raw Data'!$R$2:$R$50000,MATCH(550,'Raw Data'!$W$2:$W$50000,0)),"")</f>
        <v/>
      </c>
      <c r="C551" s="11" t="str">
        <f t="shared" si="8"/>
        <v/>
      </c>
      <c r="D551" s="11" t="str">
        <f>IF($B551="","",COUNTIFS('Raw Data'!$R$2:$R$50000,$B551))</f>
        <v/>
      </c>
      <c r="E551" s="11" t="str">
        <f>IF($B551="","",SUMIFS('Raw Data'!$I$2:$I$50000,'Raw Data'!$R$2:$R$50000,$B551))</f>
        <v/>
      </c>
      <c r="F551" s="11" t="str">
        <f>IF($B551="","",RANK($E551,$E$2:$E$1501)+COUNTIF($E$2:E551,$E551)-1)</f>
        <v/>
      </c>
      <c r="G551" s="11" t="str">
        <f>IF($B551="","",RANK($D551,$D$2:$D$1501)+COUNTIF($D$2:D551,$D551)-1)</f>
        <v/>
      </c>
    </row>
    <row r="552" spans="1:7">
      <c r="A552" s="11">
        <v>551</v>
      </c>
      <c r="B552" s="11" t="str">
        <f>IFERROR(INDEX('Raw Data'!$R$2:$R$50000,MATCH(551,'Raw Data'!$W$2:$W$50000,0)),"")</f>
        <v/>
      </c>
      <c r="C552" s="11" t="str">
        <f t="shared" si="8"/>
        <v/>
      </c>
      <c r="D552" s="11" t="str">
        <f>IF($B552="","",COUNTIFS('Raw Data'!$R$2:$R$50000,$B552))</f>
        <v/>
      </c>
      <c r="E552" s="11" t="str">
        <f>IF($B552="","",SUMIFS('Raw Data'!$I$2:$I$50000,'Raw Data'!$R$2:$R$50000,$B552))</f>
        <v/>
      </c>
      <c r="F552" s="11" t="str">
        <f>IF($B552="","",RANK($E552,$E$2:$E$1501)+COUNTIF($E$2:E552,$E552)-1)</f>
        <v/>
      </c>
      <c r="G552" s="11" t="str">
        <f>IF($B552="","",RANK($D552,$D$2:$D$1501)+COUNTIF($D$2:D552,$D552)-1)</f>
        <v/>
      </c>
    </row>
    <row r="553" spans="1:7">
      <c r="A553" s="11">
        <v>552</v>
      </c>
      <c r="B553" s="11" t="str">
        <f>IFERROR(INDEX('Raw Data'!$R$2:$R$50000,MATCH(552,'Raw Data'!$W$2:$W$50000,0)),"")</f>
        <v/>
      </c>
      <c r="C553" s="11" t="str">
        <f t="shared" si="8"/>
        <v/>
      </c>
      <c r="D553" s="11" t="str">
        <f>IF($B553="","",COUNTIFS('Raw Data'!$R$2:$R$50000,$B553))</f>
        <v/>
      </c>
      <c r="E553" s="11" t="str">
        <f>IF($B553="","",SUMIFS('Raw Data'!$I$2:$I$50000,'Raw Data'!$R$2:$R$50000,$B553))</f>
        <v/>
      </c>
      <c r="F553" s="11" t="str">
        <f>IF($B553="","",RANK($E553,$E$2:$E$1501)+COUNTIF($E$2:E553,$E553)-1)</f>
        <v/>
      </c>
      <c r="G553" s="11" t="str">
        <f>IF($B553="","",RANK($D553,$D$2:$D$1501)+COUNTIF($D$2:D553,$D553)-1)</f>
        <v/>
      </c>
    </row>
    <row r="554" spans="1:7">
      <c r="A554" s="11">
        <v>553</v>
      </c>
      <c r="B554" s="11" t="str">
        <f>IFERROR(INDEX('Raw Data'!$R$2:$R$50000,MATCH(553,'Raw Data'!$W$2:$W$50000,0)),"")</f>
        <v/>
      </c>
      <c r="C554" s="11" t="str">
        <f t="shared" si="8"/>
        <v/>
      </c>
      <c r="D554" s="11" t="str">
        <f>IF($B554="","",COUNTIFS('Raw Data'!$R$2:$R$50000,$B554))</f>
        <v/>
      </c>
      <c r="E554" s="11" t="str">
        <f>IF($B554="","",SUMIFS('Raw Data'!$I$2:$I$50000,'Raw Data'!$R$2:$R$50000,$B554))</f>
        <v/>
      </c>
      <c r="F554" s="11" t="str">
        <f>IF($B554="","",RANK($E554,$E$2:$E$1501)+COUNTIF($E$2:E554,$E554)-1)</f>
        <v/>
      </c>
      <c r="G554" s="11" t="str">
        <f>IF($B554="","",RANK($D554,$D$2:$D$1501)+COUNTIF($D$2:D554,$D554)-1)</f>
        <v/>
      </c>
    </row>
    <row r="555" spans="1:7">
      <c r="A555" s="11">
        <v>554</v>
      </c>
      <c r="B555" s="11" t="str">
        <f>IFERROR(INDEX('Raw Data'!$R$2:$R$50000,MATCH(554,'Raw Data'!$W$2:$W$50000,0)),"")</f>
        <v/>
      </c>
      <c r="C555" s="11" t="str">
        <f t="shared" si="8"/>
        <v/>
      </c>
      <c r="D555" s="11" t="str">
        <f>IF($B555="","",COUNTIFS('Raw Data'!$R$2:$R$50000,$B555))</f>
        <v/>
      </c>
      <c r="E555" s="11" t="str">
        <f>IF($B555="","",SUMIFS('Raw Data'!$I$2:$I$50000,'Raw Data'!$R$2:$R$50000,$B555))</f>
        <v/>
      </c>
      <c r="F555" s="11" t="str">
        <f>IF($B555="","",RANK($E555,$E$2:$E$1501)+COUNTIF($E$2:E555,$E555)-1)</f>
        <v/>
      </c>
      <c r="G555" s="11" t="str">
        <f>IF($B555="","",RANK($D555,$D$2:$D$1501)+COUNTIF($D$2:D555,$D555)-1)</f>
        <v/>
      </c>
    </row>
    <row r="556" spans="1:7">
      <c r="A556" s="11">
        <v>555</v>
      </c>
      <c r="B556" s="11" t="str">
        <f>IFERROR(INDEX('Raw Data'!$R$2:$R$50000,MATCH(555,'Raw Data'!$W$2:$W$50000,0)),"")</f>
        <v/>
      </c>
      <c r="C556" s="11" t="str">
        <f t="shared" si="8"/>
        <v/>
      </c>
      <c r="D556" s="11" t="str">
        <f>IF($B556="","",COUNTIFS('Raw Data'!$R$2:$R$50000,$B556))</f>
        <v/>
      </c>
      <c r="E556" s="11" t="str">
        <f>IF($B556="","",SUMIFS('Raw Data'!$I$2:$I$50000,'Raw Data'!$R$2:$R$50000,$B556))</f>
        <v/>
      </c>
      <c r="F556" s="11" t="str">
        <f>IF($B556="","",RANK($E556,$E$2:$E$1501)+COUNTIF($E$2:E556,$E556)-1)</f>
        <v/>
      </c>
      <c r="G556" s="11" t="str">
        <f>IF($B556="","",RANK($D556,$D$2:$D$1501)+COUNTIF($D$2:D556,$D556)-1)</f>
        <v/>
      </c>
    </row>
    <row r="557" spans="1:7">
      <c r="A557" s="11">
        <v>556</v>
      </c>
      <c r="B557" s="11" t="str">
        <f>IFERROR(INDEX('Raw Data'!$R$2:$R$50000,MATCH(556,'Raw Data'!$W$2:$W$50000,0)),"")</f>
        <v/>
      </c>
      <c r="C557" s="11" t="str">
        <f t="shared" si="8"/>
        <v/>
      </c>
      <c r="D557" s="11" t="str">
        <f>IF($B557="","",COUNTIFS('Raw Data'!$R$2:$R$50000,$B557))</f>
        <v/>
      </c>
      <c r="E557" s="11" t="str">
        <f>IF($B557="","",SUMIFS('Raw Data'!$I$2:$I$50000,'Raw Data'!$R$2:$R$50000,$B557))</f>
        <v/>
      </c>
      <c r="F557" s="11" t="str">
        <f>IF($B557="","",RANK($E557,$E$2:$E$1501)+COUNTIF($E$2:E557,$E557)-1)</f>
        <v/>
      </c>
      <c r="G557" s="11" t="str">
        <f>IF($B557="","",RANK($D557,$D$2:$D$1501)+COUNTIF($D$2:D557,$D557)-1)</f>
        <v/>
      </c>
    </row>
    <row r="558" spans="1:7">
      <c r="A558" s="11">
        <v>557</v>
      </c>
      <c r="B558" s="11" t="str">
        <f>IFERROR(INDEX('Raw Data'!$R$2:$R$50000,MATCH(557,'Raw Data'!$W$2:$W$50000,0)),"")</f>
        <v/>
      </c>
      <c r="C558" s="11" t="str">
        <f t="shared" si="8"/>
        <v/>
      </c>
      <c r="D558" s="11" t="str">
        <f>IF($B558="","",COUNTIFS('Raw Data'!$R$2:$R$50000,$B558))</f>
        <v/>
      </c>
      <c r="E558" s="11" t="str">
        <f>IF($B558="","",SUMIFS('Raw Data'!$I$2:$I$50000,'Raw Data'!$R$2:$R$50000,$B558))</f>
        <v/>
      </c>
      <c r="F558" s="11" t="str">
        <f>IF($B558="","",RANK($E558,$E$2:$E$1501)+COUNTIF($E$2:E558,$E558)-1)</f>
        <v/>
      </c>
      <c r="G558" s="11" t="str">
        <f>IF($B558="","",RANK($D558,$D$2:$D$1501)+COUNTIF($D$2:D558,$D558)-1)</f>
        <v/>
      </c>
    </row>
    <row r="559" spans="1:7">
      <c r="A559" s="11">
        <v>558</v>
      </c>
      <c r="B559" s="11" t="str">
        <f>IFERROR(INDEX('Raw Data'!$R$2:$R$50000,MATCH(558,'Raw Data'!$W$2:$W$50000,0)),"")</f>
        <v/>
      </c>
      <c r="C559" s="11" t="str">
        <f t="shared" si="8"/>
        <v/>
      </c>
      <c r="D559" s="11" t="str">
        <f>IF($B559="","",COUNTIFS('Raw Data'!$R$2:$R$50000,$B559))</f>
        <v/>
      </c>
      <c r="E559" s="11" t="str">
        <f>IF($B559="","",SUMIFS('Raw Data'!$I$2:$I$50000,'Raw Data'!$R$2:$R$50000,$B559))</f>
        <v/>
      </c>
      <c r="F559" s="11" t="str">
        <f>IF($B559="","",RANK($E559,$E$2:$E$1501)+COUNTIF($E$2:E559,$E559)-1)</f>
        <v/>
      </c>
      <c r="G559" s="11" t="str">
        <f>IF($B559="","",RANK($D559,$D$2:$D$1501)+COUNTIF($D$2:D559,$D559)-1)</f>
        <v/>
      </c>
    </row>
    <row r="560" spans="1:7">
      <c r="A560" s="11">
        <v>559</v>
      </c>
      <c r="B560" s="11" t="str">
        <f>IFERROR(INDEX('Raw Data'!$R$2:$R$50000,MATCH(559,'Raw Data'!$W$2:$W$50000,0)),"")</f>
        <v/>
      </c>
      <c r="C560" s="11" t="str">
        <f t="shared" si="8"/>
        <v/>
      </c>
      <c r="D560" s="11" t="str">
        <f>IF($B560="","",COUNTIFS('Raw Data'!$R$2:$R$50000,$B560))</f>
        <v/>
      </c>
      <c r="E560" s="11" t="str">
        <f>IF($B560="","",SUMIFS('Raw Data'!$I$2:$I$50000,'Raw Data'!$R$2:$R$50000,$B560))</f>
        <v/>
      </c>
      <c r="F560" s="11" t="str">
        <f>IF($B560="","",RANK($E560,$E$2:$E$1501)+COUNTIF($E$2:E560,$E560)-1)</f>
        <v/>
      </c>
      <c r="G560" s="11" t="str">
        <f>IF($B560="","",RANK($D560,$D$2:$D$1501)+COUNTIF($D$2:D560,$D560)-1)</f>
        <v/>
      </c>
    </row>
    <row r="561" spans="1:7">
      <c r="A561" s="11">
        <v>560</v>
      </c>
      <c r="B561" s="11" t="str">
        <f>IFERROR(INDEX('Raw Data'!$R$2:$R$50000,MATCH(560,'Raw Data'!$W$2:$W$50000,0)),"")</f>
        <v/>
      </c>
      <c r="C561" s="11" t="str">
        <f t="shared" si="8"/>
        <v/>
      </c>
      <c r="D561" s="11" t="str">
        <f>IF($B561="","",COUNTIFS('Raw Data'!$R$2:$R$50000,$B561))</f>
        <v/>
      </c>
      <c r="E561" s="11" t="str">
        <f>IF($B561="","",SUMIFS('Raw Data'!$I$2:$I$50000,'Raw Data'!$R$2:$R$50000,$B561))</f>
        <v/>
      </c>
      <c r="F561" s="11" t="str">
        <f>IF($B561="","",RANK($E561,$E$2:$E$1501)+COUNTIF($E$2:E561,$E561)-1)</f>
        <v/>
      </c>
      <c r="G561" s="11" t="str">
        <f>IF($B561="","",RANK($D561,$D$2:$D$1501)+COUNTIF($D$2:D561,$D561)-1)</f>
        <v/>
      </c>
    </row>
    <row r="562" spans="1:7">
      <c r="A562" s="11">
        <v>561</v>
      </c>
      <c r="B562" s="11" t="str">
        <f>IFERROR(INDEX('Raw Data'!$R$2:$R$50000,MATCH(561,'Raw Data'!$W$2:$W$50000,0)),"")</f>
        <v/>
      </c>
      <c r="C562" s="11" t="str">
        <f t="shared" si="8"/>
        <v/>
      </c>
      <c r="D562" s="11" t="str">
        <f>IF($B562="","",COUNTIFS('Raw Data'!$R$2:$R$50000,$B562))</f>
        <v/>
      </c>
      <c r="E562" s="11" t="str">
        <f>IF($B562="","",SUMIFS('Raw Data'!$I$2:$I$50000,'Raw Data'!$R$2:$R$50000,$B562))</f>
        <v/>
      </c>
      <c r="F562" s="11" t="str">
        <f>IF($B562="","",RANK($E562,$E$2:$E$1501)+COUNTIF($E$2:E562,$E562)-1)</f>
        <v/>
      </c>
      <c r="G562" s="11" t="str">
        <f>IF($B562="","",RANK($D562,$D$2:$D$1501)+COUNTIF($D$2:D562,$D562)-1)</f>
        <v/>
      </c>
    </row>
    <row r="563" spans="1:7">
      <c r="A563" s="11">
        <v>562</v>
      </c>
      <c r="B563" s="11" t="str">
        <f>IFERROR(INDEX('Raw Data'!$R$2:$R$50000,MATCH(562,'Raw Data'!$W$2:$W$50000,0)),"")</f>
        <v/>
      </c>
      <c r="C563" s="11" t="str">
        <f t="shared" si="8"/>
        <v/>
      </c>
      <c r="D563" s="11" t="str">
        <f>IF($B563="","",COUNTIFS('Raw Data'!$R$2:$R$50000,$B563))</f>
        <v/>
      </c>
      <c r="E563" s="11" t="str">
        <f>IF($B563="","",SUMIFS('Raw Data'!$I$2:$I$50000,'Raw Data'!$R$2:$R$50000,$B563))</f>
        <v/>
      </c>
      <c r="F563" s="11" t="str">
        <f>IF($B563="","",RANK($E563,$E$2:$E$1501)+COUNTIF($E$2:E563,$E563)-1)</f>
        <v/>
      </c>
      <c r="G563" s="11" t="str">
        <f>IF($B563="","",RANK($D563,$D$2:$D$1501)+COUNTIF($D$2:D563,$D563)-1)</f>
        <v/>
      </c>
    </row>
    <row r="564" spans="1:7">
      <c r="A564" s="11">
        <v>563</v>
      </c>
      <c r="B564" s="11" t="str">
        <f>IFERROR(INDEX('Raw Data'!$R$2:$R$50000,MATCH(563,'Raw Data'!$W$2:$W$50000,0)),"")</f>
        <v/>
      </c>
      <c r="C564" s="11" t="str">
        <f t="shared" si="8"/>
        <v/>
      </c>
      <c r="D564" s="11" t="str">
        <f>IF($B564="","",COUNTIFS('Raw Data'!$R$2:$R$50000,$B564))</f>
        <v/>
      </c>
      <c r="E564" s="11" t="str">
        <f>IF($B564="","",SUMIFS('Raw Data'!$I$2:$I$50000,'Raw Data'!$R$2:$R$50000,$B564))</f>
        <v/>
      </c>
      <c r="F564" s="11" t="str">
        <f>IF($B564="","",RANK($E564,$E$2:$E$1501)+COUNTIF($E$2:E564,$E564)-1)</f>
        <v/>
      </c>
      <c r="G564" s="11" t="str">
        <f>IF($B564="","",RANK($D564,$D$2:$D$1501)+COUNTIF($D$2:D564,$D564)-1)</f>
        <v/>
      </c>
    </row>
    <row r="565" spans="1:7">
      <c r="A565" s="11">
        <v>564</v>
      </c>
      <c r="B565" s="11" t="str">
        <f>IFERROR(INDEX('Raw Data'!$R$2:$R$50000,MATCH(564,'Raw Data'!$W$2:$W$50000,0)),"")</f>
        <v/>
      </c>
      <c r="C565" s="11" t="str">
        <f t="shared" si="8"/>
        <v/>
      </c>
      <c r="D565" s="11" t="str">
        <f>IF($B565="","",COUNTIFS('Raw Data'!$R$2:$R$50000,$B565))</f>
        <v/>
      </c>
      <c r="E565" s="11" t="str">
        <f>IF($B565="","",SUMIFS('Raw Data'!$I$2:$I$50000,'Raw Data'!$R$2:$R$50000,$B565))</f>
        <v/>
      </c>
      <c r="F565" s="11" t="str">
        <f>IF($B565="","",RANK($E565,$E$2:$E$1501)+COUNTIF($E$2:E565,$E565)-1)</f>
        <v/>
      </c>
      <c r="G565" s="11" t="str">
        <f>IF($B565="","",RANK($D565,$D$2:$D$1501)+COUNTIF($D$2:D565,$D565)-1)</f>
        <v/>
      </c>
    </row>
    <row r="566" spans="1:7">
      <c r="A566" s="11">
        <v>565</v>
      </c>
      <c r="B566" s="11" t="str">
        <f>IFERROR(INDEX('Raw Data'!$R$2:$R$50000,MATCH(565,'Raw Data'!$W$2:$W$50000,0)),"")</f>
        <v/>
      </c>
      <c r="C566" s="11" t="str">
        <f t="shared" si="8"/>
        <v/>
      </c>
      <c r="D566" s="11" t="str">
        <f>IF($B566="","",COUNTIFS('Raw Data'!$R$2:$R$50000,$B566))</f>
        <v/>
      </c>
      <c r="E566" s="11" t="str">
        <f>IF($B566="","",SUMIFS('Raw Data'!$I$2:$I$50000,'Raw Data'!$R$2:$R$50000,$B566))</f>
        <v/>
      </c>
      <c r="F566" s="11" t="str">
        <f>IF($B566="","",RANK($E566,$E$2:$E$1501)+COUNTIF($E$2:E566,$E566)-1)</f>
        <v/>
      </c>
      <c r="G566" s="11" t="str">
        <f>IF($B566="","",RANK($D566,$D$2:$D$1501)+COUNTIF($D$2:D566,$D566)-1)</f>
        <v/>
      </c>
    </row>
    <row r="567" spans="1:7">
      <c r="A567" s="11">
        <v>566</v>
      </c>
      <c r="B567" s="11" t="str">
        <f>IFERROR(INDEX('Raw Data'!$R$2:$R$50000,MATCH(566,'Raw Data'!$W$2:$W$50000,0)),"")</f>
        <v/>
      </c>
      <c r="C567" s="11" t="str">
        <f t="shared" si="8"/>
        <v/>
      </c>
      <c r="D567" s="11" t="str">
        <f>IF($B567="","",COUNTIFS('Raw Data'!$R$2:$R$50000,$B567))</f>
        <v/>
      </c>
      <c r="E567" s="11" t="str">
        <f>IF($B567="","",SUMIFS('Raw Data'!$I$2:$I$50000,'Raw Data'!$R$2:$R$50000,$B567))</f>
        <v/>
      </c>
      <c r="F567" s="11" t="str">
        <f>IF($B567="","",RANK($E567,$E$2:$E$1501)+COUNTIF($E$2:E567,$E567)-1)</f>
        <v/>
      </c>
      <c r="G567" s="11" t="str">
        <f>IF($B567="","",RANK($D567,$D$2:$D$1501)+COUNTIF($D$2:D567,$D567)-1)</f>
        <v/>
      </c>
    </row>
    <row r="568" spans="1:7">
      <c r="A568" s="11">
        <v>567</v>
      </c>
      <c r="B568" s="11" t="str">
        <f>IFERROR(INDEX('Raw Data'!$R$2:$R$50000,MATCH(567,'Raw Data'!$W$2:$W$50000,0)),"")</f>
        <v/>
      </c>
      <c r="C568" s="11" t="str">
        <f t="shared" si="8"/>
        <v/>
      </c>
      <c r="D568" s="11" t="str">
        <f>IF($B568="","",COUNTIFS('Raw Data'!$R$2:$R$50000,$B568))</f>
        <v/>
      </c>
      <c r="E568" s="11" t="str">
        <f>IF($B568="","",SUMIFS('Raw Data'!$I$2:$I$50000,'Raw Data'!$R$2:$R$50000,$B568))</f>
        <v/>
      </c>
      <c r="F568" s="11" t="str">
        <f>IF($B568="","",RANK($E568,$E$2:$E$1501)+COUNTIF($E$2:E568,$E568)-1)</f>
        <v/>
      </c>
      <c r="G568" s="11" t="str">
        <f>IF($B568="","",RANK($D568,$D$2:$D$1501)+COUNTIF($D$2:D568,$D568)-1)</f>
        <v/>
      </c>
    </row>
    <row r="569" spans="1:7">
      <c r="A569" s="11">
        <v>568</v>
      </c>
      <c r="B569" s="11" t="str">
        <f>IFERROR(INDEX('Raw Data'!$R$2:$R$50000,MATCH(568,'Raw Data'!$W$2:$W$50000,0)),"")</f>
        <v/>
      </c>
      <c r="C569" s="11" t="str">
        <f t="shared" si="8"/>
        <v/>
      </c>
      <c r="D569" s="11" t="str">
        <f>IF($B569="","",COUNTIFS('Raw Data'!$R$2:$R$50000,$B569))</f>
        <v/>
      </c>
      <c r="E569" s="11" t="str">
        <f>IF($B569="","",SUMIFS('Raw Data'!$I$2:$I$50000,'Raw Data'!$R$2:$R$50000,$B569))</f>
        <v/>
      </c>
      <c r="F569" s="11" t="str">
        <f>IF($B569="","",RANK($E569,$E$2:$E$1501)+COUNTIF($E$2:E569,$E569)-1)</f>
        <v/>
      </c>
      <c r="G569" s="11" t="str">
        <f>IF($B569="","",RANK($D569,$D$2:$D$1501)+COUNTIF($D$2:D569,$D569)-1)</f>
        <v/>
      </c>
    </row>
    <row r="570" spans="1:7">
      <c r="A570" s="11">
        <v>569</v>
      </c>
      <c r="B570" s="11" t="str">
        <f>IFERROR(INDEX('Raw Data'!$R$2:$R$50000,MATCH(569,'Raw Data'!$W$2:$W$50000,0)),"")</f>
        <v/>
      </c>
      <c r="C570" s="11" t="str">
        <f t="shared" si="8"/>
        <v/>
      </c>
      <c r="D570" s="11" t="str">
        <f>IF($B570="","",COUNTIFS('Raw Data'!$R$2:$R$50000,$B570))</f>
        <v/>
      </c>
      <c r="E570" s="11" t="str">
        <f>IF($B570="","",SUMIFS('Raw Data'!$I$2:$I$50000,'Raw Data'!$R$2:$R$50000,$B570))</f>
        <v/>
      </c>
      <c r="F570" s="11" t="str">
        <f>IF($B570="","",RANK($E570,$E$2:$E$1501)+COUNTIF($E$2:E570,$E570)-1)</f>
        <v/>
      </c>
      <c r="G570" s="11" t="str">
        <f>IF($B570="","",RANK($D570,$D$2:$D$1501)+COUNTIF($D$2:D570,$D570)-1)</f>
        <v/>
      </c>
    </row>
    <row r="571" spans="1:7">
      <c r="A571" s="11">
        <v>570</v>
      </c>
      <c r="B571" s="11" t="str">
        <f>IFERROR(INDEX('Raw Data'!$R$2:$R$50000,MATCH(570,'Raw Data'!$W$2:$W$50000,0)),"")</f>
        <v/>
      </c>
      <c r="C571" s="11" t="str">
        <f t="shared" si="8"/>
        <v/>
      </c>
      <c r="D571" s="11" t="str">
        <f>IF($B571="","",COUNTIFS('Raw Data'!$R$2:$R$50000,$B571))</f>
        <v/>
      </c>
      <c r="E571" s="11" t="str">
        <f>IF($B571="","",SUMIFS('Raw Data'!$I$2:$I$50000,'Raw Data'!$R$2:$R$50000,$B571))</f>
        <v/>
      </c>
      <c r="F571" s="11" t="str">
        <f>IF($B571="","",RANK($E571,$E$2:$E$1501)+COUNTIF($E$2:E571,$E571)-1)</f>
        <v/>
      </c>
      <c r="G571" s="11" t="str">
        <f>IF($B571="","",RANK($D571,$D$2:$D$1501)+COUNTIF($D$2:D571,$D571)-1)</f>
        <v/>
      </c>
    </row>
    <row r="572" spans="1:7">
      <c r="A572" s="11">
        <v>571</v>
      </c>
      <c r="B572" s="11" t="str">
        <f>IFERROR(INDEX('Raw Data'!$R$2:$R$50000,MATCH(571,'Raw Data'!$W$2:$W$50000,0)),"")</f>
        <v/>
      </c>
      <c r="C572" s="11" t="str">
        <f t="shared" si="8"/>
        <v/>
      </c>
      <c r="D572" s="11" t="str">
        <f>IF($B572="","",COUNTIFS('Raw Data'!$R$2:$R$50000,$B572))</f>
        <v/>
      </c>
      <c r="E572" s="11" t="str">
        <f>IF($B572="","",SUMIFS('Raw Data'!$I$2:$I$50000,'Raw Data'!$R$2:$R$50000,$B572))</f>
        <v/>
      </c>
      <c r="F572" s="11" t="str">
        <f>IF($B572="","",RANK($E572,$E$2:$E$1501)+COUNTIF($E$2:E572,$E572)-1)</f>
        <v/>
      </c>
      <c r="G572" s="11" t="str">
        <f>IF($B572="","",RANK($D572,$D$2:$D$1501)+COUNTIF($D$2:D572,$D572)-1)</f>
        <v/>
      </c>
    </row>
    <row r="573" spans="1:7">
      <c r="A573" s="11">
        <v>572</v>
      </c>
      <c r="B573" s="11" t="str">
        <f>IFERROR(INDEX('Raw Data'!$R$2:$R$50000,MATCH(572,'Raw Data'!$W$2:$W$50000,0)),"")</f>
        <v/>
      </c>
      <c r="C573" s="11" t="str">
        <f t="shared" si="8"/>
        <v/>
      </c>
      <c r="D573" s="11" t="str">
        <f>IF($B573="","",COUNTIFS('Raw Data'!$R$2:$R$50000,$B573))</f>
        <v/>
      </c>
      <c r="E573" s="11" t="str">
        <f>IF($B573="","",SUMIFS('Raw Data'!$I$2:$I$50000,'Raw Data'!$R$2:$R$50000,$B573))</f>
        <v/>
      </c>
      <c r="F573" s="11" t="str">
        <f>IF($B573="","",RANK($E573,$E$2:$E$1501)+COUNTIF($E$2:E573,$E573)-1)</f>
        <v/>
      </c>
      <c r="G573" s="11" t="str">
        <f>IF($B573="","",RANK($D573,$D$2:$D$1501)+COUNTIF($D$2:D573,$D573)-1)</f>
        <v/>
      </c>
    </row>
    <row r="574" spans="1:7">
      <c r="A574" s="11">
        <v>573</v>
      </c>
      <c r="B574" s="11" t="str">
        <f>IFERROR(INDEX('Raw Data'!$R$2:$R$50000,MATCH(573,'Raw Data'!$W$2:$W$50000,0)),"")</f>
        <v/>
      </c>
      <c r="C574" s="11" t="str">
        <f t="shared" si="8"/>
        <v/>
      </c>
      <c r="D574" s="11" t="str">
        <f>IF($B574="","",COUNTIFS('Raw Data'!$R$2:$R$50000,$B574))</f>
        <v/>
      </c>
      <c r="E574" s="11" t="str">
        <f>IF($B574="","",SUMIFS('Raw Data'!$I$2:$I$50000,'Raw Data'!$R$2:$R$50000,$B574))</f>
        <v/>
      </c>
      <c r="F574" s="11" t="str">
        <f>IF($B574="","",RANK($E574,$E$2:$E$1501)+COUNTIF($E$2:E574,$E574)-1)</f>
        <v/>
      </c>
      <c r="G574" s="11" t="str">
        <f>IF($B574="","",RANK($D574,$D$2:$D$1501)+COUNTIF($D$2:D574,$D574)-1)</f>
        <v/>
      </c>
    </row>
    <row r="575" spans="1:7">
      <c r="A575" s="11">
        <v>574</v>
      </c>
      <c r="B575" s="11" t="str">
        <f>IFERROR(INDEX('Raw Data'!$R$2:$R$50000,MATCH(574,'Raw Data'!$W$2:$W$50000,0)),"")</f>
        <v/>
      </c>
      <c r="C575" s="11" t="str">
        <f t="shared" si="8"/>
        <v/>
      </c>
      <c r="D575" s="11" t="str">
        <f>IF($B575="","",COUNTIFS('Raw Data'!$R$2:$R$50000,$B575))</f>
        <v/>
      </c>
      <c r="E575" s="11" t="str">
        <f>IF($B575="","",SUMIFS('Raw Data'!$I$2:$I$50000,'Raw Data'!$R$2:$R$50000,$B575))</f>
        <v/>
      </c>
      <c r="F575" s="11" t="str">
        <f>IF($B575="","",RANK($E575,$E$2:$E$1501)+COUNTIF($E$2:E575,$E575)-1)</f>
        <v/>
      </c>
      <c r="G575" s="11" t="str">
        <f>IF($B575="","",RANK($D575,$D$2:$D$1501)+COUNTIF($D$2:D575,$D575)-1)</f>
        <v/>
      </c>
    </row>
    <row r="576" spans="1:7">
      <c r="A576" s="11">
        <v>575</v>
      </c>
      <c r="B576" s="11" t="str">
        <f>IFERROR(INDEX('Raw Data'!$R$2:$R$50000,MATCH(575,'Raw Data'!$W$2:$W$50000,0)),"")</f>
        <v/>
      </c>
      <c r="C576" s="11" t="str">
        <f t="shared" si="8"/>
        <v/>
      </c>
      <c r="D576" s="11" t="str">
        <f>IF($B576="","",COUNTIFS('Raw Data'!$R$2:$R$50000,$B576))</f>
        <v/>
      </c>
      <c r="E576" s="11" t="str">
        <f>IF($B576="","",SUMIFS('Raw Data'!$I$2:$I$50000,'Raw Data'!$R$2:$R$50000,$B576))</f>
        <v/>
      </c>
      <c r="F576" s="11" t="str">
        <f>IF($B576="","",RANK($E576,$E$2:$E$1501)+COUNTIF($E$2:E576,$E576)-1)</f>
        <v/>
      </c>
      <c r="G576" s="11" t="str">
        <f>IF($B576="","",RANK($D576,$D$2:$D$1501)+COUNTIF($D$2:D576,$D576)-1)</f>
        <v/>
      </c>
    </row>
    <row r="577" spans="1:7">
      <c r="A577" s="11">
        <v>576</v>
      </c>
      <c r="B577" s="11" t="str">
        <f>IFERROR(INDEX('Raw Data'!$R$2:$R$50000,MATCH(576,'Raw Data'!$W$2:$W$50000,0)),"")</f>
        <v/>
      </c>
      <c r="C577" s="11" t="str">
        <f t="shared" si="8"/>
        <v/>
      </c>
      <c r="D577" s="11" t="str">
        <f>IF($B577="","",COUNTIFS('Raw Data'!$R$2:$R$50000,$B577))</f>
        <v/>
      </c>
      <c r="E577" s="11" t="str">
        <f>IF($B577="","",SUMIFS('Raw Data'!$I$2:$I$50000,'Raw Data'!$R$2:$R$50000,$B577))</f>
        <v/>
      </c>
      <c r="F577" s="11" t="str">
        <f>IF($B577="","",RANK($E577,$E$2:$E$1501)+COUNTIF($E$2:E577,$E577)-1)</f>
        <v/>
      </c>
      <c r="G577" s="11" t="str">
        <f>IF($B577="","",RANK($D577,$D$2:$D$1501)+COUNTIF($D$2:D577,$D577)-1)</f>
        <v/>
      </c>
    </row>
    <row r="578" spans="1:7">
      <c r="A578" s="11">
        <v>577</v>
      </c>
      <c r="B578" s="11" t="str">
        <f>IFERROR(INDEX('Raw Data'!$R$2:$R$50000,MATCH(577,'Raw Data'!$W$2:$W$50000,0)),"")</f>
        <v/>
      </c>
      <c r="C578" s="11" t="str">
        <f t="shared" ref="C578:C641" si="9">IF($B578="","",$B578)</f>
        <v/>
      </c>
      <c r="D578" s="11" t="str">
        <f>IF($B578="","",COUNTIFS('Raw Data'!$R$2:$R$50000,$B578))</f>
        <v/>
      </c>
      <c r="E578" s="11" t="str">
        <f>IF($B578="","",SUMIFS('Raw Data'!$I$2:$I$50000,'Raw Data'!$R$2:$R$50000,$B578))</f>
        <v/>
      </c>
      <c r="F578" s="11" t="str">
        <f>IF($B578="","",RANK($E578,$E$2:$E$1501)+COUNTIF($E$2:E578,$E578)-1)</f>
        <v/>
      </c>
      <c r="G578" s="11" t="str">
        <f>IF($B578="","",RANK($D578,$D$2:$D$1501)+COUNTIF($D$2:D578,$D578)-1)</f>
        <v/>
      </c>
    </row>
    <row r="579" spans="1:7">
      <c r="A579" s="11">
        <v>578</v>
      </c>
      <c r="B579" s="11" t="str">
        <f>IFERROR(INDEX('Raw Data'!$R$2:$R$50000,MATCH(578,'Raw Data'!$W$2:$W$50000,0)),"")</f>
        <v/>
      </c>
      <c r="C579" s="11" t="str">
        <f t="shared" si="9"/>
        <v/>
      </c>
      <c r="D579" s="11" t="str">
        <f>IF($B579="","",COUNTIFS('Raw Data'!$R$2:$R$50000,$B579))</f>
        <v/>
      </c>
      <c r="E579" s="11" t="str">
        <f>IF($B579="","",SUMIFS('Raw Data'!$I$2:$I$50000,'Raw Data'!$R$2:$R$50000,$B579))</f>
        <v/>
      </c>
      <c r="F579" s="11" t="str">
        <f>IF($B579="","",RANK($E579,$E$2:$E$1501)+COUNTIF($E$2:E579,$E579)-1)</f>
        <v/>
      </c>
      <c r="G579" s="11" t="str">
        <f>IF($B579="","",RANK($D579,$D$2:$D$1501)+COUNTIF($D$2:D579,$D579)-1)</f>
        <v/>
      </c>
    </row>
    <row r="580" spans="1:7">
      <c r="A580" s="11">
        <v>579</v>
      </c>
      <c r="B580" s="11" t="str">
        <f>IFERROR(INDEX('Raw Data'!$R$2:$R$50000,MATCH(579,'Raw Data'!$W$2:$W$50000,0)),"")</f>
        <v/>
      </c>
      <c r="C580" s="11" t="str">
        <f t="shared" si="9"/>
        <v/>
      </c>
      <c r="D580" s="11" t="str">
        <f>IF($B580="","",COUNTIFS('Raw Data'!$R$2:$R$50000,$B580))</f>
        <v/>
      </c>
      <c r="E580" s="11" t="str">
        <f>IF($B580="","",SUMIFS('Raw Data'!$I$2:$I$50000,'Raw Data'!$R$2:$R$50000,$B580))</f>
        <v/>
      </c>
      <c r="F580" s="11" t="str">
        <f>IF($B580="","",RANK($E580,$E$2:$E$1501)+COUNTIF($E$2:E580,$E580)-1)</f>
        <v/>
      </c>
      <c r="G580" s="11" t="str">
        <f>IF($B580="","",RANK($D580,$D$2:$D$1501)+COUNTIF($D$2:D580,$D580)-1)</f>
        <v/>
      </c>
    </row>
    <row r="581" spans="1:7">
      <c r="A581" s="11">
        <v>580</v>
      </c>
      <c r="B581" s="11" t="str">
        <f>IFERROR(INDEX('Raw Data'!$R$2:$R$50000,MATCH(580,'Raw Data'!$W$2:$W$50000,0)),"")</f>
        <v/>
      </c>
      <c r="C581" s="11" t="str">
        <f t="shared" si="9"/>
        <v/>
      </c>
      <c r="D581" s="11" t="str">
        <f>IF($B581="","",COUNTIFS('Raw Data'!$R$2:$R$50000,$B581))</f>
        <v/>
      </c>
      <c r="E581" s="11" t="str">
        <f>IF($B581="","",SUMIFS('Raw Data'!$I$2:$I$50000,'Raw Data'!$R$2:$R$50000,$B581))</f>
        <v/>
      </c>
      <c r="F581" s="11" t="str">
        <f>IF($B581="","",RANK($E581,$E$2:$E$1501)+COUNTIF($E$2:E581,$E581)-1)</f>
        <v/>
      </c>
      <c r="G581" s="11" t="str">
        <f>IF($B581="","",RANK($D581,$D$2:$D$1501)+COUNTIF($D$2:D581,$D581)-1)</f>
        <v/>
      </c>
    </row>
    <row r="582" spans="1:7">
      <c r="A582" s="11">
        <v>581</v>
      </c>
      <c r="B582" s="11" t="str">
        <f>IFERROR(INDEX('Raw Data'!$R$2:$R$50000,MATCH(581,'Raw Data'!$W$2:$W$50000,0)),"")</f>
        <v/>
      </c>
      <c r="C582" s="11" t="str">
        <f t="shared" si="9"/>
        <v/>
      </c>
      <c r="D582" s="11" t="str">
        <f>IF($B582="","",COUNTIFS('Raw Data'!$R$2:$R$50000,$B582))</f>
        <v/>
      </c>
      <c r="E582" s="11" t="str">
        <f>IF($B582="","",SUMIFS('Raw Data'!$I$2:$I$50000,'Raw Data'!$R$2:$R$50000,$B582))</f>
        <v/>
      </c>
      <c r="F582" s="11" t="str">
        <f>IF($B582="","",RANK($E582,$E$2:$E$1501)+COUNTIF($E$2:E582,$E582)-1)</f>
        <v/>
      </c>
      <c r="G582" s="11" t="str">
        <f>IF($B582="","",RANK($D582,$D$2:$D$1501)+COUNTIF($D$2:D582,$D582)-1)</f>
        <v/>
      </c>
    </row>
    <row r="583" spans="1:7">
      <c r="A583" s="11">
        <v>582</v>
      </c>
      <c r="B583" s="11" t="str">
        <f>IFERROR(INDEX('Raw Data'!$R$2:$R$50000,MATCH(582,'Raw Data'!$W$2:$W$50000,0)),"")</f>
        <v/>
      </c>
      <c r="C583" s="11" t="str">
        <f t="shared" si="9"/>
        <v/>
      </c>
      <c r="D583" s="11" t="str">
        <f>IF($B583="","",COUNTIFS('Raw Data'!$R$2:$R$50000,$B583))</f>
        <v/>
      </c>
      <c r="E583" s="11" t="str">
        <f>IF($B583="","",SUMIFS('Raw Data'!$I$2:$I$50000,'Raw Data'!$R$2:$R$50000,$B583))</f>
        <v/>
      </c>
      <c r="F583" s="11" t="str">
        <f>IF($B583="","",RANK($E583,$E$2:$E$1501)+COUNTIF($E$2:E583,$E583)-1)</f>
        <v/>
      </c>
      <c r="G583" s="11" t="str">
        <f>IF($B583="","",RANK($D583,$D$2:$D$1501)+COUNTIF($D$2:D583,$D583)-1)</f>
        <v/>
      </c>
    </row>
    <row r="584" spans="1:7">
      <c r="A584" s="11">
        <v>583</v>
      </c>
      <c r="B584" s="11" t="str">
        <f>IFERROR(INDEX('Raw Data'!$R$2:$R$50000,MATCH(583,'Raw Data'!$W$2:$W$50000,0)),"")</f>
        <v/>
      </c>
      <c r="C584" s="11" t="str">
        <f t="shared" si="9"/>
        <v/>
      </c>
      <c r="D584" s="11" t="str">
        <f>IF($B584="","",COUNTIFS('Raw Data'!$R$2:$R$50000,$B584))</f>
        <v/>
      </c>
      <c r="E584" s="11" t="str">
        <f>IF($B584="","",SUMIFS('Raw Data'!$I$2:$I$50000,'Raw Data'!$R$2:$R$50000,$B584))</f>
        <v/>
      </c>
      <c r="F584" s="11" t="str">
        <f>IF($B584="","",RANK($E584,$E$2:$E$1501)+COUNTIF($E$2:E584,$E584)-1)</f>
        <v/>
      </c>
      <c r="G584" s="11" t="str">
        <f>IF($B584="","",RANK($D584,$D$2:$D$1501)+COUNTIF($D$2:D584,$D584)-1)</f>
        <v/>
      </c>
    </row>
    <row r="585" spans="1:7">
      <c r="A585" s="11">
        <v>584</v>
      </c>
      <c r="B585" s="11" t="str">
        <f>IFERROR(INDEX('Raw Data'!$R$2:$R$50000,MATCH(584,'Raw Data'!$W$2:$W$50000,0)),"")</f>
        <v/>
      </c>
      <c r="C585" s="11" t="str">
        <f t="shared" si="9"/>
        <v/>
      </c>
      <c r="D585" s="11" t="str">
        <f>IF($B585="","",COUNTIFS('Raw Data'!$R$2:$R$50000,$B585))</f>
        <v/>
      </c>
      <c r="E585" s="11" t="str">
        <f>IF($B585="","",SUMIFS('Raw Data'!$I$2:$I$50000,'Raw Data'!$R$2:$R$50000,$B585))</f>
        <v/>
      </c>
      <c r="F585" s="11" t="str">
        <f>IF($B585="","",RANK($E585,$E$2:$E$1501)+COUNTIF($E$2:E585,$E585)-1)</f>
        <v/>
      </c>
      <c r="G585" s="11" t="str">
        <f>IF($B585="","",RANK($D585,$D$2:$D$1501)+COUNTIF($D$2:D585,$D585)-1)</f>
        <v/>
      </c>
    </row>
    <row r="586" spans="1:7">
      <c r="A586" s="11">
        <v>585</v>
      </c>
      <c r="B586" s="11" t="str">
        <f>IFERROR(INDEX('Raw Data'!$R$2:$R$50000,MATCH(585,'Raw Data'!$W$2:$W$50000,0)),"")</f>
        <v/>
      </c>
      <c r="C586" s="11" t="str">
        <f t="shared" si="9"/>
        <v/>
      </c>
      <c r="D586" s="11" t="str">
        <f>IF($B586="","",COUNTIFS('Raw Data'!$R$2:$R$50000,$B586))</f>
        <v/>
      </c>
      <c r="E586" s="11" t="str">
        <f>IF($B586="","",SUMIFS('Raw Data'!$I$2:$I$50000,'Raw Data'!$R$2:$R$50000,$B586))</f>
        <v/>
      </c>
      <c r="F586" s="11" t="str">
        <f>IF($B586="","",RANK($E586,$E$2:$E$1501)+COUNTIF($E$2:E586,$E586)-1)</f>
        <v/>
      </c>
      <c r="G586" s="11" t="str">
        <f>IF($B586="","",RANK($D586,$D$2:$D$1501)+COUNTIF($D$2:D586,$D586)-1)</f>
        <v/>
      </c>
    </row>
    <row r="587" spans="1:7">
      <c r="A587" s="11">
        <v>586</v>
      </c>
      <c r="B587" s="11" t="str">
        <f>IFERROR(INDEX('Raw Data'!$R$2:$R$50000,MATCH(586,'Raw Data'!$W$2:$W$50000,0)),"")</f>
        <v/>
      </c>
      <c r="C587" s="11" t="str">
        <f t="shared" si="9"/>
        <v/>
      </c>
      <c r="D587" s="11" t="str">
        <f>IF($B587="","",COUNTIFS('Raw Data'!$R$2:$R$50000,$B587))</f>
        <v/>
      </c>
      <c r="E587" s="11" t="str">
        <f>IF($B587="","",SUMIFS('Raw Data'!$I$2:$I$50000,'Raw Data'!$R$2:$R$50000,$B587))</f>
        <v/>
      </c>
      <c r="F587" s="11" t="str">
        <f>IF($B587="","",RANK($E587,$E$2:$E$1501)+COUNTIF($E$2:E587,$E587)-1)</f>
        <v/>
      </c>
      <c r="G587" s="11" t="str">
        <f>IF($B587="","",RANK($D587,$D$2:$D$1501)+COUNTIF($D$2:D587,$D587)-1)</f>
        <v/>
      </c>
    </row>
    <row r="588" spans="1:7">
      <c r="A588" s="11">
        <v>587</v>
      </c>
      <c r="B588" s="11" t="str">
        <f>IFERROR(INDEX('Raw Data'!$R$2:$R$50000,MATCH(587,'Raw Data'!$W$2:$W$50000,0)),"")</f>
        <v/>
      </c>
      <c r="C588" s="11" t="str">
        <f t="shared" si="9"/>
        <v/>
      </c>
      <c r="D588" s="11" t="str">
        <f>IF($B588="","",COUNTIFS('Raw Data'!$R$2:$R$50000,$B588))</f>
        <v/>
      </c>
      <c r="E588" s="11" t="str">
        <f>IF($B588="","",SUMIFS('Raw Data'!$I$2:$I$50000,'Raw Data'!$R$2:$R$50000,$B588))</f>
        <v/>
      </c>
      <c r="F588" s="11" t="str">
        <f>IF($B588="","",RANK($E588,$E$2:$E$1501)+COUNTIF($E$2:E588,$E588)-1)</f>
        <v/>
      </c>
      <c r="G588" s="11" t="str">
        <f>IF($B588="","",RANK($D588,$D$2:$D$1501)+COUNTIF($D$2:D588,$D588)-1)</f>
        <v/>
      </c>
    </row>
    <row r="589" spans="1:7">
      <c r="A589" s="11">
        <v>588</v>
      </c>
      <c r="B589" s="11" t="str">
        <f>IFERROR(INDEX('Raw Data'!$R$2:$R$50000,MATCH(588,'Raw Data'!$W$2:$W$50000,0)),"")</f>
        <v/>
      </c>
      <c r="C589" s="11" t="str">
        <f t="shared" si="9"/>
        <v/>
      </c>
      <c r="D589" s="11" t="str">
        <f>IF($B589="","",COUNTIFS('Raw Data'!$R$2:$R$50000,$B589))</f>
        <v/>
      </c>
      <c r="E589" s="11" t="str">
        <f>IF($B589="","",SUMIFS('Raw Data'!$I$2:$I$50000,'Raw Data'!$R$2:$R$50000,$B589))</f>
        <v/>
      </c>
      <c r="F589" s="11" t="str">
        <f>IF($B589="","",RANK($E589,$E$2:$E$1501)+COUNTIF($E$2:E589,$E589)-1)</f>
        <v/>
      </c>
      <c r="G589" s="11" t="str">
        <f>IF($B589="","",RANK($D589,$D$2:$D$1501)+COUNTIF($D$2:D589,$D589)-1)</f>
        <v/>
      </c>
    </row>
    <row r="590" spans="1:7">
      <c r="A590" s="11">
        <v>589</v>
      </c>
      <c r="B590" s="11" t="str">
        <f>IFERROR(INDEX('Raw Data'!$R$2:$R$50000,MATCH(589,'Raw Data'!$W$2:$W$50000,0)),"")</f>
        <v/>
      </c>
      <c r="C590" s="11" t="str">
        <f t="shared" si="9"/>
        <v/>
      </c>
      <c r="D590" s="11" t="str">
        <f>IF($B590="","",COUNTIFS('Raw Data'!$R$2:$R$50000,$B590))</f>
        <v/>
      </c>
      <c r="E590" s="11" t="str">
        <f>IF($B590="","",SUMIFS('Raw Data'!$I$2:$I$50000,'Raw Data'!$R$2:$R$50000,$B590))</f>
        <v/>
      </c>
      <c r="F590" s="11" t="str">
        <f>IF($B590="","",RANK($E590,$E$2:$E$1501)+COUNTIF($E$2:E590,$E590)-1)</f>
        <v/>
      </c>
      <c r="G590" s="11" t="str">
        <f>IF($B590="","",RANK($D590,$D$2:$D$1501)+COUNTIF($D$2:D590,$D590)-1)</f>
        <v/>
      </c>
    </row>
    <row r="591" spans="1:7">
      <c r="A591" s="11">
        <v>590</v>
      </c>
      <c r="B591" s="11" t="str">
        <f>IFERROR(INDEX('Raw Data'!$R$2:$R$50000,MATCH(590,'Raw Data'!$W$2:$W$50000,0)),"")</f>
        <v/>
      </c>
      <c r="C591" s="11" t="str">
        <f t="shared" si="9"/>
        <v/>
      </c>
      <c r="D591" s="11" t="str">
        <f>IF($B591="","",COUNTIFS('Raw Data'!$R$2:$R$50000,$B591))</f>
        <v/>
      </c>
      <c r="E591" s="11" t="str">
        <f>IF($B591="","",SUMIFS('Raw Data'!$I$2:$I$50000,'Raw Data'!$R$2:$R$50000,$B591))</f>
        <v/>
      </c>
      <c r="F591" s="11" t="str">
        <f>IF($B591="","",RANK($E591,$E$2:$E$1501)+COUNTIF($E$2:E591,$E591)-1)</f>
        <v/>
      </c>
      <c r="G591" s="11" t="str">
        <f>IF($B591="","",RANK($D591,$D$2:$D$1501)+COUNTIF($D$2:D591,$D591)-1)</f>
        <v/>
      </c>
    </row>
    <row r="592" spans="1:7">
      <c r="A592" s="11">
        <v>591</v>
      </c>
      <c r="B592" s="11" t="str">
        <f>IFERROR(INDEX('Raw Data'!$R$2:$R$50000,MATCH(591,'Raw Data'!$W$2:$W$50000,0)),"")</f>
        <v/>
      </c>
      <c r="C592" s="11" t="str">
        <f t="shared" si="9"/>
        <v/>
      </c>
      <c r="D592" s="11" t="str">
        <f>IF($B592="","",COUNTIFS('Raw Data'!$R$2:$R$50000,$B592))</f>
        <v/>
      </c>
      <c r="E592" s="11" t="str">
        <f>IF($B592="","",SUMIFS('Raw Data'!$I$2:$I$50000,'Raw Data'!$R$2:$R$50000,$B592))</f>
        <v/>
      </c>
      <c r="F592" s="11" t="str">
        <f>IF($B592="","",RANK($E592,$E$2:$E$1501)+COUNTIF($E$2:E592,$E592)-1)</f>
        <v/>
      </c>
      <c r="G592" s="11" t="str">
        <f>IF($B592="","",RANK($D592,$D$2:$D$1501)+COUNTIF($D$2:D592,$D592)-1)</f>
        <v/>
      </c>
    </row>
    <row r="593" spans="1:7">
      <c r="A593" s="11">
        <v>592</v>
      </c>
      <c r="B593" s="11" t="str">
        <f>IFERROR(INDEX('Raw Data'!$R$2:$R$50000,MATCH(592,'Raw Data'!$W$2:$W$50000,0)),"")</f>
        <v/>
      </c>
      <c r="C593" s="11" t="str">
        <f t="shared" si="9"/>
        <v/>
      </c>
      <c r="D593" s="11" t="str">
        <f>IF($B593="","",COUNTIFS('Raw Data'!$R$2:$R$50000,$B593))</f>
        <v/>
      </c>
      <c r="E593" s="11" t="str">
        <f>IF($B593="","",SUMIFS('Raw Data'!$I$2:$I$50000,'Raw Data'!$R$2:$R$50000,$B593))</f>
        <v/>
      </c>
      <c r="F593" s="11" t="str">
        <f>IF($B593="","",RANK($E593,$E$2:$E$1501)+COUNTIF($E$2:E593,$E593)-1)</f>
        <v/>
      </c>
      <c r="G593" s="11" t="str">
        <f>IF($B593="","",RANK($D593,$D$2:$D$1501)+COUNTIF($D$2:D593,$D593)-1)</f>
        <v/>
      </c>
    </row>
    <row r="594" spans="1:7">
      <c r="A594" s="11">
        <v>593</v>
      </c>
      <c r="B594" s="11" t="str">
        <f>IFERROR(INDEX('Raw Data'!$R$2:$R$50000,MATCH(593,'Raw Data'!$W$2:$W$50000,0)),"")</f>
        <v/>
      </c>
      <c r="C594" s="11" t="str">
        <f t="shared" si="9"/>
        <v/>
      </c>
      <c r="D594" s="11" t="str">
        <f>IF($B594="","",COUNTIFS('Raw Data'!$R$2:$R$50000,$B594))</f>
        <v/>
      </c>
      <c r="E594" s="11" t="str">
        <f>IF($B594="","",SUMIFS('Raw Data'!$I$2:$I$50000,'Raw Data'!$R$2:$R$50000,$B594))</f>
        <v/>
      </c>
      <c r="F594" s="11" t="str">
        <f>IF($B594="","",RANK($E594,$E$2:$E$1501)+COUNTIF($E$2:E594,$E594)-1)</f>
        <v/>
      </c>
      <c r="G594" s="11" t="str">
        <f>IF($B594="","",RANK($D594,$D$2:$D$1501)+COUNTIF($D$2:D594,$D594)-1)</f>
        <v/>
      </c>
    </row>
    <row r="595" spans="1:7">
      <c r="A595" s="11">
        <v>594</v>
      </c>
      <c r="B595" s="11" t="str">
        <f>IFERROR(INDEX('Raw Data'!$R$2:$R$50000,MATCH(594,'Raw Data'!$W$2:$W$50000,0)),"")</f>
        <v/>
      </c>
      <c r="C595" s="11" t="str">
        <f t="shared" si="9"/>
        <v/>
      </c>
      <c r="D595" s="11" t="str">
        <f>IF($B595="","",COUNTIFS('Raw Data'!$R$2:$R$50000,$B595))</f>
        <v/>
      </c>
      <c r="E595" s="11" t="str">
        <f>IF($B595="","",SUMIFS('Raw Data'!$I$2:$I$50000,'Raw Data'!$R$2:$R$50000,$B595))</f>
        <v/>
      </c>
      <c r="F595" s="11" t="str">
        <f>IF($B595="","",RANK($E595,$E$2:$E$1501)+COUNTIF($E$2:E595,$E595)-1)</f>
        <v/>
      </c>
      <c r="G595" s="11" t="str">
        <f>IF($B595="","",RANK($D595,$D$2:$D$1501)+COUNTIF($D$2:D595,$D595)-1)</f>
        <v/>
      </c>
    </row>
    <row r="596" spans="1:7">
      <c r="A596" s="11">
        <v>595</v>
      </c>
      <c r="B596" s="11" t="str">
        <f>IFERROR(INDEX('Raw Data'!$R$2:$R$50000,MATCH(595,'Raw Data'!$W$2:$W$50000,0)),"")</f>
        <v/>
      </c>
      <c r="C596" s="11" t="str">
        <f t="shared" si="9"/>
        <v/>
      </c>
      <c r="D596" s="11" t="str">
        <f>IF($B596="","",COUNTIFS('Raw Data'!$R$2:$R$50000,$B596))</f>
        <v/>
      </c>
      <c r="E596" s="11" t="str">
        <f>IF($B596="","",SUMIFS('Raw Data'!$I$2:$I$50000,'Raw Data'!$R$2:$R$50000,$B596))</f>
        <v/>
      </c>
      <c r="F596" s="11" t="str">
        <f>IF($B596="","",RANK($E596,$E$2:$E$1501)+COUNTIF($E$2:E596,$E596)-1)</f>
        <v/>
      </c>
      <c r="G596" s="11" t="str">
        <f>IF($B596="","",RANK($D596,$D$2:$D$1501)+COUNTIF($D$2:D596,$D596)-1)</f>
        <v/>
      </c>
    </row>
    <row r="597" spans="1:7">
      <c r="A597" s="11">
        <v>596</v>
      </c>
      <c r="B597" s="11" t="str">
        <f>IFERROR(INDEX('Raw Data'!$R$2:$R$50000,MATCH(596,'Raw Data'!$W$2:$W$50000,0)),"")</f>
        <v/>
      </c>
      <c r="C597" s="11" t="str">
        <f t="shared" si="9"/>
        <v/>
      </c>
      <c r="D597" s="11" t="str">
        <f>IF($B597="","",COUNTIFS('Raw Data'!$R$2:$R$50000,$B597))</f>
        <v/>
      </c>
      <c r="E597" s="11" t="str">
        <f>IF($B597="","",SUMIFS('Raw Data'!$I$2:$I$50000,'Raw Data'!$R$2:$R$50000,$B597))</f>
        <v/>
      </c>
      <c r="F597" s="11" t="str">
        <f>IF($B597="","",RANK($E597,$E$2:$E$1501)+COUNTIF($E$2:E597,$E597)-1)</f>
        <v/>
      </c>
      <c r="G597" s="11" t="str">
        <f>IF($B597="","",RANK($D597,$D$2:$D$1501)+COUNTIF($D$2:D597,$D597)-1)</f>
        <v/>
      </c>
    </row>
    <row r="598" spans="1:7">
      <c r="A598" s="11">
        <v>597</v>
      </c>
      <c r="B598" s="11" t="str">
        <f>IFERROR(INDEX('Raw Data'!$R$2:$R$50000,MATCH(597,'Raw Data'!$W$2:$W$50000,0)),"")</f>
        <v/>
      </c>
      <c r="C598" s="11" t="str">
        <f t="shared" si="9"/>
        <v/>
      </c>
      <c r="D598" s="11" t="str">
        <f>IF($B598="","",COUNTIFS('Raw Data'!$R$2:$R$50000,$B598))</f>
        <v/>
      </c>
      <c r="E598" s="11" t="str">
        <f>IF($B598="","",SUMIFS('Raw Data'!$I$2:$I$50000,'Raw Data'!$R$2:$R$50000,$B598))</f>
        <v/>
      </c>
      <c r="F598" s="11" t="str">
        <f>IF($B598="","",RANK($E598,$E$2:$E$1501)+COUNTIF($E$2:E598,$E598)-1)</f>
        <v/>
      </c>
      <c r="G598" s="11" t="str">
        <f>IF($B598="","",RANK($D598,$D$2:$D$1501)+COUNTIF($D$2:D598,$D598)-1)</f>
        <v/>
      </c>
    </row>
    <row r="599" spans="1:7">
      <c r="A599" s="11">
        <v>598</v>
      </c>
      <c r="B599" s="11" t="str">
        <f>IFERROR(INDEX('Raw Data'!$R$2:$R$50000,MATCH(598,'Raw Data'!$W$2:$W$50000,0)),"")</f>
        <v/>
      </c>
      <c r="C599" s="11" t="str">
        <f t="shared" si="9"/>
        <v/>
      </c>
      <c r="D599" s="11" t="str">
        <f>IF($B599="","",COUNTIFS('Raw Data'!$R$2:$R$50000,$B599))</f>
        <v/>
      </c>
      <c r="E599" s="11" t="str">
        <f>IF($B599="","",SUMIFS('Raw Data'!$I$2:$I$50000,'Raw Data'!$R$2:$R$50000,$B599))</f>
        <v/>
      </c>
      <c r="F599" s="11" t="str">
        <f>IF($B599="","",RANK($E599,$E$2:$E$1501)+COUNTIF($E$2:E599,$E599)-1)</f>
        <v/>
      </c>
      <c r="G599" s="11" t="str">
        <f>IF($B599="","",RANK($D599,$D$2:$D$1501)+COUNTIF($D$2:D599,$D599)-1)</f>
        <v/>
      </c>
    </row>
    <row r="600" spans="1:7">
      <c r="A600" s="11">
        <v>599</v>
      </c>
      <c r="B600" s="11" t="str">
        <f>IFERROR(INDEX('Raw Data'!$R$2:$R$50000,MATCH(599,'Raw Data'!$W$2:$W$50000,0)),"")</f>
        <v/>
      </c>
      <c r="C600" s="11" t="str">
        <f t="shared" si="9"/>
        <v/>
      </c>
      <c r="D600" s="11" t="str">
        <f>IF($B600="","",COUNTIFS('Raw Data'!$R$2:$R$50000,$B600))</f>
        <v/>
      </c>
      <c r="E600" s="11" t="str">
        <f>IF($B600="","",SUMIFS('Raw Data'!$I$2:$I$50000,'Raw Data'!$R$2:$R$50000,$B600))</f>
        <v/>
      </c>
      <c r="F600" s="11" t="str">
        <f>IF($B600="","",RANK($E600,$E$2:$E$1501)+COUNTIF($E$2:E600,$E600)-1)</f>
        <v/>
      </c>
      <c r="G600" s="11" t="str">
        <f>IF($B600="","",RANK($D600,$D$2:$D$1501)+COUNTIF($D$2:D600,$D600)-1)</f>
        <v/>
      </c>
    </row>
    <row r="601" spans="1:7">
      <c r="A601" s="11">
        <v>600</v>
      </c>
      <c r="B601" s="11" t="str">
        <f>IFERROR(INDEX('Raw Data'!$R$2:$R$50000,MATCH(600,'Raw Data'!$W$2:$W$50000,0)),"")</f>
        <v/>
      </c>
      <c r="C601" s="11" t="str">
        <f t="shared" si="9"/>
        <v/>
      </c>
      <c r="D601" s="11" t="str">
        <f>IF($B601="","",COUNTIFS('Raw Data'!$R$2:$R$50000,$B601))</f>
        <v/>
      </c>
      <c r="E601" s="11" t="str">
        <f>IF($B601="","",SUMIFS('Raw Data'!$I$2:$I$50000,'Raw Data'!$R$2:$R$50000,$B601))</f>
        <v/>
      </c>
      <c r="F601" s="11" t="str">
        <f>IF($B601="","",RANK($E601,$E$2:$E$1501)+COUNTIF($E$2:E601,$E601)-1)</f>
        <v/>
      </c>
      <c r="G601" s="11" t="str">
        <f>IF($B601="","",RANK($D601,$D$2:$D$1501)+COUNTIF($D$2:D601,$D601)-1)</f>
        <v/>
      </c>
    </row>
    <row r="602" spans="1:7">
      <c r="A602" s="11">
        <v>601</v>
      </c>
      <c r="B602" s="11" t="str">
        <f>IFERROR(INDEX('Raw Data'!$R$2:$R$50000,MATCH(601,'Raw Data'!$W$2:$W$50000,0)),"")</f>
        <v/>
      </c>
      <c r="C602" s="11" t="str">
        <f t="shared" si="9"/>
        <v/>
      </c>
      <c r="D602" s="11" t="str">
        <f>IF($B602="","",COUNTIFS('Raw Data'!$R$2:$R$50000,$B602))</f>
        <v/>
      </c>
      <c r="E602" s="11" t="str">
        <f>IF($B602="","",SUMIFS('Raw Data'!$I$2:$I$50000,'Raw Data'!$R$2:$R$50000,$B602))</f>
        <v/>
      </c>
      <c r="F602" s="11" t="str">
        <f>IF($B602="","",RANK($E602,$E$2:$E$1501)+COUNTIF($E$2:E602,$E602)-1)</f>
        <v/>
      </c>
      <c r="G602" s="11" t="str">
        <f>IF($B602="","",RANK($D602,$D$2:$D$1501)+COUNTIF($D$2:D602,$D602)-1)</f>
        <v/>
      </c>
    </row>
    <row r="603" spans="1:7">
      <c r="A603" s="11">
        <v>602</v>
      </c>
      <c r="B603" s="11" t="str">
        <f>IFERROR(INDEX('Raw Data'!$R$2:$R$50000,MATCH(602,'Raw Data'!$W$2:$W$50000,0)),"")</f>
        <v/>
      </c>
      <c r="C603" s="11" t="str">
        <f t="shared" si="9"/>
        <v/>
      </c>
      <c r="D603" s="11" t="str">
        <f>IF($B603="","",COUNTIFS('Raw Data'!$R$2:$R$50000,$B603))</f>
        <v/>
      </c>
      <c r="E603" s="11" t="str">
        <f>IF($B603="","",SUMIFS('Raw Data'!$I$2:$I$50000,'Raw Data'!$R$2:$R$50000,$B603))</f>
        <v/>
      </c>
      <c r="F603" s="11" t="str">
        <f>IF($B603="","",RANK($E603,$E$2:$E$1501)+COUNTIF($E$2:E603,$E603)-1)</f>
        <v/>
      </c>
      <c r="G603" s="11" t="str">
        <f>IF($B603="","",RANK($D603,$D$2:$D$1501)+COUNTIF($D$2:D603,$D603)-1)</f>
        <v/>
      </c>
    </row>
    <row r="604" spans="1:7">
      <c r="A604" s="11">
        <v>603</v>
      </c>
      <c r="B604" s="11" t="str">
        <f>IFERROR(INDEX('Raw Data'!$R$2:$R$50000,MATCH(603,'Raw Data'!$W$2:$W$50000,0)),"")</f>
        <v/>
      </c>
      <c r="C604" s="11" t="str">
        <f t="shared" si="9"/>
        <v/>
      </c>
      <c r="D604" s="11" t="str">
        <f>IF($B604="","",COUNTIFS('Raw Data'!$R$2:$R$50000,$B604))</f>
        <v/>
      </c>
      <c r="E604" s="11" t="str">
        <f>IF($B604="","",SUMIFS('Raw Data'!$I$2:$I$50000,'Raw Data'!$R$2:$R$50000,$B604))</f>
        <v/>
      </c>
      <c r="F604" s="11" t="str">
        <f>IF($B604="","",RANK($E604,$E$2:$E$1501)+COUNTIF($E$2:E604,$E604)-1)</f>
        <v/>
      </c>
      <c r="G604" s="11" t="str">
        <f>IF($B604="","",RANK($D604,$D$2:$D$1501)+COUNTIF($D$2:D604,$D604)-1)</f>
        <v/>
      </c>
    </row>
    <row r="605" spans="1:7">
      <c r="A605" s="11">
        <v>604</v>
      </c>
      <c r="B605" s="11" t="str">
        <f>IFERROR(INDEX('Raw Data'!$R$2:$R$50000,MATCH(604,'Raw Data'!$W$2:$W$50000,0)),"")</f>
        <v/>
      </c>
      <c r="C605" s="11" t="str">
        <f t="shared" si="9"/>
        <v/>
      </c>
      <c r="D605" s="11" t="str">
        <f>IF($B605="","",COUNTIFS('Raw Data'!$R$2:$R$50000,$B605))</f>
        <v/>
      </c>
      <c r="E605" s="11" t="str">
        <f>IF($B605="","",SUMIFS('Raw Data'!$I$2:$I$50000,'Raw Data'!$R$2:$R$50000,$B605))</f>
        <v/>
      </c>
      <c r="F605" s="11" t="str">
        <f>IF($B605="","",RANK($E605,$E$2:$E$1501)+COUNTIF($E$2:E605,$E605)-1)</f>
        <v/>
      </c>
      <c r="G605" s="11" t="str">
        <f>IF($B605="","",RANK($D605,$D$2:$D$1501)+COUNTIF($D$2:D605,$D605)-1)</f>
        <v/>
      </c>
    </row>
    <row r="606" spans="1:7">
      <c r="A606" s="11">
        <v>605</v>
      </c>
      <c r="B606" s="11" t="str">
        <f>IFERROR(INDEX('Raw Data'!$R$2:$R$50000,MATCH(605,'Raw Data'!$W$2:$W$50000,0)),"")</f>
        <v/>
      </c>
      <c r="C606" s="11" t="str">
        <f t="shared" si="9"/>
        <v/>
      </c>
      <c r="D606" s="11" t="str">
        <f>IF($B606="","",COUNTIFS('Raw Data'!$R$2:$R$50000,$B606))</f>
        <v/>
      </c>
      <c r="E606" s="11" t="str">
        <f>IF($B606="","",SUMIFS('Raw Data'!$I$2:$I$50000,'Raw Data'!$R$2:$R$50000,$B606))</f>
        <v/>
      </c>
      <c r="F606" s="11" t="str">
        <f>IF($B606="","",RANK($E606,$E$2:$E$1501)+COUNTIF($E$2:E606,$E606)-1)</f>
        <v/>
      </c>
      <c r="G606" s="11" t="str">
        <f>IF($B606="","",RANK($D606,$D$2:$D$1501)+COUNTIF($D$2:D606,$D606)-1)</f>
        <v/>
      </c>
    </row>
    <row r="607" spans="1:7">
      <c r="A607" s="11">
        <v>606</v>
      </c>
      <c r="B607" s="11" t="str">
        <f>IFERROR(INDEX('Raw Data'!$R$2:$R$50000,MATCH(606,'Raw Data'!$W$2:$W$50000,0)),"")</f>
        <v/>
      </c>
      <c r="C607" s="11" t="str">
        <f t="shared" si="9"/>
        <v/>
      </c>
      <c r="D607" s="11" t="str">
        <f>IF($B607="","",COUNTIFS('Raw Data'!$R$2:$R$50000,$B607))</f>
        <v/>
      </c>
      <c r="E607" s="11" t="str">
        <f>IF($B607="","",SUMIFS('Raw Data'!$I$2:$I$50000,'Raw Data'!$R$2:$R$50000,$B607))</f>
        <v/>
      </c>
      <c r="F607" s="11" t="str">
        <f>IF($B607="","",RANK($E607,$E$2:$E$1501)+COUNTIF($E$2:E607,$E607)-1)</f>
        <v/>
      </c>
      <c r="G607" s="11" t="str">
        <f>IF($B607="","",RANK($D607,$D$2:$D$1501)+COUNTIF($D$2:D607,$D607)-1)</f>
        <v/>
      </c>
    </row>
    <row r="608" spans="1:7">
      <c r="A608" s="11">
        <v>607</v>
      </c>
      <c r="B608" s="11" t="str">
        <f>IFERROR(INDEX('Raw Data'!$R$2:$R$50000,MATCH(607,'Raw Data'!$W$2:$W$50000,0)),"")</f>
        <v/>
      </c>
      <c r="C608" s="11" t="str">
        <f t="shared" si="9"/>
        <v/>
      </c>
      <c r="D608" s="11" t="str">
        <f>IF($B608="","",COUNTIFS('Raw Data'!$R$2:$R$50000,$B608))</f>
        <v/>
      </c>
      <c r="E608" s="11" t="str">
        <f>IF($B608="","",SUMIFS('Raw Data'!$I$2:$I$50000,'Raw Data'!$R$2:$R$50000,$B608))</f>
        <v/>
      </c>
      <c r="F608" s="11" t="str">
        <f>IF($B608="","",RANK($E608,$E$2:$E$1501)+COUNTIF($E$2:E608,$E608)-1)</f>
        <v/>
      </c>
      <c r="G608" s="11" t="str">
        <f>IF($B608="","",RANK($D608,$D$2:$D$1501)+COUNTIF($D$2:D608,$D608)-1)</f>
        <v/>
      </c>
    </row>
    <row r="609" spans="1:7">
      <c r="A609" s="11">
        <v>608</v>
      </c>
      <c r="B609" s="11" t="str">
        <f>IFERROR(INDEX('Raw Data'!$R$2:$R$50000,MATCH(608,'Raw Data'!$W$2:$W$50000,0)),"")</f>
        <v/>
      </c>
      <c r="C609" s="11" t="str">
        <f t="shared" si="9"/>
        <v/>
      </c>
      <c r="D609" s="11" t="str">
        <f>IF($B609="","",COUNTIFS('Raw Data'!$R$2:$R$50000,$B609))</f>
        <v/>
      </c>
      <c r="E609" s="11" t="str">
        <f>IF($B609="","",SUMIFS('Raw Data'!$I$2:$I$50000,'Raw Data'!$R$2:$R$50000,$B609))</f>
        <v/>
      </c>
      <c r="F609" s="11" t="str">
        <f>IF($B609="","",RANK($E609,$E$2:$E$1501)+COUNTIF($E$2:E609,$E609)-1)</f>
        <v/>
      </c>
      <c r="G609" s="11" t="str">
        <f>IF($B609="","",RANK($D609,$D$2:$D$1501)+COUNTIF($D$2:D609,$D609)-1)</f>
        <v/>
      </c>
    </row>
    <row r="610" spans="1:7">
      <c r="A610" s="11">
        <v>609</v>
      </c>
      <c r="B610" s="11" t="str">
        <f>IFERROR(INDEX('Raw Data'!$R$2:$R$50000,MATCH(609,'Raw Data'!$W$2:$W$50000,0)),"")</f>
        <v/>
      </c>
      <c r="C610" s="11" t="str">
        <f t="shared" si="9"/>
        <v/>
      </c>
      <c r="D610" s="11" t="str">
        <f>IF($B610="","",COUNTIFS('Raw Data'!$R$2:$R$50000,$B610))</f>
        <v/>
      </c>
      <c r="E610" s="11" t="str">
        <f>IF($B610="","",SUMIFS('Raw Data'!$I$2:$I$50000,'Raw Data'!$R$2:$R$50000,$B610))</f>
        <v/>
      </c>
      <c r="F610" s="11" t="str">
        <f>IF($B610="","",RANK($E610,$E$2:$E$1501)+COUNTIF($E$2:E610,$E610)-1)</f>
        <v/>
      </c>
      <c r="G610" s="11" t="str">
        <f>IF($B610="","",RANK($D610,$D$2:$D$1501)+COUNTIF($D$2:D610,$D610)-1)</f>
        <v/>
      </c>
    </row>
    <row r="611" spans="1:7">
      <c r="A611" s="11">
        <v>610</v>
      </c>
      <c r="B611" s="11" t="str">
        <f>IFERROR(INDEX('Raw Data'!$R$2:$R$50000,MATCH(610,'Raw Data'!$W$2:$W$50000,0)),"")</f>
        <v/>
      </c>
      <c r="C611" s="11" t="str">
        <f t="shared" si="9"/>
        <v/>
      </c>
      <c r="D611" s="11" t="str">
        <f>IF($B611="","",COUNTIFS('Raw Data'!$R$2:$R$50000,$B611))</f>
        <v/>
      </c>
      <c r="E611" s="11" t="str">
        <f>IF($B611="","",SUMIFS('Raw Data'!$I$2:$I$50000,'Raw Data'!$R$2:$R$50000,$B611))</f>
        <v/>
      </c>
      <c r="F611" s="11" t="str">
        <f>IF($B611="","",RANK($E611,$E$2:$E$1501)+COUNTIF($E$2:E611,$E611)-1)</f>
        <v/>
      </c>
      <c r="G611" s="11" t="str">
        <f>IF($B611="","",RANK($D611,$D$2:$D$1501)+COUNTIF($D$2:D611,$D611)-1)</f>
        <v/>
      </c>
    </row>
    <row r="612" spans="1:7">
      <c r="A612" s="11">
        <v>611</v>
      </c>
      <c r="B612" s="11" t="str">
        <f>IFERROR(INDEX('Raw Data'!$R$2:$R$50000,MATCH(611,'Raw Data'!$W$2:$W$50000,0)),"")</f>
        <v/>
      </c>
      <c r="C612" s="11" t="str">
        <f t="shared" si="9"/>
        <v/>
      </c>
      <c r="D612" s="11" t="str">
        <f>IF($B612="","",COUNTIFS('Raw Data'!$R$2:$R$50000,$B612))</f>
        <v/>
      </c>
      <c r="E612" s="11" t="str">
        <f>IF($B612="","",SUMIFS('Raw Data'!$I$2:$I$50000,'Raw Data'!$R$2:$R$50000,$B612))</f>
        <v/>
      </c>
      <c r="F612" s="11" t="str">
        <f>IF($B612="","",RANK($E612,$E$2:$E$1501)+COUNTIF($E$2:E612,$E612)-1)</f>
        <v/>
      </c>
      <c r="G612" s="11" t="str">
        <f>IF($B612="","",RANK($D612,$D$2:$D$1501)+COUNTIF($D$2:D612,$D612)-1)</f>
        <v/>
      </c>
    </row>
    <row r="613" spans="1:7">
      <c r="A613" s="11">
        <v>612</v>
      </c>
      <c r="B613" s="11" t="str">
        <f>IFERROR(INDEX('Raw Data'!$R$2:$R$50000,MATCH(612,'Raw Data'!$W$2:$W$50000,0)),"")</f>
        <v/>
      </c>
      <c r="C613" s="11" t="str">
        <f t="shared" si="9"/>
        <v/>
      </c>
      <c r="D613" s="11" t="str">
        <f>IF($B613="","",COUNTIFS('Raw Data'!$R$2:$R$50000,$B613))</f>
        <v/>
      </c>
      <c r="E613" s="11" t="str">
        <f>IF($B613="","",SUMIFS('Raw Data'!$I$2:$I$50000,'Raw Data'!$R$2:$R$50000,$B613))</f>
        <v/>
      </c>
      <c r="F613" s="11" t="str">
        <f>IF($B613="","",RANK($E613,$E$2:$E$1501)+COUNTIF($E$2:E613,$E613)-1)</f>
        <v/>
      </c>
      <c r="G613" s="11" t="str">
        <f>IF($B613="","",RANK($D613,$D$2:$D$1501)+COUNTIF($D$2:D613,$D613)-1)</f>
        <v/>
      </c>
    </row>
    <row r="614" spans="1:7">
      <c r="A614" s="11">
        <v>613</v>
      </c>
      <c r="B614" s="11" t="str">
        <f>IFERROR(INDEX('Raw Data'!$R$2:$R$50000,MATCH(613,'Raw Data'!$W$2:$W$50000,0)),"")</f>
        <v/>
      </c>
      <c r="C614" s="11" t="str">
        <f t="shared" si="9"/>
        <v/>
      </c>
      <c r="D614" s="11" t="str">
        <f>IF($B614="","",COUNTIFS('Raw Data'!$R$2:$R$50000,$B614))</f>
        <v/>
      </c>
      <c r="E614" s="11" t="str">
        <f>IF($B614="","",SUMIFS('Raw Data'!$I$2:$I$50000,'Raw Data'!$R$2:$R$50000,$B614))</f>
        <v/>
      </c>
      <c r="F614" s="11" t="str">
        <f>IF($B614="","",RANK($E614,$E$2:$E$1501)+COUNTIF($E$2:E614,$E614)-1)</f>
        <v/>
      </c>
      <c r="G614" s="11" t="str">
        <f>IF($B614="","",RANK($D614,$D$2:$D$1501)+COUNTIF($D$2:D614,$D614)-1)</f>
        <v/>
      </c>
    </row>
    <row r="615" spans="1:7">
      <c r="A615" s="11">
        <v>614</v>
      </c>
      <c r="B615" s="11" t="str">
        <f>IFERROR(INDEX('Raw Data'!$R$2:$R$50000,MATCH(614,'Raw Data'!$W$2:$W$50000,0)),"")</f>
        <v/>
      </c>
      <c r="C615" s="11" t="str">
        <f t="shared" si="9"/>
        <v/>
      </c>
      <c r="D615" s="11" t="str">
        <f>IF($B615="","",COUNTIFS('Raw Data'!$R$2:$R$50000,$B615))</f>
        <v/>
      </c>
      <c r="E615" s="11" t="str">
        <f>IF($B615="","",SUMIFS('Raw Data'!$I$2:$I$50000,'Raw Data'!$R$2:$R$50000,$B615))</f>
        <v/>
      </c>
      <c r="F615" s="11" t="str">
        <f>IF($B615="","",RANK($E615,$E$2:$E$1501)+COUNTIF($E$2:E615,$E615)-1)</f>
        <v/>
      </c>
      <c r="G615" s="11" t="str">
        <f>IF($B615="","",RANK($D615,$D$2:$D$1501)+COUNTIF($D$2:D615,$D615)-1)</f>
        <v/>
      </c>
    </row>
    <row r="616" spans="1:7">
      <c r="A616" s="11">
        <v>615</v>
      </c>
      <c r="B616" s="11" t="str">
        <f>IFERROR(INDEX('Raw Data'!$R$2:$R$50000,MATCH(615,'Raw Data'!$W$2:$W$50000,0)),"")</f>
        <v/>
      </c>
      <c r="C616" s="11" t="str">
        <f t="shared" si="9"/>
        <v/>
      </c>
      <c r="D616" s="11" t="str">
        <f>IF($B616="","",COUNTIFS('Raw Data'!$R$2:$R$50000,$B616))</f>
        <v/>
      </c>
      <c r="E616" s="11" t="str">
        <f>IF($B616="","",SUMIFS('Raw Data'!$I$2:$I$50000,'Raw Data'!$R$2:$R$50000,$B616))</f>
        <v/>
      </c>
      <c r="F616" s="11" t="str">
        <f>IF($B616="","",RANK($E616,$E$2:$E$1501)+COUNTIF($E$2:E616,$E616)-1)</f>
        <v/>
      </c>
      <c r="G616" s="11" t="str">
        <f>IF($B616="","",RANK($D616,$D$2:$D$1501)+COUNTIF($D$2:D616,$D616)-1)</f>
        <v/>
      </c>
    </row>
    <row r="617" spans="1:7">
      <c r="A617" s="11">
        <v>616</v>
      </c>
      <c r="B617" s="11" t="str">
        <f>IFERROR(INDEX('Raw Data'!$R$2:$R$50000,MATCH(616,'Raw Data'!$W$2:$W$50000,0)),"")</f>
        <v/>
      </c>
      <c r="C617" s="11" t="str">
        <f t="shared" si="9"/>
        <v/>
      </c>
      <c r="D617" s="11" t="str">
        <f>IF($B617="","",COUNTIFS('Raw Data'!$R$2:$R$50000,$B617))</f>
        <v/>
      </c>
      <c r="E617" s="11" t="str">
        <f>IF($B617="","",SUMIFS('Raw Data'!$I$2:$I$50000,'Raw Data'!$R$2:$R$50000,$B617))</f>
        <v/>
      </c>
      <c r="F617" s="11" t="str">
        <f>IF($B617="","",RANK($E617,$E$2:$E$1501)+COUNTIF($E$2:E617,$E617)-1)</f>
        <v/>
      </c>
      <c r="G617" s="11" t="str">
        <f>IF($B617="","",RANK($D617,$D$2:$D$1501)+COUNTIF($D$2:D617,$D617)-1)</f>
        <v/>
      </c>
    </row>
    <row r="618" spans="1:7">
      <c r="A618" s="11">
        <v>617</v>
      </c>
      <c r="B618" s="11" t="str">
        <f>IFERROR(INDEX('Raw Data'!$R$2:$R$50000,MATCH(617,'Raw Data'!$W$2:$W$50000,0)),"")</f>
        <v/>
      </c>
      <c r="C618" s="11" t="str">
        <f t="shared" si="9"/>
        <v/>
      </c>
      <c r="D618" s="11" t="str">
        <f>IF($B618="","",COUNTIFS('Raw Data'!$R$2:$R$50000,$B618))</f>
        <v/>
      </c>
      <c r="E618" s="11" t="str">
        <f>IF($B618="","",SUMIFS('Raw Data'!$I$2:$I$50000,'Raw Data'!$R$2:$R$50000,$B618))</f>
        <v/>
      </c>
      <c r="F618" s="11" t="str">
        <f>IF($B618="","",RANK($E618,$E$2:$E$1501)+COUNTIF($E$2:E618,$E618)-1)</f>
        <v/>
      </c>
      <c r="G618" s="11" t="str">
        <f>IF($B618="","",RANK($D618,$D$2:$D$1501)+COUNTIF($D$2:D618,$D618)-1)</f>
        <v/>
      </c>
    </row>
    <row r="619" spans="1:7">
      <c r="A619" s="11">
        <v>618</v>
      </c>
      <c r="B619" s="11" t="str">
        <f>IFERROR(INDEX('Raw Data'!$R$2:$R$50000,MATCH(618,'Raw Data'!$W$2:$W$50000,0)),"")</f>
        <v/>
      </c>
      <c r="C619" s="11" t="str">
        <f t="shared" si="9"/>
        <v/>
      </c>
      <c r="D619" s="11" t="str">
        <f>IF($B619="","",COUNTIFS('Raw Data'!$R$2:$R$50000,$B619))</f>
        <v/>
      </c>
      <c r="E619" s="11" t="str">
        <f>IF($B619="","",SUMIFS('Raw Data'!$I$2:$I$50000,'Raw Data'!$R$2:$R$50000,$B619))</f>
        <v/>
      </c>
      <c r="F619" s="11" t="str">
        <f>IF($B619="","",RANK($E619,$E$2:$E$1501)+COUNTIF($E$2:E619,$E619)-1)</f>
        <v/>
      </c>
      <c r="G619" s="11" t="str">
        <f>IF($B619="","",RANK($D619,$D$2:$D$1501)+COUNTIF($D$2:D619,$D619)-1)</f>
        <v/>
      </c>
    </row>
    <row r="620" spans="1:7">
      <c r="A620" s="11">
        <v>619</v>
      </c>
      <c r="B620" s="11" t="str">
        <f>IFERROR(INDEX('Raw Data'!$R$2:$R$50000,MATCH(619,'Raw Data'!$W$2:$W$50000,0)),"")</f>
        <v/>
      </c>
      <c r="C620" s="11" t="str">
        <f t="shared" si="9"/>
        <v/>
      </c>
      <c r="D620" s="11" t="str">
        <f>IF($B620="","",COUNTIFS('Raw Data'!$R$2:$R$50000,$B620))</f>
        <v/>
      </c>
      <c r="E620" s="11" t="str">
        <f>IF($B620="","",SUMIFS('Raw Data'!$I$2:$I$50000,'Raw Data'!$R$2:$R$50000,$B620))</f>
        <v/>
      </c>
      <c r="F620" s="11" t="str">
        <f>IF($B620="","",RANK($E620,$E$2:$E$1501)+COUNTIF($E$2:E620,$E620)-1)</f>
        <v/>
      </c>
      <c r="G620" s="11" t="str">
        <f>IF($B620="","",RANK($D620,$D$2:$D$1501)+COUNTIF($D$2:D620,$D620)-1)</f>
        <v/>
      </c>
    </row>
    <row r="621" spans="1:7">
      <c r="A621" s="11">
        <v>620</v>
      </c>
      <c r="B621" s="11" t="str">
        <f>IFERROR(INDEX('Raw Data'!$R$2:$R$50000,MATCH(620,'Raw Data'!$W$2:$W$50000,0)),"")</f>
        <v/>
      </c>
      <c r="C621" s="11" t="str">
        <f t="shared" si="9"/>
        <v/>
      </c>
      <c r="D621" s="11" t="str">
        <f>IF($B621="","",COUNTIFS('Raw Data'!$R$2:$R$50000,$B621))</f>
        <v/>
      </c>
      <c r="E621" s="11" t="str">
        <f>IF($B621="","",SUMIFS('Raw Data'!$I$2:$I$50000,'Raw Data'!$R$2:$R$50000,$B621))</f>
        <v/>
      </c>
      <c r="F621" s="11" t="str">
        <f>IF($B621="","",RANK($E621,$E$2:$E$1501)+COUNTIF($E$2:E621,$E621)-1)</f>
        <v/>
      </c>
      <c r="G621" s="11" t="str">
        <f>IF($B621="","",RANK($D621,$D$2:$D$1501)+COUNTIF($D$2:D621,$D621)-1)</f>
        <v/>
      </c>
    </row>
    <row r="622" spans="1:7">
      <c r="A622" s="11">
        <v>621</v>
      </c>
      <c r="B622" s="11" t="str">
        <f>IFERROR(INDEX('Raw Data'!$R$2:$R$50000,MATCH(621,'Raw Data'!$W$2:$W$50000,0)),"")</f>
        <v/>
      </c>
      <c r="C622" s="11" t="str">
        <f t="shared" si="9"/>
        <v/>
      </c>
      <c r="D622" s="11" t="str">
        <f>IF($B622="","",COUNTIFS('Raw Data'!$R$2:$R$50000,$B622))</f>
        <v/>
      </c>
      <c r="E622" s="11" t="str">
        <f>IF($B622="","",SUMIFS('Raw Data'!$I$2:$I$50000,'Raw Data'!$R$2:$R$50000,$B622))</f>
        <v/>
      </c>
      <c r="F622" s="11" t="str">
        <f>IF($B622="","",RANK($E622,$E$2:$E$1501)+COUNTIF($E$2:E622,$E622)-1)</f>
        <v/>
      </c>
      <c r="G622" s="11" t="str">
        <f>IF($B622="","",RANK($D622,$D$2:$D$1501)+COUNTIF($D$2:D622,$D622)-1)</f>
        <v/>
      </c>
    </row>
    <row r="623" spans="1:7">
      <c r="A623" s="11">
        <v>622</v>
      </c>
      <c r="B623" s="11" t="str">
        <f>IFERROR(INDEX('Raw Data'!$R$2:$R$50000,MATCH(622,'Raw Data'!$W$2:$W$50000,0)),"")</f>
        <v/>
      </c>
      <c r="C623" s="11" t="str">
        <f t="shared" si="9"/>
        <v/>
      </c>
      <c r="D623" s="11" t="str">
        <f>IF($B623="","",COUNTIFS('Raw Data'!$R$2:$R$50000,$B623))</f>
        <v/>
      </c>
      <c r="E623" s="11" t="str">
        <f>IF($B623="","",SUMIFS('Raw Data'!$I$2:$I$50000,'Raw Data'!$R$2:$R$50000,$B623))</f>
        <v/>
      </c>
      <c r="F623" s="11" t="str">
        <f>IF($B623="","",RANK($E623,$E$2:$E$1501)+COUNTIF($E$2:E623,$E623)-1)</f>
        <v/>
      </c>
      <c r="G623" s="11" t="str">
        <f>IF($B623="","",RANK($D623,$D$2:$D$1501)+COUNTIF($D$2:D623,$D623)-1)</f>
        <v/>
      </c>
    </row>
    <row r="624" spans="1:7">
      <c r="A624" s="11">
        <v>623</v>
      </c>
      <c r="B624" s="11" t="str">
        <f>IFERROR(INDEX('Raw Data'!$R$2:$R$50000,MATCH(623,'Raw Data'!$W$2:$W$50000,0)),"")</f>
        <v/>
      </c>
      <c r="C624" s="11" t="str">
        <f t="shared" si="9"/>
        <v/>
      </c>
      <c r="D624" s="11" t="str">
        <f>IF($B624="","",COUNTIFS('Raw Data'!$R$2:$R$50000,$B624))</f>
        <v/>
      </c>
      <c r="E624" s="11" t="str">
        <f>IF($B624="","",SUMIFS('Raw Data'!$I$2:$I$50000,'Raw Data'!$R$2:$R$50000,$B624))</f>
        <v/>
      </c>
      <c r="F624" s="11" t="str">
        <f>IF($B624="","",RANK($E624,$E$2:$E$1501)+COUNTIF($E$2:E624,$E624)-1)</f>
        <v/>
      </c>
      <c r="G624" s="11" t="str">
        <f>IF($B624="","",RANK($D624,$D$2:$D$1501)+COUNTIF($D$2:D624,$D624)-1)</f>
        <v/>
      </c>
    </row>
    <row r="625" spans="1:7">
      <c r="A625" s="11">
        <v>624</v>
      </c>
      <c r="B625" s="11" t="str">
        <f>IFERROR(INDEX('Raw Data'!$R$2:$R$50000,MATCH(624,'Raw Data'!$W$2:$W$50000,0)),"")</f>
        <v/>
      </c>
      <c r="C625" s="11" t="str">
        <f t="shared" si="9"/>
        <v/>
      </c>
      <c r="D625" s="11" t="str">
        <f>IF($B625="","",COUNTIFS('Raw Data'!$R$2:$R$50000,$B625))</f>
        <v/>
      </c>
      <c r="E625" s="11" t="str">
        <f>IF($B625="","",SUMIFS('Raw Data'!$I$2:$I$50000,'Raw Data'!$R$2:$R$50000,$B625))</f>
        <v/>
      </c>
      <c r="F625" s="11" t="str">
        <f>IF($B625="","",RANK($E625,$E$2:$E$1501)+COUNTIF($E$2:E625,$E625)-1)</f>
        <v/>
      </c>
      <c r="G625" s="11" t="str">
        <f>IF($B625="","",RANK($D625,$D$2:$D$1501)+COUNTIF($D$2:D625,$D625)-1)</f>
        <v/>
      </c>
    </row>
    <row r="626" spans="1:7">
      <c r="A626" s="11">
        <v>625</v>
      </c>
      <c r="B626" s="11" t="str">
        <f>IFERROR(INDEX('Raw Data'!$R$2:$R$50000,MATCH(625,'Raw Data'!$W$2:$W$50000,0)),"")</f>
        <v/>
      </c>
      <c r="C626" s="11" t="str">
        <f t="shared" si="9"/>
        <v/>
      </c>
      <c r="D626" s="11" t="str">
        <f>IF($B626="","",COUNTIFS('Raw Data'!$R$2:$R$50000,$B626))</f>
        <v/>
      </c>
      <c r="E626" s="11" t="str">
        <f>IF($B626="","",SUMIFS('Raw Data'!$I$2:$I$50000,'Raw Data'!$R$2:$R$50000,$B626))</f>
        <v/>
      </c>
      <c r="F626" s="11" t="str">
        <f>IF($B626="","",RANK($E626,$E$2:$E$1501)+COUNTIF($E$2:E626,$E626)-1)</f>
        <v/>
      </c>
      <c r="G626" s="11" t="str">
        <f>IF($B626="","",RANK($D626,$D$2:$D$1501)+COUNTIF($D$2:D626,$D626)-1)</f>
        <v/>
      </c>
    </row>
    <row r="627" spans="1:7">
      <c r="A627" s="11">
        <v>626</v>
      </c>
      <c r="B627" s="11" t="str">
        <f>IFERROR(INDEX('Raw Data'!$R$2:$R$50000,MATCH(626,'Raw Data'!$W$2:$W$50000,0)),"")</f>
        <v/>
      </c>
      <c r="C627" s="11" t="str">
        <f t="shared" si="9"/>
        <v/>
      </c>
      <c r="D627" s="11" t="str">
        <f>IF($B627="","",COUNTIFS('Raw Data'!$R$2:$R$50000,$B627))</f>
        <v/>
      </c>
      <c r="E627" s="11" t="str">
        <f>IF($B627="","",SUMIFS('Raw Data'!$I$2:$I$50000,'Raw Data'!$R$2:$R$50000,$B627))</f>
        <v/>
      </c>
      <c r="F627" s="11" t="str">
        <f>IF($B627="","",RANK($E627,$E$2:$E$1501)+COUNTIF($E$2:E627,$E627)-1)</f>
        <v/>
      </c>
      <c r="G627" s="11" t="str">
        <f>IF($B627="","",RANK($D627,$D$2:$D$1501)+COUNTIF($D$2:D627,$D627)-1)</f>
        <v/>
      </c>
    </row>
    <row r="628" spans="1:7">
      <c r="A628" s="11">
        <v>627</v>
      </c>
      <c r="B628" s="11" t="str">
        <f>IFERROR(INDEX('Raw Data'!$R$2:$R$50000,MATCH(627,'Raw Data'!$W$2:$W$50000,0)),"")</f>
        <v/>
      </c>
      <c r="C628" s="11" t="str">
        <f t="shared" si="9"/>
        <v/>
      </c>
      <c r="D628" s="11" t="str">
        <f>IF($B628="","",COUNTIFS('Raw Data'!$R$2:$R$50000,$B628))</f>
        <v/>
      </c>
      <c r="E628" s="11" t="str">
        <f>IF($B628="","",SUMIFS('Raw Data'!$I$2:$I$50000,'Raw Data'!$R$2:$R$50000,$B628))</f>
        <v/>
      </c>
      <c r="F628" s="11" t="str">
        <f>IF($B628="","",RANK($E628,$E$2:$E$1501)+COUNTIF($E$2:E628,$E628)-1)</f>
        <v/>
      </c>
      <c r="G628" s="11" t="str">
        <f>IF($B628="","",RANK($D628,$D$2:$D$1501)+COUNTIF($D$2:D628,$D628)-1)</f>
        <v/>
      </c>
    </row>
    <row r="629" spans="1:7">
      <c r="A629" s="11">
        <v>628</v>
      </c>
      <c r="B629" s="11" t="str">
        <f>IFERROR(INDEX('Raw Data'!$R$2:$R$50000,MATCH(628,'Raw Data'!$W$2:$W$50000,0)),"")</f>
        <v/>
      </c>
      <c r="C629" s="11" t="str">
        <f t="shared" si="9"/>
        <v/>
      </c>
      <c r="D629" s="11" t="str">
        <f>IF($B629="","",COUNTIFS('Raw Data'!$R$2:$R$50000,$B629))</f>
        <v/>
      </c>
      <c r="E629" s="11" t="str">
        <f>IF($B629="","",SUMIFS('Raw Data'!$I$2:$I$50000,'Raw Data'!$R$2:$R$50000,$B629))</f>
        <v/>
      </c>
      <c r="F629" s="11" t="str">
        <f>IF($B629="","",RANK($E629,$E$2:$E$1501)+COUNTIF($E$2:E629,$E629)-1)</f>
        <v/>
      </c>
      <c r="G629" s="11" t="str">
        <f>IF($B629="","",RANK($D629,$D$2:$D$1501)+COUNTIF($D$2:D629,$D629)-1)</f>
        <v/>
      </c>
    </row>
    <row r="630" spans="1:7">
      <c r="A630" s="11">
        <v>629</v>
      </c>
      <c r="B630" s="11" t="str">
        <f>IFERROR(INDEX('Raw Data'!$R$2:$R$50000,MATCH(629,'Raw Data'!$W$2:$W$50000,0)),"")</f>
        <v/>
      </c>
      <c r="C630" s="11" t="str">
        <f t="shared" si="9"/>
        <v/>
      </c>
      <c r="D630" s="11" t="str">
        <f>IF($B630="","",COUNTIFS('Raw Data'!$R$2:$R$50000,$B630))</f>
        <v/>
      </c>
      <c r="E630" s="11" t="str">
        <f>IF($B630="","",SUMIFS('Raw Data'!$I$2:$I$50000,'Raw Data'!$R$2:$R$50000,$B630))</f>
        <v/>
      </c>
      <c r="F630" s="11" t="str">
        <f>IF($B630="","",RANK($E630,$E$2:$E$1501)+COUNTIF($E$2:E630,$E630)-1)</f>
        <v/>
      </c>
      <c r="G630" s="11" t="str">
        <f>IF($B630="","",RANK($D630,$D$2:$D$1501)+COUNTIF($D$2:D630,$D630)-1)</f>
        <v/>
      </c>
    </row>
    <row r="631" spans="1:7">
      <c r="A631" s="11">
        <v>630</v>
      </c>
      <c r="B631" s="11" t="str">
        <f>IFERROR(INDEX('Raw Data'!$R$2:$R$50000,MATCH(630,'Raw Data'!$W$2:$W$50000,0)),"")</f>
        <v/>
      </c>
      <c r="C631" s="11" t="str">
        <f t="shared" si="9"/>
        <v/>
      </c>
      <c r="D631" s="11" t="str">
        <f>IF($B631="","",COUNTIFS('Raw Data'!$R$2:$R$50000,$B631))</f>
        <v/>
      </c>
      <c r="E631" s="11" t="str">
        <f>IF($B631="","",SUMIFS('Raw Data'!$I$2:$I$50000,'Raw Data'!$R$2:$R$50000,$B631))</f>
        <v/>
      </c>
      <c r="F631" s="11" t="str">
        <f>IF($B631="","",RANK($E631,$E$2:$E$1501)+COUNTIF($E$2:E631,$E631)-1)</f>
        <v/>
      </c>
      <c r="G631" s="11" t="str">
        <f>IF($B631="","",RANK($D631,$D$2:$D$1501)+COUNTIF($D$2:D631,$D631)-1)</f>
        <v/>
      </c>
    </row>
    <row r="632" spans="1:7">
      <c r="A632" s="11">
        <v>631</v>
      </c>
      <c r="B632" s="11" t="str">
        <f>IFERROR(INDEX('Raw Data'!$R$2:$R$50000,MATCH(631,'Raw Data'!$W$2:$W$50000,0)),"")</f>
        <v/>
      </c>
      <c r="C632" s="11" t="str">
        <f t="shared" si="9"/>
        <v/>
      </c>
      <c r="D632" s="11" t="str">
        <f>IF($B632="","",COUNTIFS('Raw Data'!$R$2:$R$50000,$B632))</f>
        <v/>
      </c>
      <c r="E632" s="11" t="str">
        <f>IF($B632="","",SUMIFS('Raw Data'!$I$2:$I$50000,'Raw Data'!$R$2:$R$50000,$B632))</f>
        <v/>
      </c>
      <c r="F632" s="11" t="str">
        <f>IF($B632="","",RANK($E632,$E$2:$E$1501)+COUNTIF($E$2:E632,$E632)-1)</f>
        <v/>
      </c>
      <c r="G632" s="11" t="str">
        <f>IF($B632="","",RANK($D632,$D$2:$D$1501)+COUNTIF($D$2:D632,$D632)-1)</f>
        <v/>
      </c>
    </row>
    <row r="633" spans="1:7">
      <c r="A633" s="11">
        <v>632</v>
      </c>
      <c r="B633" s="11" t="str">
        <f>IFERROR(INDEX('Raw Data'!$R$2:$R$50000,MATCH(632,'Raw Data'!$W$2:$W$50000,0)),"")</f>
        <v/>
      </c>
      <c r="C633" s="11" t="str">
        <f t="shared" si="9"/>
        <v/>
      </c>
      <c r="D633" s="11" t="str">
        <f>IF($B633="","",COUNTIFS('Raw Data'!$R$2:$R$50000,$B633))</f>
        <v/>
      </c>
      <c r="E633" s="11" t="str">
        <f>IF($B633="","",SUMIFS('Raw Data'!$I$2:$I$50000,'Raw Data'!$R$2:$R$50000,$B633))</f>
        <v/>
      </c>
      <c r="F633" s="11" t="str">
        <f>IF($B633="","",RANK($E633,$E$2:$E$1501)+COUNTIF($E$2:E633,$E633)-1)</f>
        <v/>
      </c>
      <c r="G633" s="11" t="str">
        <f>IF($B633="","",RANK($D633,$D$2:$D$1501)+COUNTIF($D$2:D633,$D633)-1)</f>
        <v/>
      </c>
    </row>
    <row r="634" spans="1:7">
      <c r="A634" s="11">
        <v>633</v>
      </c>
      <c r="B634" s="11" t="str">
        <f>IFERROR(INDEX('Raw Data'!$R$2:$R$50000,MATCH(633,'Raw Data'!$W$2:$W$50000,0)),"")</f>
        <v/>
      </c>
      <c r="C634" s="11" t="str">
        <f t="shared" si="9"/>
        <v/>
      </c>
      <c r="D634" s="11" t="str">
        <f>IF($B634="","",COUNTIFS('Raw Data'!$R$2:$R$50000,$B634))</f>
        <v/>
      </c>
      <c r="E634" s="11" t="str">
        <f>IF($B634="","",SUMIFS('Raw Data'!$I$2:$I$50000,'Raw Data'!$R$2:$R$50000,$B634))</f>
        <v/>
      </c>
      <c r="F634" s="11" t="str">
        <f>IF($B634="","",RANK($E634,$E$2:$E$1501)+COUNTIF($E$2:E634,$E634)-1)</f>
        <v/>
      </c>
      <c r="G634" s="11" t="str">
        <f>IF($B634="","",RANK($D634,$D$2:$D$1501)+COUNTIF($D$2:D634,$D634)-1)</f>
        <v/>
      </c>
    </row>
    <row r="635" spans="1:7">
      <c r="A635" s="11">
        <v>634</v>
      </c>
      <c r="B635" s="11" t="str">
        <f>IFERROR(INDEX('Raw Data'!$R$2:$R$50000,MATCH(634,'Raw Data'!$W$2:$W$50000,0)),"")</f>
        <v/>
      </c>
      <c r="C635" s="11" t="str">
        <f t="shared" si="9"/>
        <v/>
      </c>
      <c r="D635" s="11" t="str">
        <f>IF($B635="","",COUNTIFS('Raw Data'!$R$2:$R$50000,$B635))</f>
        <v/>
      </c>
      <c r="E635" s="11" t="str">
        <f>IF($B635="","",SUMIFS('Raw Data'!$I$2:$I$50000,'Raw Data'!$R$2:$R$50000,$B635))</f>
        <v/>
      </c>
      <c r="F635" s="11" t="str">
        <f>IF($B635="","",RANK($E635,$E$2:$E$1501)+COUNTIF($E$2:E635,$E635)-1)</f>
        <v/>
      </c>
      <c r="G635" s="11" t="str">
        <f>IF($B635="","",RANK($D635,$D$2:$D$1501)+COUNTIF($D$2:D635,$D635)-1)</f>
        <v/>
      </c>
    </row>
    <row r="636" spans="1:7">
      <c r="A636" s="11">
        <v>635</v>
      </c>
      <c r="B636" s="11" t="str">
        <f>IFERROR(INDEX('Raw Data'!$R$2:$R$50000,MATCH(635,'Raw Data'!$W$2:$W$50000,0)),"")</f>
        <v/>
      </c>
      <c r="C636" s="11" t="str">
        <f t="shared" si="9"/>
        <v/>
      </c>
      <c r="D636" s="11" t="str">
        <f>IF($B636="","",COUNTIFS('Raw Data'!$R$2:$R$50000,$B636))</f>
        <v/>
      </c>
      <c r="E636" s="11" t="str">
        <f>IF($B636="","",SUMIFS('Raw Data'!$I$2:$I$50000,'Raw Data'!$R$2:$R$50000,$B636))</f>
        <v/>
      </c>
      <c r="F636" s="11" t="str">
        <f>IF($B636="","",RANK($E636,$E$2:$E$1501)+COUNTIF($E$2:E636,$E636)-1)</f>
        <v/>
      </c>
      <c r="G636" s="11" t="str">
        <f>IF($B636="","",RANK($D636,$D$2:$D$1501)+COUNTIF($D$2:D636,$D636)-1)</f>
        <v/>
      </c>
    </row>
    <row r="637" spans="1:7">
      <c r="A637" s="11">
        <v>636</v>
      </c>
      <c r="B637" s="11" t="str">
        <f>IFERROR(INDEX('Raw Data'!$R$2:$R$50000,MATCH(636,'Raw Data'!$W$2:$W$50000,0)),"")</f>
        <v/>
      </c>
      <c r="C637" s="11" t="str">
        <f t="shared" si="9"/>
        <v/>
      </c>
      <c r="D637" s="11" t="str">
        <f>IF($B637="","",COUNTIFS('Raw Data'!$R$2:$R$50000,$B637))</f>
        <v/>
      </c>
      <c r="E637" s="11" t="str">
        <f>IF($B637="","",SUMIFS('Raw Data'!$I$2:$I$50000,'Raw Data'!$R$2:$R$50000,$B637))</f>
        <v/>
      </c>
      <c r="F637" s="11" t="str">
        <f>IF($B637="","",RANK($E637,$E$2:$E$1501)+COUNTIF($E$2:E637,$E637)-1)</f>
        <v/>
      </c>
      <c r="G637" s="11" t="str">
        <f>IF($B637="","",RANK($D637,$D$2:$D$1501)+COUNTIF($D$2:D637,$D637)-1)</f>
        <v/>
      </c>
    </row>
    <row r="638" spans="1:7">
      <c r="A638" s="11">
        <v>637</v>
      </c>
      <c r="B638" s="11" t="str">
        <f>IFERROR(INDEX('Raw Data'!$R$2:$R$50000,MATCH(637,'Raw Data'!$W$2:$W$50000,0)),"")</f>
        <v/>
      </c>
      <c r="C638" s="11" t="str">
        <f t="shared" si="9"/>
        <v/>
      </c>
      <c r="D638" s="11" t="str">
        <f>IF($B638="","",COUNTIFS('Raw Data'!$R$2:$R$50000,$B638))</f>
        <v/>
      </c>
      <c r="E638" s="11" t="str">
        <f>IF($B638="","",SUMIFS('Raw Data'!$I$2:$I$50000,'Raw Data'!$R$2:$R$50000,$B638))</f>
        <v/>
      </c>
      <c r="F638" s="11" t="str">
        <f>IF($B638="","",RANK($E638,$E$2:$E$1501)+COUNTIF($E$2:E638,$E638)-1)</f>
        <v/>
      </c>
      <c r="G638" s="11" t="str">
        <f>IF($B638="","",RANK($D638,$D$2:$D$1501)+COUNTIF($D$2:D638,$D638)-1)</f>
        <v/>
      </c>
    </row>
    <row r="639" spans="1:7">
      <c r="A639" s="11">
        <v>638</v>
      </c>
      <c r="B639" s="11" t="str">
        <f>IFERROR(INDEX('Raw Data'!$R$2:$R$50000,MATCH(638,'Raw Data'!$W$2:$W$50000,0)),"")</f>
        <v/>
      </c>
      <c r="C639" s="11" t="str">
        <f t="shared" si="9"/>
        <v/>
      </c>
      <c r="D639" s="11" t="str">
        <f>IF($B639="","",COUNTIFS('Raw Data'!$R$2:$R$50000,$B639))</f>
        <v/>
      </c>
      <c r="E639" s="11" t="str">
        <f>IF($B639="","",SUMIFS('Raw Data'!$I$2:$I$50000,'Raw Data'!$R$2:$R$50000,$B639))</f>
        <v/>
      </c>
      <c r="F639" s="11" t="str">
        <f>IF($B639="","",RANK($E639,$E$2:$E$1501)+COUNTIF($E$2:E639,$E639)-1)</f>
        <v/>
      </c>
      <c r="G639" s="11" t="str">
        <f>IF($B639="","",RANK($D639,$D$2:$D$1501)+COUNTIF($D$2:D639,$D639)-1)</f>
        <v/>
      </c>
    </row>
    <row r="640" spans="1:7">
      <c r="A640" s="11">
        <v>639</v>
      </c>
      <c r="B640" s="11" t="str">
        <f>IFERROR(INDEX('Raw Data'!$R$2:$R$50000,MATCH(639,'Raw Data'!$W$2:$W$50000,0)),"")</f>
        <v/>
      </c>
      <c r="C640" s="11" t="str">
        <f t="shared" si="9"/>
        <v/>
      </c>
      <c r="D640" s="11" t="str">
        <f>IF($B640="","",COUNTIFS('Raw Data'!$R$2:$R$50000,$B640))</f>
        <v/>
      </c>
      <c r="E640" s="11" t="str">
        <f>IF($B640="","",SUMIFS('Raw Data'!$I$2:$I$50000,'Raw Data'!$R$2:$R$50000,$B640))</f>
        <v/>
      </c>
      <c r="F640" s="11" t="str">
        <f>IF($B640="","",RANK($E640,$E$2:$E$1501)+COUNTIF($E$2:E640,$E640)-1)</f>
        <v/>
      </c>
      <c r="G640" s="11" t="str">
        <f>IF($B640="","",RANK($D640,$D$2:$D$1501)+COUNTIF($D$2:D640,$D640)-1)</f>
        <v/>
      </c>
    </row>
    <row r="641" spans="1:7">
      <c r="A641" s="11">
        <v>640</v>
      </c>
      <c r="B641" s="11" t="str">
        <f>IFERROR(INDEX('Raw Data'!$R$2:$R$50000,MATCH(640,'Raw Data'!$W$2:$W$50000,0)),"")</f>
        <v/>
      </c>
      <c r="C641" s="11" t="str">
        <f t="shared" si="9"/>
        <v/>
      </c>
      <c r="D641" s="11" t="str">
        <f>IF($B641="","",COUNTIFS('Raw Data'!$R$2:$R$50000,$B641))</f>
        <v/>
      </c>
      <c r="E641" s="11" t="str">
        <f>IF($B641="","",SUMIFS('Raw Data'!$I$2:$I$50000,'Raw Data'!$R$2:$R$50000,$B641))</f>
        <v/>
      </c>
      <c r="F641" s="11" t="str">
        <f>IF($B641="","",RANK($E641,$E$2:$E$1501)+COUNTIF($E$2:E641,$E641)-1)</f>
        <v/>
      </c>
      <c r="G641" s="11" t="str">
        <f>IF($B641="","",RANK($D641,$D$2:$D$1501)+COUNTIF($D$2:D641,$D641)-1)</f>
        <v/>
      </c>
    </row>
    <row r="642" spans="1:7">
      <c r="A642" s="11">
        <v>641</v>
      </c>
      <c r="B642" s="11" t="str">
        <f>IFERROR(INDEX('Raw Data'!$R$2:$R$50000,MATCH(641,'Raw Data'!$W$2:$W$50000,0)),"")</f>
        <v/>
      </c>
      <c r="C642" s="11" t="str">
        <f t="shared" ref="C642:C705" si="10">IF($B642="","",$B642)</f>
        <v/>
      </c>
      <c r="D642" s="11" t="str">
        <f>IF($B642="","",COUNTIFS('Raw Data'!$R$2:$R$50000,$B642))</f>
        <v/>
      </c>
      <c r="E642" s="11" t="str">
        <f>IF($B642="","",SUMIFS('Raw Data'!$I$2:$I$50000,'Raw Data'!$R$2:$R$50000,$B642))</f>
        <v/>
      </c>
      <c r="F642" s="11" t="str">
        <f>IF($B642="","",RANK($E642,$E$2:$E$1501)+COUNTIF($E$2:E642,$E642)-1)</f>
        <v/>
      </c>
      <c r="G642" s="11" t="str">
        <f>IF($B642="","",RANK($D642,$D$2:$D$1501)+COUNTIF($D$2:D642,$D642)-1)</f>
        <v/>
      </c>
    </row>
    <row r="643" spans="1:7">
      <c r="A643" s="11">
        <v>642</v>
      </c>
      <c r="B643" s="11" t="str">
        <f>IFERROR(INDEX('Raw Data'!$R$2:$R$50000,MATCH(642,'Raw Data'!$W$2:$W$50000,0)),"")</f>
        <v/>
      </c>
      <c r="C643" s="11" t="str">
        <f t="shared" si="10"/>
        <v/>
      </c>
      <c r="D643" s="11" t="str">
        <f>IF($B643="","",COUNTIFS('Raw Data'!$R$2:$R$50000,$B643))</f>
        <v/>
      </c>
      <c r="E643" s="11" t="str">
        <f>IF($B643="","",SUMIFS('Raw Data'!$I$2:$I$50000,'Raw Data'!$R$2:$R$50000,$B643))</f>
        <v/>
      </c>
      <c r="F643" s="11" t="str">
        <f>IF($B643="","",RANK($E643,$E$2:$E$1501)+COUNTIF($E$2:E643,$E643)-1)</f>
        <v/>
      </c>
      <c r="G643" s="11" t="str">
        <f>IF($B643="","",RANK($D643,$D$2:$D$1501)+COUNTIF($D$2:D643,$D643)-1)</f>
        <v/>
      </c>
    </row>
    <row r="644" spans="1:7">
      <c r="A644" s="11">
        <v>643</v>
      </c>
      <c r="B644" s="11" t="str">
        <f>IFERROR(INDEX('Raw Data'!$R$2:$R$50000,MATCH(643,'Raw Data'!$W$2:$W$50000,0)),"")</f>
        <v/>
      </c>
      <c r="C644" s="11" t="str">
        <f t="shared" si="10"/>
        <v/>
      </c>
      <c r="D644" s="11" t="str">
        <f>IF($B644="","",COUNTIFS('Raw Data'!$R$2:$R$50000,$B644))</f>
        <v/>
      </c>
      <c r="E644" s="11" t="str">
        <f>IF($B644="","",SUMIFS('Raw Data'!$I$2:$I$50000,'Raw Data'!$R$2:$R$50000,$B644))</f>
        <v/>
      </c>
      <c r="F644" s="11" t="str">
        <f>IF($B644="","",RANK($E644,$E$2:$E$1501)+COUNTIF($E$2:E644,$E644)-1)</f>
        <v/>
      </c>
      <c r="G644" s="11" t="str">
        <f>IF($B644="","",RANK($D644,$D$2:$D$1501)+COUNTIF($D$2:D644,$D644)-1)</f>
        <v/>
      </c>
    </row>
    <row r="645" spans="1:7">
      <c r="A645" s="11">
        <v>644</v>
      </c>
      <c r="B645" s="11" t="str">
        <f>IFERROR(INDEX('Raw Data'!$R$2:$R$50000,MATCH(644,'Raw Data'!$W$2:$W$50000,0)),"")</f>
        <v/>
      </c>
      <c r="C645" s="11" t="str">
        <f t="shared" si="10"/>
        <v/>
      </c>
      <c r="D645" s="11" t="str">
        <f>IF($B645="","",COUNTIFS('Raw Data'!$R$2:$R$50000,$B645))</f>
        <v/>
      </c>
      <c r="E645" s="11" t="str">
        <f>IF($B645="","",SUMIFS('Raw Data'!$I$2:$I$50000,'Raw Data'!$R$2:$R$50000,$B645))</f>
        <v/>
      </c>
      <c r="F645" s="11" t="str">
        <f>IF($B645="","",RANK($E645,$E$2:$E$1501)+COUNTIF($E$2:E645,$E645)-1)</f>
        <v/>
      </c>
      <c r="G645" s="11" t="str">
        <f>IF($B645="","",RANK($D645,$D$2:$D$1501)+COUNTIF($D$2:D645,$D645)-1)</f>
        <v/>
      </c>
    </row>
    <row r="646" spans="1:7">
      <c r="A646" s="11">
        <v>645</v>
      </c>
      <c r="B646" s="11" t="str">
        <f>IFERROR(INDEX('Raw Data'!$R$2:$R$50000,MATCH(645,'Raw Data'!$W$2:$W$50000,0)),"")</f>
        <v/>
      </c>
      <c r="C646" s="11" t="str">
        <f t="shared" si="10"/>
        <v/>
      </c>
      <c r="D646" s="11" t="str">
        <f>IF($B646="","",COUNTIFS('Raw Data'!$R$2:$R$50000,$B646))</f>
        <v/>
      </c>
      <c r="E646" s="11" t="str">
        <f>IF($B646="","",SUMIFS('Raw Data'!$I$2:$I$50000,'Raw Data'!$R$2:$R$50000,$B646))</f>
        <v/>
      </c>
      <c r="F646" s="11" t="str">
        <f>IF($B646="","",RANK($E646,$E$2:$E$1501)+COUNTIF($E$2:E646,$E646)-1)</f>
        <v/>
      </c>
      <c r="G646" s="11" t="str">
        <f>IF($B646="","",RANK($D646,$D$2:$D$1501)+COUNTIF($D$2:D646,$D646)-1)</f>
        <v/>
      </c>
    </row>
    <row r="647" spans="1:7">
      <c r="A647" s="11">
        <v>646</v>
      </c>
      <c r="B647" s="11" t="str">
        <f>IFERROR(INDEX('Raw Data'!$R$2:$R$50000,MATCH(646,'Raw Data'!$W$2:$W$50000,0)),"")</f>
        <v/>
      </c>
      <c r="C647" s="11" t="str">
        <f t="shared" si="10"/>
        <v/>
      </c>
      <c r="D647" s="11" t="str">
        <f>IF($B647="","",COUNTIFS('Raw Data'!$R$2:$R$50000,$B647))</f>
        <v/>
      </c>
      <c r="E647" s="11" t="str">
        <f>IF($B647="","",SUMIFS('Raw Data'!$I$2:$I$50000,'Raw Data'!$R$2:$R$50000,$B647))</f>
        <v/>
      </c>
      <c r="F647" s="11" t="str">
        <f>IF($B647="","",RANK($E647,$E$2:$E$1501)+COUNTIF($E$2:E647,$E647)-1)</f>
        <v/>
      </c>
      <c r="G647" s="11" t="str">
        <f>IF($B647="","",RANK($D647,$D$2:$D$1501)+COUNTIF($D$2:D647,$D647)-1)</f>
        <v/>
      </c>
    </row>
    <row r="648" spans="1:7">
      <c r="A648" s="11">
        <v>647</v>
      </c>
      <c r="B648" s="11" t="str">
        <f>IFERROR(INDEX('Raw Data'!$R$2:$R$50000,MATCH(647,'Raw Data'!$W$2:$W$50000,0)),"")</f>
        <v/>
      </c>
      <c r="C648" s="11" t="str">
        <f t="shared" si="10"/>
        <v/>
      </c>
      <c r="D648" s="11" t="str">
        <f>IF($B648="","",COUNTIFS('Raw Data'!$R$2:$R$50000,$B648))</f>
        <v/>
      </c>
      <c r="E648" s="11" t="str">
        <f>IF($B648="","",SUMIFS('Raw Data'!$I$2:$I$50000,'Raw Data'!$R$2:$R$50000,$B648))</f>
        <v/>
      </c>
      <c r="F648" s="11" t="str">
        <f>IF($B648="","",RANK($E648,$E$2:$E$1501)+COUNTIF($E$2:E648,$E648)-1)</f>
        <v/>
      </c>
      <c r="G648" s="11" t="str">
        <f>IF($B648="","",RANK($D648,$D$2:$D$1501)+COUNTIF($D$2:D648,$D648)-1)</f>
        <v/>
      </c>
    </row>
    <row r="649" spans="1:7">
      <c r="A649" s="11">
        <v>648</v>
      </c>
      <c r="B649" s="11" t="str">
        <f>IFERROR(INDEX('Raw Data'!$R$2:$R$50000,MATCH(648,'Raw Data'!$W$2:$W$50000,0)),"")</f>
        <v/>
      </c>
      <c r="C649" s="11" t="str">
        <f t="shared" si="10"/>
        <v/>
      </c>
      <c r="D649" s="11" t="str">
        <f>IF($B649="","",COUNTIFS('Raw Data'!$R$2:$R$50000,$B649))</f>
        <v/>
      </c>
      <c r="E649" s="11" t="str">
        <f>IF($B649="","",SUMIFS('Raw Data'!$I$2:$I$50000,'Raw Data'!$R$2:$R$50000,$B649))</f>
        <v/>
      </c>
      <c r="F649" s="11" t="str">
        <f>IF($B649="","",RANK($E649,$E$2:$E$1501)+COUNTIF($E$2:E649,$E649)-1)</f>
        <v/>
      </c>
      <c r="G649" s="11" t="str">
        <f>IF($B649="","",RANK($D649,$D$2:$D$1501)+COUNTIF($D$2:D649,$D649)-1)</f>
        <v/>
      </c>
    </row>
    <row r="650" spans="1:7">
      <c r="A650" s="11">
        <v>649</v>
      </c>
      <c r="B650" s="11" t="str">
        <f>IFERROR(INDEX('Raw Data'!$R$2:$R$50000,MATCH(649,'Raw Data'!$W$2:$W$50000,0)),"")</f>
        <v/>
      </c>
      <c r="C650" s="11" t="str">
        <f t="shared" si="10"/>
        <v/>
      </c>
      <c r="D650" s="11" t="str">
        <f>IF($B650="","",COUNTIFS('Raw Data'!$R$2:$R$50000,$B650))</f>
        <v/>
      </c>
      <c r="E650" s="11" t="str">
        <f>IF($B650="","",SUMIFS('Raw Data'!$I$2:$I$50000,'Raw Data'!$R$2:$R$50000,$B650))</f>
        <v/>
      </c>
      <c r="F650" s="11" t="str">
        <f>IF($B650="","",RANK($E650,$E$2:$E$1501)+COUNTIF($E$2:E650,$E650)-1)</f>
        <v/>
      </c>
      <c r="G650" s="11" t="str">
        <f>IF($B650="","",RANK($D650,$D$2:$D$1501)+COUNTIF($D$2:D650,$D650)-1)</f>
        <v/>
      </c>
    </row>
    <row r="651" spans="1:7">
      <c r="A651" s="11">
        <v>650</v>
      </c>
      <c r="B651" s="11" t="str">
        <f>IFERROR(INDEX('Raw Data'!$R$2:$R$50000,MATCH(650,'Raw Data'!$W$2:$W$50000,0)),"")</f>
        <v/>
      </c>
      <c r="C651" s="11" t="str">
        <f t="shared" si="10"/>
        <v/>
      </c>
      <c r="D651" s="11" t="str">
        <f>IF($B651="","",COUNTIFS('Raw Data'!$R$2:$R$50000,$B651))</f>
        <v/>
      </c>
      <c r="E651" s="11" t="str">
        <f>IF($B651="","",SUMIFS('Raw Data'!$I$2:$I$50000,'Raw Data'!$R$2:$R$50000,$B651))</f>
        <v/>
      </c>
      <c r="F651" s="11" t="str">
        <f>IF($B651="","",RANK($E651,$E$2:$E$1501)+COUNTIF($E$2:E651,$E651)-1)</f>
        <v/>
      </c>
      <c r="G651" s="11" t="str">
        <f>IF($B651="","",RANK($D651,$D$2:$D$1501)+COUNTIF($D$2:D651,$D651)-1)</f>
        <v/>
      </c>
    </row>
    <row r="652" spans="1:7">
      <c r="A652" s="11">
        <v>651</v>
      </c>
      <c r="B652" s="11" t="str">
        <f>IFERROR(INDEX('Raw Data'!$R$2:$R$50000,MATCH(651,'Raw Data'!$W$2:$W$50000,0)),"")</f>
        <v/>
      </c>
      <c r="C652" s="11" t="str">
        <f t="shared" si="10"/>
        <v/>
      </c>
      <c r="D652" s="11" t="str">
        <f>IF($B652="","",COUNTIFS('Raw Data'!$R$2:$R$50000,$B652))</f>
        <v/>
      </c>
      <c r="E652" s="11" t="str">
        <f>IF($B652="","",SUMIFS('Raw Data'!$I$2:$I$50000,'Raw Data'!$R$2:$R$50000,$B652))</f>
        <v/>
      </c>
      <c r="F652" s="11" t="str">
        <f>IF($B652="","",RANK($E652,$E$2:$E$1501)+COUNTIF($E$2:E652,$E652)-1)</f>
        <v/>
      </c>
      <c r="G652" s="11" t="str">
        <f>IF($B652="","",RANK($D652,$D$2:$D$1501)+COUNTIF($D$2:D652,$D652)-1)</f>
        <v/>
      </c>
    </row>
    <row r="653" spans="1:7">
      <c r="A653" s="11">
        <v>652</v>
      </c>
      <c r="B653" s="11" t="str">
        <f>IFERROR(INDEX('Raw Data'!$R$2:$R$50000,MATCH(652,'Raw Data'!$W$2:$W$50000,0)),"")</f>
        <v/>
      </c>
      <c r="C653" s="11" t="str">
        <f t="shared" si="10"/>
        <v/>
      </c>
      <c r="D653" s="11" t="str">
        <f>IF($B653="","",COUNTIFS('Raw Data'!$R$2:$R$50000,$B653))</f>
        <v/>
      </c>
      <c r="E653" s="11" t="str">
        <f>IF($B653="","",SUMIFS('Raw Data'!$I$2:$I$50000,'Raw Data'!$R$2:$R$50000,$B653))</f>
        <v/>
      </c>
      <c r="F653" s="11" t="str">
        <f>IF($B653="","",RANK($E653,$E$2:$E$1501)+COUNTIF($E$2:E653,$E653)-1)</f>
        <v/>
      </c>
      <c r="G653" s="11" t="str">
        <f>IF($B653="","",RANK($D653,$D$2:$D$1501)+COUNTIF($D$2:D653,$D653)-1)</f>
        <v/>
      </c>
    </row>
    <row r="654" spans="1:7">
      <c r="A654" s="11">
        <v>653</v>
      </c>
      <c r="B654" s="11" t="str">
        <f>IFERROR(INDEX('Raw Data'!$R$2:$R$50000,MATCH(653,'Raw Data'!$W$2:$W$50000,0)),"")</f>
        <v/>
      </c>
      <c r="C654" s="11" t="str">
        <f t="shared" si="10"/>
        <v/>
      </c>
      <c r="D654" s="11" t="str">
        <f>IF($B654="","",COUNTIFS('Raw Data'!$R$2:$R$50000,$B654))</f>
        <v/>
      </c>
      <c r="E654" s="11" t="str">
        <f>IF($B654="","",SUMIFS('Raw Data'!$I$2:$I$50000,'Raw Data'!$R$2:$R$50000,$B654))</f>
        <v/>
      </c>
      <c r="F654" s="11" t="str">
        <f>IF($B654="","",RANK($E654,$E$2:$E$1501)+COUNTIF($E$2:E654,$E654)-1)</f>
        <v/>
      </c>
      <c r="G654" s="11" t="str">
        <f>IF($B654="","",RANK($D654,$D$2:$D$1501)+COUNTIF($D$2:D654,$D654)-1)</f>
        <v/>
      </c>
    </row>
    <row r="655" spans="1:7">
      <c r="A655" s="11">
        <v>654</v>
      </c>
      <c r="B655" s="11" t="str">
        <f>IFERROR(INDEX('Raw Data'!$R$2:$R$50000,MATCH(654,'Raw Data'!$W$2:$W$50000,0)),"")</f>
        <v/>
      </c>
      <c r="C655" s="11" t="str">
        <f t="shared" si="10"/>
        <v/>
      </c>
      <c r="D655" s="11" t="str">
        <f>IF($B655="","",COUNTIFS('Raw Data'!$R$2:$R$50000,$B655))</f>
        <v/>
      </c>
      <c r="E655" s="11" t="str">
        <f>IF($B655="","",SUMIFS('Raw Data'!$I$2:$I$50000,'Raw Data'!$R$2:$R$50000,$B655))</f>
        <v/>
      </c>
      <c r="F655" s="11" t="str">
        <f>IF($B655="","",RANK($E655,$E$2:$E$1501)+COUNTIF($E$2:E655,$E655)-1)</f>
        <v/>
      </c>
      <c r="G655" s="11" t="str">
        <f>IF($B655="","",RANK($D655,$D$2:$D$1501)+COUNTIF($D$2:D655,$D655)-1)</f>
        <v/>
      </c>
    </row>
    <row r="656" spans="1:7">
      <c r="A656" s="11">
        <v>655</v>
      </c>
      <c r="B656" s="11" t="str">
        <f>IFERROR(INDEX('Raw Data'!$R$2:$R$50000,MATCH(655,'Raw Data'!$W$2:$W$50000,0)),"")</f>
        <v/>
      </c>
      <c r="C656" s="11" t="str">
        <f t="shared" si="10"/>
        <v/>
      </c>
      <c r="D656" s="11" t="str">
        <f>IF($B656="","",COUNTIFS('Raw Data'!$R$2:$R$50000,$B656))</f>
        <v/>
      </c>
      <c r="E656" s="11" t="str">
        <f>IF($B656="","",SUMIFS('Raw Data'!$I$2:$I$50000,'Raw Data'!$R$2:$R$50000,$B656))</f>
        <v/>
      </c>
      <c r="F656" s="11" t="str">
        <f>IF($B656="","",RANK($E656,$E$2:$E$1501)+COUNTIF($E$2:E656,$E656)-1)</f>
        <v/>
      </c>
      <c r="G656" s="11" t="str">
        <f>IF($B656="","",RANK($D656,$D$2:$D$1501)+COUNTIF($D$2:D656,$D656)-1)</f>
        <v/>
      </c>
    </row>
    <row r="657" spans="1:7">
      <c r="A657" s="11">
        <v>656</v>
      </c>
      <c r="B657" s="11" t="str">
        <f>IFERROR(INDEX('Raw Data'!$R$2:$R$50000,MATCH(656,'Raw Data'!$W$2:$W$50000,0)),"")</f>
        <v/>
      </c>
      <c r="C657" s="11" t="str">
        <f t="shared" si="10"/>
        <v/>
      </c>
      <c r="D657" s="11" t="str">
        <f>IF($B657="","",COUNTIFS('Raw Data'!$R$2:$R$50000,$B657))</f>
        <v/>
      </c>
      <c r="E657" s="11" t="str">
        <f>IF($B657="","",SUMIFS('Raw Data'!$I$2:$I$50000,'Raw Data'!$R$2:$R$50000,$B657))</f>
        <v/>
      </c>
      <c r="F657" s="11" t="str">
        <f>IF($B657="","",RANK($E657,$E$2:$E$1501)+COUNTIF($E$2:E657,$E657)-1)</f>
        <v/>
      </c>
      <c r="G657" s="11" t="str">
        <f>IF($B657="","",RANK($D657,$D$2:$D$1501)+COUNTIF($D$2:D657,$D657)-1)</f>
        <v/>
      </c>
    </row>
    <row r="658" spans="1:7">
      <c r="A658" s="11">
        <v>657</v>
      </c>
      <c r="B658" s="11" t="str">
        <f>IFERROR(INDEX('Raw Data'!$R$2:$R$50000,MATCH(657,'Raw Data'!$W$2:$W$50000,0)),"")</f>
        <v/>
      </c>
      <c r="C658" s="11" t="str">
        <f t="shared" si="10"/>
        <v/>
      </c>
      <c r="D658" s="11" t="str">
        <f>IF($B658="","",COUNTIFS('Raw Data'!$R$2:$R$50000,$B658))</f>
        <v/>
      </c>
      <c r="E658" s="11" t="str">
        <f>IF($B658="","",SUMIFS('Raw Data'!$I$2:$I$50000,'Raw Data'!$R$2:$R$50000,$B658))</f>
        <v/>
      </c>
      <c r="F658" s="11" t="str">
        <f>IF($B658="","",RANK($E658,$E$2:$E$1501)+COUNTIF($E$2:E658,$E658)-1)</f>
        <v/>
      </c>
      <c r="G658" s="11" t="str">
        <f>IF($B658="","",RANK($D658,$D$2:$D$1501)+COUNTIF($D$2:D658,$D658)-1)</f>
        <v/>
      </c>
    </row>
    <row r="659" spans="1:7">
      <c r="A659" s="11">
        <v>658</v>
      </c>
      <c r="B659" s="11" t="str">
        <f>IFERROR(INDEX('Raw Data'!$R$2:$R$50000,MATCH(658,'Raw Data'!$W$2:$W$50000,0)),"")</f>
        <v/>
      </c>
      <c r="C659" s="11" t="str">
        <f t="shared" si="10"/>
        <v/>
      </c>
      <c r="D659" s="11" t="str">
        <f>IF($B659="","",COUNTIFS('Raw Data'!$R$2:$R$50000,$B659))</f>
        <v/>
      </c>
      <c r="E659" s="11" t="str">
        <f>IF($B659="","",SUMIFS('Raw Data'!$I$2:$I$50000,'Raw Data'!$R$2:$R$50000,$B659))</f>
        <v/>
      </c>
      <c r="F659" s="11" t="str">
        <f>IF($B659="","",RANK($E659,$E$2:$E$1501)+COUNTIF($E$2:E659,$E659)-1)</f>
        <v/>
      </c>
      <c r="G659" s="11" t="str">
        <f>IF($B659="","",RANK($D659,$D$2:$D$1501)+COUNTIF($D$2:D659,$D659)-1)</f>
        <v/>
      </c>
    </row>
    <row r="660" spans="1:7">
      <c r="A660" s="11">
        <v>659</v>
      </c>
      <c r="B660" s="11" t="str">
        <f>IFERROR(INDEX('Raw Data'!$R$2:$R$50000,MATCH(659,'Raw Data'!$W$2:$W$50000,0)),"")</f>
        <v/>
      </c>
      <c r="C660" s="11" t="str">
        <f t="shared" si="10"/>
        <v/>
      </c>
      <c r="D660" s="11" t="str">
        <f>IF($B660="","",COUNTIFS('Raw Data'!$R$2:$R$50000,$B660))</f>
        <v/>
      </c>
      <c r="E660" s="11" t="str">
        <f>IF($B660="","",SUMIFS('Raw Data'!$I$2:$I$50000,'Raw Data'!$R$2:$R$50000,$B660))</f>
        <v/>
      </c>
      <c r="F660" s="11" t="str">
        <f>IF($B660="","",RANK($E660,$E$2:$E$1501)+COUNTIF($E$2:E660,$E660)-1)</f>
        <v/>
      </c>
      <c r="G660" s="11" t="str">
        <f>IF($B660="","",RANK($D660,$D$2:$D$1501)+COUNTIF($D$2:D660,$D660)-1)</f>
        <v/>
      </c>
    </row>
    <row r="661" spans="1:7">
      <c r="A661" s="11">
        <v>660</v>
      </c>
      <c r="B661" s="11" t="str">
        <f>IFERROR(INDEX('Raw Data'!$R$2:$R$50000,MATCH(660,'Raw Data'!$W$2:$W$50000,0)),"")</f>
        <v/>
      </c>
      <c r="C661" s="11" t="str">
        <f t="shared" si="10"/>
        <v/>
      </c>
      <c r="D661" s="11" t="str">
        <f>IF($B661="","",COUNTIFS('Raw Data'!$R$2:$R$50000,$B661))</f>
        <v/>
      </c>
      <c r="E661" s="11" t="str">
        <f>IF($B661="","",SUMIFS('Raw Data'!$I$2:$I$50000,'Raw Data'!$R$2:$R$50000,$B661))</f>
        <v/>
      </c>
      <c r="F661" s="11" t="str">
        <f>IF($B661="","",RANK($E661,$E$2:$E$1501)+COUNTIF($E$2:E661,$E661)-1)</f>
        <v/>
      </c>
      <c r="G661" s="11" t="str">
        <f>IF($B661="","",RANK($D661,$D$2:$D$1501)+COUNTIF($D$2:D661,$D661)-1)</f>
        <v/>
      </c>
    </row>
    <row r="662" spans="1:7">
      <c r="A662" s="11">
        <v>661</v>
      </c>
      <c r="B662" s="11" t="str">
        <f>IFERROR(INDEX('Raw Data'!$R$2:$R$50000,MATCH(661,'Raw Data'!$W$2:$W$50000,0)),"")</f>
        <v/>
      </c>
      <c r="C662" s="11" t="str">
        <f t="shared" si="10"/>
        <v/>
      </c>
      <c r="D662" s="11" t="str">
        <f>IF($B662="","",COUNTIFS('Raw Data'!$R$2:$R$50000,$B662))</f>
        <v/>
      </c>
      <c r="E662" s="11" t="str">
        <f>IF($B662="","",SUMIFS('Raw Data'!$I$2:$I$50000,'Raw Data'!$R$2:$R$50000,$B662))</f>
        <v/>
      </c>
      <c r="F662" s="11" t="str">
        <f>IF($B662="","",RANK($E662,$E$2:$E$1501)+COUNTIF($E$2:E662,$E662)-1)</f>
        <v/>
      </c>
      <c r="G662" s="11" t="str">
        <f>IF($B662="","",RANK($D662,$D$2:$D$1501)+COUNTIF($D$2:D662,$D662)-1)</f>
        <v/>
      </c>
    </row>
    <row r="663" spans="1:7">
      <c r="A663" s="11">
        <v>662</v>
      </c>
      <c r="B663" s="11" t="str">
        <f>IFERROR(INDEX('Raw Data'!$R$2:$R$50000,MATCH(662,'Raw Data'!$W$2:$W$50000,0)),"")</f>
        <v/>
      </c>
      <c r="C663" s="11" t="str">
        <f t="shared" si="10"/>
        <v/>
      </c>
      <c r="D663" s="11" t="str">
        <f>IF($B663="","",COUNTIFS('Raw Data'!$R$2:$R$50000,$B663))</f>
        <v/>
      </c>
      <c r="E663" s="11" t="str">
        <f>IF($B663="","",SUMIFS('Raw Data'!$I$2:$I$50000,'Raw Data'!$R$2:$R$50000,$B663))</f>
        <v/>
      </c>
      <c r="F663" s="11" t="str">
        <f>IF($B663="","",RANK($E663,$E$2:$E$1501)+COUNTIF($E$2:E663,$E663)-1)</f>
        <v/>
      </c>
      <c r="G663" s="11" t="str">
        <f>IF($B663="","",RANK($D663,$D$2:$D$1501)+COUNTIF($D$2:D663,$D663)-1)</f>
        <v/>
      </c>
    </row>
    <row r="664" spans="1:7">
      <c r="A664" s="11">
        <v>663</v>
      </c>
      <c r="B664" s="11" t="str">
        <f>IFERROR(INDEX('Raw Data'!$R$2:$R$50000,MATCH(663,'Raw Data'!$W$2:$W$50000,0)),"")</f>
        <v/>
      </c>
      <c r="C664" s="11" t="str">
        <f t="shared" si="10"/>
        <v/>
      </c>
      <c r="D664" s="11" t="str">
        <f>IF($B664="","",COUNTIFS('Raw Data'!$R$2:$R$50000,$B664))</f>
        <v/>
      </c>
      <c r="E664" s="11" t="str">
        <f>IF($B664="","",SUMIFS('Raw Data'!$I$2:$I$50000,'Raw Data'!$R$2:$R$50000,$B664))</f>
        <v/>
      </c>
      <c r="F664" s="11" t="str">
        <f>IF($B664="","",RANK($E664,$E$2:$E$1501)+COUNTIF($E$2:E664,$E664)-1)</f>
        <v/>
      </c>
      <c r="G664" s="11" t="str">
        <f>IF($B664="","",RANK($D664,$D$2:$D$1501)+COUNTIF($D$2:D664,$D664)-1)</f>
        <v/>
      </c>
    </row>
    <row r="665" spans="1:7">
      <c r="A665" s="11">
        <v>664</v>
      </c>
      <c r="B665" s="11" t="str">
        <f>IFERROR(INDEX('Raw Data'!$R$2:$R$50000,MATCH(664,'Raw Data'!$W$2:$W$50000,0)),"")</f>
        <v/>
      </c>
      <c r="C665" s="11" t="str">
        <f t="shared" si="10"/>
        <v/>
      </c>
      <c r="D665" s="11" t="str">
        <f>IF($B665="","",COUNTIFS('Raw Data'!$R$2:$R$50000,$B665))</f>
        <v/>
      </c>
      <c r="E665" s="11" t="str">
        <f>IF($B665="","",SUMIFS('Raw Data'!$I$2:$I$50000,'Raw Data'!$R$2:$R$50000,$B665))</f>
        <v/>
      </c>
      <c r="F665" s="11" t="str">
        <f>IF($B665="","",RANK($E665,$E$2:$E$1501)+COUNTIF($E$2:E665,$E665)-1)</f>
        <v/>
      </c>
      <c r="G665" s="11" t="str">
        <f>IF($B665="","",RANK($D665,$D$2:$D$1501)+COUNTIF($D$2:D665,$D665)-1)</f>
        <v/>
      </c>
    </row>
    <row r="666" spans="1:7">
      <c r="A666" s="11">
        <v>665</v>
      </c>
      <c r="B666" s="11" t="str">
        <f>IFERROR(INDEX('Raw Data'!$R$2:$R$50000,MATCH(665,'Raw Data'!$W$2:$W$50000,0)),"")</f>
        <v/>
      </c>
      <c r="C666" s="11" t="str">
        <f t="shared" si="10"/>
        <v/>
      </c>
      <c r="D666" s="11" t="str">
        <f>IF($B666="","",COUNTIFS('Raw Data'!$R$2:$R$50000,$B666))</f>
        <v/>
      </c>
      <c r="E666" s="11" t="str">
        <f>IF($B666="","",SUMIFS('Raw Data'!$I$2:$I$50000,'Raw Data'!$R$2:$R$50000,$B666))</f>
        <v/>
      </c>
      <c r="F666" s="11" t="str">
        <f>IF($B666="","",RANK($E666,$E$2:$E$1501)+COUNTIF($E$2:E666,$E666)-1)</f>
        <v/>
      </c>
      <c r="G666" s="11" t="str">
        <f>IF($B666="","",RANK($D666,$D$2:$D$1501)+COUNTIF($D$2:D666,$D666)-1)</f>
        <v/>
      </c>
    </row>
    <row r="667" spans="1:7">
      <c r="A667" s="11">
        <v>666</v>
      </c>
      <c r="B667" s="11" t="str">
        <f>IFERROR(INDEX('Raw Data'!$R$2:$R$50000,MATCH(666,'Raw Data'!$W$2:$W$50000,0)),"")</f>
        <v/>
      </c>
      <c r="C667" s="11" t="str">
        <f t="shared" si="10"/>
        <v/>
      </c>
      <c r="D667" s="11" t="str">
        <f>IF($B667="","",COUNTIFS('Raw Data'!$R$2:$R$50000,$B667))</f>
        <v/>
      </c>
      <c r="E667" s="11" t="str">
        <f>IF($B667="","",SUMIFS('Raw Data'!$I$2:$I$50000,'Raw Data'!$R$2:$R$50000,$B667))</f>
        <v/>
      </c>
      <c r="F667" s="11" t="str">
        <f>IF($B667="","",RANK($E667,$E$2:$E$1501)+COUNTIF($E$2:E667,$E667)-1)</f>
        <v/>
      </c>
      <c r="G667" s="11" t="str">
        <f>IF($B667="","",RANK($D667,$D$2:$D$1501)+COUNTIF($D$2:D667,$D667)-1)</f>
        <v/>
      </c>
    </row>
    <row r="668" spans="1:7">
      <c r="A668" s="11">
        <v>667</v>
      </c>
      <c r="B668" s="11" t="str">
        <f>IFERROR(INDEX('Raw Data'!$R$2:$R$50000,MATCH(667,'Raw Data'!$W$2:$W$50000,0)),"")</f>
        <v/>
      </c>
      <c r="C668" s="11" t="str">
        <f t="shared" si="10"/>
        <v/>
      </c>
      <c r="D668" s="11" t="str">
        <f>IF($B668="","",COUNTIFS('Raw Data'!$R$2:$R$50000,$B668))</f>
        <v/>
      </c>
      <c r="E668" s="11" t="str">
        <f>IF($B668="","",SUMIFS('Raw Data'!$I$2:$I$50000,'Raw Data'!$R$2:$R$50000,$B668))</f>
        <v/>
      </c>
      <c r="F668" s="11" t="str">
        <f>IF($B668="","",RANK($E668,$E$2:$E$1501)+COUNTIF($E$2:E668,$E668)-1)</f>
        <v/>
      </c>
      <c r="G668" s="11" t="str">
        <f>IF($B668="","",RANK($D668,$D$2:$D$1501)+COUNTIF($D$2:D668,$D668)-1)</f>
        <v/>
      </c>
    </row>
    <row r="669" spans="1:7">
      <c r="A669" s="11">
        <v>668</v>
      </c>
      <c r="B669" s="11" t="str">
        <f>IFERROR(INDEX('Raw Data'!$R$2:$R$50000,MATCH(668,'Raw Data'!$W$2:$W$50000,0)),"")</f>
        <v/>
      </c>
      <c r="C669" s="11" t="str">
        <f t="shared" si="10"/>
        <v/>
      </c>
      <c r="D669" s="11" t="str">
        <f>IF($B669="","",COUNTIFS('Raw Data'!$R$2:$R$50000,$B669))</f>
        <v/>
      </c>
      <c r="E669" s="11" t="str">
        <f>IF($B669="","",SUMIFS('Raw Data'!$I$2:$I$50000,'Raw Data'!$R$2:$R$50000,$B669))</f>
        <v/>
      </c>
      <c r="F669" s="11" t="str">
        <f>IF($B669="","",RANK($E669,$E$2:$E$1501)+COUNTIF($E$2:E669,$E669)-1)</f>
        <v/>
      </c>
      <c r="G669" s="11" t="str">
        <f>IF($B669="","",RANK($D669,$D$2:$D$1501)+COUNTIF($D$2:D669,$D669)-1)</f>
        <v/>
      </c>
    </row>
    <row r="670" spans="1:7">
      <c r="A670" s="11">
        <v>669</v>
      </c>
      <c r="B670" s="11" t="str">
        <f>IFERROR(INDEX('Raw Data'!$R$2:$R$50000,MATCH(669,'Raw Data'!$W$2:$W$50000,0)),"")</f>
        <v/>
      </c>
      <c r="C670" s="11" t="str">
        <f t="shared" si="10"/>
        <v/>
      </c>
      <c r="D670" s="11" t="str">
        <f>IF($B670="","",COUNTIFS('Raw Data'!$R$2:$R$50000,$B670))</f>
        <v/>
      </c>
      <c r="E670" s="11" t="str">
        <f>IF($B670="","",SUMIFS('Raw Data'!$I$2:$I$50000,'Raw Data'!$R$2:$R$50000,$B670))</f>
        <v/>
      </c>
      <c r="F670" s="11" t="str">
        <f>IF($B670="","",RANK($E670,$E$2:$E$1501)+COUNTIF($E$2:E670,$E670)-1)</f>
        <v/>
      </c>
      <c r="G670" s="11" t="str">
        <f>IF($B670="","",RANK($D670,$D$2:$D$1501)+COUNTIF($D$2:D670,$D670)-1)</f>
        <v/>
      </c>
    </row>
    <row r="671" spans="1:7">
      <c r="A671" s="11">
        <v>670</v>
      </c>
      <c r="B671" s="11" t="str">
        <f>IFERROR(INDEX('Raw Data'!$R$2:$R$50000,MATCH(670,'Raw Data'!$W$2:$W$50000,0)),"")</f>
        <v/>
      </c>
      <c r="C671" s="11" t="str">
        <f t="shared" si="10"/>
        <v/>
      </c>
      <c r="D671" s="11" t="str">
        <f>IF($B671="","",COUNTIFS('Raw Data'!$R$2:$R$50000,$B671))</f>
        <v/>
      </c>
      <c r="E671" s="11" t="str">
        <f>IF($B671="","",SUMIFS('Raw Data'!$I$2:$I$50000,'Raw Data'!$R$2:$R$50000,$B671))</f>
        <v/>
      </c>
      <c r="F671" s="11" t="str">
        <f>IF($B671="","",RANK($E671,$E$2:$E$1501)+COUNTIF($E$2:E671,$E671)-1)</f>
        <v/>
      </c>
      <c r="G671" s="11" t="str">
        <f>IF($B671="","",RANK($D671,$D$2:$D$1501)+COUNTIF($D$2:D671,$D671)-1)</f>
        <v/>
      </c>
    </row>
    <row r="672" spans="1:7">
      <c r="A672" s="11">
        <v>671</v>
      </c>
      <c r="B672" s="11" t="str">
        <f>IFERROR(INDEX('Raw Data'!$R$2:$R$50000,MATCH(671,'Raw Data'!$W$2:$W$50000,0)),"")</f>
        <v/>
      </c>
      <c r="C672" s="11" t="str">
        <f t="shared" si="10"/>
        <v/>
      </c>
      <c r="D672" s="11" t="str">
        <f>IF($B672="","",COUNTIFS('Raw Data'!$R$2:$R$50000,$B672))</f>
        <v/>
      </c>
      <c r="E672" s="11" t="str">
        <f>IF($B672="","",SUMIFS('Raw Data'!$I$2:$I$50000,'Raw Data'!$R$2:$R$50000,$B672))</f>
        <v/>
      </c>
      <c r="F672" s="11" t="str">
        <f>IF($B672="","",RANK($E672,$E$2:$E$1501)+COUNTIF($E$2:E672,$E672)-1)</f>
        <v/>
      </c>
      <c r="G672" s="11" t="str">
        <f>IF($B672="","",RANK($D672,$D$2:$D$1501)+COUNTIF($D$2:D672,$D672)-1)</f>
        <v/>
      </c>
    </row>
    <row r="673" spans="1:7">
      <c r="A673" s="11">
        <v>672</v>
      </c>
      <c r="B673" s="11" t="str">
        <f>IFERROR(INDEX('Raw Data'!$R$2:$R$50000,MATCH(672,'Raw Data'!$W$2:$W$50000,0)),"")</f>
        <v/>
      </c>
      <c r="C673" s="11" t="str">
        <f t="shared" si="10"/>
        <v/>
      </c>
      <c r="D673" s="11" t="str">
        <f>IF($B673="","",COUNTIFS('Raw Data'!$R$2:$R$50000,$B673))</f>
        <v/>
      </c>
      <c r="E673" s="11" t="str">
        <f>IF($B673="","",SUMIFS('Raw Data'!$I$2:$I$50000,'Raw Data'!$R$2:$R$50000,$B673))</f>
        <v/>
      </c>
      <c r="F673" s="11" t="str">
        <f>IF($B673="","",RANK($E673,$E$2:$E$1501)+COUNTIF($E$2:E673,$E673)-1)</f>
        <v/>
      </c>
      <c r="G673" s="11" t="str">
        <f>IF($B673="","",RANK($D673,$D$2:$D$1501)+COUNTIF($D$2:D673,$D673)-1)</f>
        <v/>
      </c>
    </row>
    <row r="674" spans="1:7">
      <c r="A674" s="11">
        <v>673</v>
      </c>
      <c r="B674" s="11" t="str">
        <f>IFERROR(INDEX('Raw Data'!$R$2:$R$50000,MATCH(673,'Raw Data'!$W$2:$W$50000,0)),"")</f>
        <v/>
      </c>
      <c r="C674" s="11" t="str">
        <f t="shared" si="10"/>
        <v/>
      </c>
      <c r="D674" s="11" t="str">
        <f>IF($B674="","",COUNTIFS('Raw Data'!$R$2:$R$50000,$B674))</f>
        <v/>
      </c>
      <c r="E674" s="11" t="str">
        <f>IF($B674="","",SUMIFS('Raw Data'!$I$2:$I$50000,'Raw Data'!$R$2:$R$50000,$B674))</f>
        <v/>
      </c>
      <c r="F674" s="11" t="str">
        <f>IF($B674="","",RANK($E674,$E$2:$E$1501)+COUNTIF($E$2:E674,$E674)-1)</f>
        <v/>
      </c>
      <c r="G674" s="11" t="str">
        <f>IF($B674="","",RANK($D674,$D$2:$D$1501)+COUNTIF($D$2:D674,$D674)-1)</f>
        <v/>
      </c>
    </row>
    <row r="675" spans="1:7">
      <c r="A675" s="11">
        <v>674</v>
      </c>
      <c r="B675" s="11" t="str">
        <f>IFERROR(INDEX('Raw Data'!$R$2:$R$50000,MATCH(674,'Raw Data'!$W$2:$W$50000,0)),"")</f>
        <v/>
      </c>
      <c r="C675" s="11" t="str">
        <f t="shared" si="10"/>
        <v/>
      </c>
      <c r="D675" s="11" t="str">
        <f>IF($B675="","",COUNTIFS('Raw Data'!$R$2:$R$50000,$B675))</f>
        <v/>
      </c>
      <c r="E675" s="11" t="str">
        <f>IF($B675="","",SUMIFS('Raw Data'!$I$2:$I$50000,'Raw Data'!$R$2:$R$50000,$B675))</f>
        <v/>
      </c>
      <c r="F675" s="11" t="str">
        <f>IF($B675="","",RANK($E675,$E$2:$E$1501)+COUNTIF($E$2:E675,$E675)-1)</f>
        <v/>
      </c>
      <c r="G675" s="11" t="str">
        <f>IF($B675="","",RANK($D675,$D$2:$D$1501)+COUNTIF($D$2:D675,$D675)-1)</f>
        <v/>
      </c>
    </row>
    <row r="676" spans="1:7">
      <c r="A676" s="11">
        <v>675</v>
      </c>
      <c r="B676" s="11" t="str">
        <f>IFERROR(INDEX('Raw Data'!$R$2:$R$50000,MATCH(675,'Raw Data'!$W$2:$W$50000,0)),"")</f>
        <v/>
      </c>
      <c r="C676" s="11" t="str">
        <f t="shared" si="10"/>
        <v/>
      </c>
      <c r="D676" s="11" t="str">
        <f>IF($B676="","",COUNTIFS('Raw Data'!$R$2:$R$50000,$B676))</f>
        <v/>
      </c>
      <c r="E676" s="11" t="str">
        <f>IF($B676="","",SUMIFS('Raw Data'!$I$2:$I$50000,'Raw Data'!$R$2:$R$50000,$B676))</f>
        <v/>
      </c>
      <c r="F676" s="11" t="str">
        <f>IF($B676="","",RANK($E676,$E$2:$E$1501)+COUNTIF($E$2:E676,$E676)-1)</f>
        <v/>
      </c>
      <c r="G676" s="11" t="str">
        <f>IF($B676="","",RANK($D676,$D$2:$D$1501)+COUNTIF($D$2:D676,$D676)-1)</f>
        <v/>
      </c>
    </row>
    <row r="677" spans="1:7">
      <c r="A677" s="11">
        <v>676</v>
      </c>
      <c r="B677" s="11" t="str">
        <f>IFERROR(INDEX('Raw Data'!$R$2:$R$50000,MATCH(676,'Raw Data'!$W$2:$W$50000,0)),"")</f>
        <v/>
      </c>
      <c r="C677" s="11" t="str">
        <f t="shared" si="10"/>
        <v/>
      </c>
      <c r="D677" s="11" t="str">
        <f>IF($B677="","",COUNTIFS('Raw Data'!$R$2:$R$50000,$B677))</f>
        <v/>
      </c>
      <c r="E677" s="11" t="str">
        <f>IF($B677="","",SUMIFS('Raw Data'!$I$2:$I$50000,'Raw Data'!$R$2:$R$50000,$B677))</f>
        <v/>
      </c>
      <c r="F677" s="11" t="str">
        <f>IF($B677="","",RANK($E677,$E$2:$E$1501)+COUNTIF($E$2:E677,$E677)-1)</f>
        <v/>
      </c>
      <c r="G677" s="11" t="str">
        <f>IF($B677="","",RANK($D677,$D$2:$D$1501)+COUNTIF($D$2:D677,$D677)-1)</f>
        <v/>
      </c>
    </row>
    <row r="678" spans="1:7">
      <c r="A678" s="11">
        <v>677</v>
      </c>
      <c r="B678" s="11" t="str">
        <f>IFERROR(INDEX('Raw Data'!$R$2:$R$50000,MATCH(677,'Raw Data'!$W$2:$W$50000,0)),"")</f>
        <v/>
      </c>
      <c r="C678" s="11" t="str">
        <f t="shared" si="10"/>
        <v/>
      </c>
      <c r="D678" s="11" t="str">
        <f>IF($B678="","",COUNTIFS('Raw Data'!$R$2:$R$50000,$B678))</f>
        <v/>
      </c>
      <c r="E678" s="11" t="str">
        <f>IF($B678="","",SUMIFS('Raw Data'!$I$2:$I$50000,'Raw Data'!$R$2:$R$50000,$B678))</f>
        <v/>
      </c>
      <c r="F678" s="11" t="str">
        <f>IF($B678="","",RANK($E678,$E$2:$E$1501)+COUNTIF($E$2:E678,$E678)-1)</f>
        <v/>
      </c>
      <c r="G678" s="11" t="str">
        <f>IF($B678="","",RANK($D678,$D$2:$D$1501)+COUNTIF($D$2:D678,$D678)-1)</f>
        <v/>
      </c>
    </row>
    <row r="679" spans="1:7">
      <c r="A679" s="11">
        <v>678</v>
      </c>
      <c r="B679" s="11" t="str">
        <f>IFERROR(INDEX('Raw Data'!$R$2:$R$50000,MATCH(678,'Raw Data'!$W$2:$W$50000,0)),"")</f>
        <v/>
      </c>
      <c r="C679" s="11" t="str">
        <f t="shared" si="10"/>
        <v/>
      </c>
      <c r="D679" s="11" t="str">
        <f>IF($B679="","",COUNTIFS('Raw Data'!$R$2:$R$50000,$B679))</f>
        <v/>
      </c>
      <c r="E679" s="11" t="str">
        <f>IF($B679="","",SUMIFS('Raw Data'!$I$2:$I$50000,'Raw Data'!$R$2:$R$50000,$B679))</f>
        <v/>
      </c>
      <c r="F679" s="11" t="str">
        <f>IF($B679="","",RANK($E679,$E$2:$E$1501)+COUNTIF($E$2:E679,$E679)-1)</f>
        <v/>
      </c>
      <c r="G679" s="11" t="str">
        <f>IF($B679="","",RANK($D679,$D$2:$D$1501)+COUNTIF($D$2:D679,$D679)-1)</f>
        <v/>
      </c>
    </row>
    <row r="680" spans="1:7">
      <c r="A680" s="11">
        <v>679</v>
      </c>
      <c r="B680" s="11" t="str">
        <f>IFERROR(INDEX('Raw Data'!$R$2:$R$50000,MATCH(679,'Raw Data'!$W$2:$W$50000,0)),"")</f>
        <v/>
      </c>
      <c r="C680" s="11" t="str">
        <f t="shared" si="10"/>
        <v/>
      </c>
      <c r="D680" s="11" t="str">
        <f>IF($B680="","",COUNTIFS('Raw Data'!$R$2:$R$50000,$B680))</f>
        <v/>
      </c>
      <c r="E680" s="11" t="str">
        <f>IF($B680="","",SUMIFS('Raw Data'!$I$2:$I$50000,'Raw Data'!$R$2:$R$50000,$B680))</f>
        <v/>
      </c>
      <c r="F680" s="11" t="str">
        <f>IF($B680="","",RANK($E680,$E$2:$E$1501)+COUNTIF($E$2:E680,$E680)-1)</f>
        <v/>
      </c>
      <c r="G680" s="11" t="str">
        <f>IF($B680="","",RANK($D680,$D$2:$D$1501)+COUNTIF($D$2:D680,$D680)-1)</f>
        <v/>
      </c>
    </row>
    <row r="681" spans="1:7">
      <c r="A681" s="11">
        <v>680</v>
      </c>
      <c r="B681" s="11" t="str">
        <f>IFERROR(INDEX('Raw Data'!$R$2:$R$50000,MATCH(680,'Raw Data'!$W$2:$W$50000,0)),"")</f>
        <v/>
      </c>
      <c r="C681" s="11" t="str">
        <f t="shared" si="10"/>
        <v/>
      </c>
      <c r="D681" s="11" t="str">
        <f>IF($B681="","",COUNTIFS('Raw Data'!$R$2:$R$50000,$B681))</f>
        <v/>
      </c>
      <c r="E681" s="11" t="str">
        <f>IF($B681="","",SUMIFS('Raw Data'!$I$2:$I$50000,'Raw Data'!$R$2:$R$50000,$B681))</f>
        <v/>
      </c>
      <c r="F681" s="11" t="str">
        <f>IF($B681="","",RANK($E681,$E$2:$E$1501)+COUNTIF($E$2:E681,$E681)-1)</f>
        <v/>
      </c>
      <c r="G681" s="11" t="str">
        <f>IF($B681="","",RANK($D681,$D$2:$D$1501)+COUNTIF($D$2:D681,$D681)-1)</f>
        <v/>
      </c>
    </row>
    <row r="682" spans="1:7">
      <c r="A682" s="11">
        <v>681</v>
      </c>
      <c r="B682" s="11" t="str">
        <f>IFERROR(INDEX('Raw Data'!$R$2:$R$50000,MATCH(681,'Raw Data'!$W$2:$W$50000,0)),"")</f>
        <v/>
      </c>
      <c r="C682" s="11" t="str">
        <f t="shared" si="10"/>
        <v/>
      </c>
      <c r="D682" s="11" t="str">
        <f>IF($B682="","",COUNTIFS('Raw Data'!$R$2:$R$50000,$B682))</f>
        <v/>
      </c>
      <c r="E682" s="11" t="str">
        <f>IF($B682="","",SUMIFS('Raw Data'!$I$2:$I$50000,'Raw Data'!$R$2:$R$50000,$B682))</f>
        <v/>
      </c>
      <c r="F682" s="11" t="str">
        <f>IF($B682="","",RANK($E682,$E$2:$E$1501)+COUNTIF($E$2:E682,$E682)-1)</f>
        <v/>
      </c>
      <c r="G682" s="11" t="str">
        <f>IF($B682="","",RANK($D682,$D$2:$D$1501)+COUNTIF($D$2:D682,$D682)-1)</f>
        <v/>
      </c>
    </row>
    <row r="683" spans="1:7">
      <c r="A683" s="11">
        <v>682</v>
      </c>
      <c r="B683" s="11" t="str">
        <f>IFERROR(INDEX('Raw Data'!$R$2:$R$50000,MATCH(682,'Raw Data'!$W$2:$W$50000,0)),"")</f>
        <v/>
      </c>
      <c r="C683" s="11" t="str">
        <f t="shared" si="10"/>
        <v/>
      </c>
      <c r="D683" s="11" t="str">
        <f>IF($B683="","",COUNTIFS('Raw Data'!$R$2:$R$50000,$B683))</f>
        <v/>
      </c>
      <c r="E683" s="11" t="str">
        <f>IF($B683="","",SUMIFS('Raw Data'!$I$2:$I$50000,'Raw Data'!$R$2:$R$50000,$B683))</f>
        <v/>
      </c>
      <c r="F683" s="11" t="str">
        <f>IF($B683="","",RANK($E683,$E$2:$E$1501)+COUNTIF($E$2:E683,$E683)-1)</f>
        <v/>
      </c>
      <c r="G683" s="11" t="str">
        <f>IF($B683="","",RANK($D683,$D$2:$D$1501)+COUNTIF($D$2:D683,$D683)-1)</f>
        <v/>
      </c>
    </row>
    <row r="684" spans="1:7">
      <c r="A684" s="11">
        <v>683</v>
      </c>
      <c r="B684" s="11" t="str">
        <f>IFERROR(INDEX('Raw Data'!$R$2:$R$50000,MATCH(683,'Raw Data'!$W$2:$W$50000,0)),"")</f>
        <v/>
      </c>
      <c r="C684" s="11" t="str">
        <f t="shared" si="10"/>
        <v/>
      </c>
      <c r="D684" s="11" t="str">
        <f>IF($B684="","",COUNTIFS('Raw Data'!$R$2:$R$50000,$B684))</f>
        <v/>
      </c>
      <c r="E684" s="11" t="str">
        <f>IF($B684="","",SUMIFS('Raw Data'!$I$2:$I$50000,'Raw Data'!$R$2:$R$50000,$B684))</f>
        <v/>
      </c>
      <c r="F684" s="11" t="str">
        <f>IF($B684="","",RANK($E684,$E$2:$E$1501)+COUNTIF($E$2:E684,$E684)-1)</f>
        <v/>
      </c>
      <c r="G684" s="11" t="str">
        <f>IF($B684="","",RANK($D684,$D$2:$D$1501)+COUNTIF($D$2:D684,$D684)-1)</f>
        <v/>
      </c>
    </row>
    <row r="685" spans="1:7">
      <c r="A685" s="11">
        <v>684</v>
      </c>
      <c r="B685" s="11" t="str">
        <f>IFERROR(INDEX('Raw Data'!$R$2:$R$50000,MATCH(684,'Raw Data'!$W$2:$W$50000,0)),"")</f>
        <v/>
      </c>
      <c r="C685" s="11" t="str">
        <f t="shared" si="10"/>
        <v/>
      </c>
      <c r="D685" s="11" t="str">
        <f>IF($B685="","",COUNTIFS('Raw Data'!$R$2:$R$50000,$B685))</f>
        <v/>
      </c>
      <c r="E685" s="11" t="str">
        <f>IF($B685="","",SUMIFS('Raw Data'!$I$2:$I$50000,'Raw Data'!$R$2:$R$50000,$B685))</f>
        <v/>
      </c>
      <c r="F685" s="11" t="str">
        <f>IF($B685="","",RANK($E685,$E$2:$E$1501)+COUNTIF($E$2:E685,$E685)-1)</f>
        <v/>
      </c>
      <c r="G685" s="11" t="str">
        <f>IF($B685="","",RANK($D685,$D$2:$D$1501)+COUNTIF($D$2:D685,$D685)-1)</f>
        <v/>
      </c>
    </row>
    <row r="686" spans="1:7">
      <c r="A686" s="11">
        <v>685</v>
      </c>
      <c r="B686" s="11" t="str">
        <f>IFERROR(INDEX('Raw Data'!$R$2:$R$50000,MATCH(685,'Raw Data'!$W$2:$W$50000,0)),"")</f>
        <v/>
      </c>
      <c r="C686" s="11" t="str">
        <f t="shared" si="10"/>
        <v/>
      </c>
      <c r="D686" s="11" t="str">
        <f>IF($B686="","",COUNTIFS('Raw Data'!$R$2:$R$50000,$B686))</f>
        <v/>
      </c>
      <c r="E686" s="11" t="str">
        <f>IF($B686="","",SUMIFS('Raw Data'!$I$2:$I$50000,'Raw Data'!$R$2:$R$50000,$B686))</f>
        <v/>
      </c>
      <c r="F686" s="11" t="str">
        <f>IF($B686="","",RANK($E686,$E$2:$E$1501)+COUNTIF($E$2:E686,$E686)-1)</f>
        <v/>
      </c>
      <c r="G686" s="11" t="str">
        <f>IF($B686="","",RANK($D686,$D$2:$D$1501)+COUNTIF($D$2:D686,$D686)-1)</f>
        <v/>
      </c>
    </row>
    <row r="687" spans="1:7">
      <c r="A687" s="11">
        <v>686</v>
      </c>
      <c r="B687" s="11" t="str">
        <f>IFERROR(INDEX('Raw Data'!$R$2:$R$50000,MATCH(686,'Raw Data'!$W$2:$W$50000,0)),"")</f>
        <v/>
      </c>
      <c r="C687" s="11" t="str">
        <f t="shared" si="10"/>
        <v/>
      </c>
      <c r="D687" s="11" t="str">
        <f>IF($B687="","",COUNTIFS('Raw Data'!$R$2:$R$50000,$B687))</f>
        <v/>
      </c>
      <c r="E687" s="11" t="str">
        <f>IF($B687="","",SUMIFS('Raw Data'!$I$2:$I$50000,'Raw Data'!$R$2:$R$50000,$B687))</f>
        <v/>
      </c>
      <c r="F687" s="11" t="str">
        <f>IF($B687="","",RANK($E687,$E$2:$E$1501)+COUNTIF($E$2:E687,$E687)-1)</f>
        <v/>
      </c>
      <c r="G687" s="11" t="str">
        <f>IF($B687="","",RANK($D687,$D$2:$D$1501)+COUNTIF($D$2:D687,$D687)-1)</f>
        <v/>
      </c>
    </row>
    <row r="688" spans="1:7">
      <c r="A688" s="11">
        <v>687</v>
      </c>
      <c r="B688" s="11" t="str">
        <f>IFERROR(INDEX('Raw Data'!$R$2:$R$50000,MATCH(687,'Raw Data'!$W$2:$W$50000,0)),"")</f>
        <v/>
      </c>
      <c r="C688" s="11" t="str">
        <f t="shared" si="10"/>
        <v/>
      </c>
      <c r="D688" s="11" t="str">
        <f>IF($B688="","",COUNTIFS('Raw Data'!$R$2:$R$50000,$B688))</f>
        <v/>
      </c>
      <c r="E688" s="11" t="str">
        <f>IF($B688="","",SUMIFS('Raw Data'!$I$2:$I$50000,'Raw Data'!$R$2:$R$50000,$B688))</f>
        <v/>
      </c>
      <c r="F688" s="11" t="str">
        <f>IF($B688="","",RANK($E688,$E$2:$E$1501)+COUNTIF($E$2:E688,$E688)-1)</f>
        <v/>
      </c>
      <c r="G688" s="11" t="str">
        <f>IF($B688="","",RANK($D688,$D$2:$D$1501)+COUNTIF($D$2:D688,$D688)-1)</f>
        <v/>
      </c>
    </row>
    <row r="689" spans="1:7">
      <c r="A689" s="11">
        <v>688</v>
      </c>
      <c r="B689" s="11" t="str">
        <f>IFERROR(INDEX('Raw Data'!$R$2:$R$50000,MATCH(688,'Raw Data'!$W$2:$W$50000,0)),"")</f>
        <v/>
      </c>
      <c r="C689" s="11" t="str">
        <f t="shared" si="10"/>
        <v/>
      </c>
      <c r="D689" s="11" t="str">
        <f>IF($B689="","",COUNTIFS('Raw Data'!$R$2:$R$50000,$B689))</f>
        <v/>
      </c>
      <c r="E689" s="11" t="str">
        <f>IF($B689="","",SUMIFS('Raw Data'!$I$2:$I$50000,'Raw Data'!$R$2:$R$50000,$B689))</f>
        <v/>
      </c>
      <c r="F689" s="11" t="str">
        <f>IF($B689="","",RANK($E689,$E$2:$E$1501)+COUNTIF($E$2:E689,$E689)-1)</f>
        <v/>
      </c>
      <c r="G689" s="11" t="str">
        <f>IF($B689="","",RANK($D689,$D$2:$D$1501)+COUNTIF($D$2:D689,$D689)-1)</f>
        <v/>
      </c>
    </row>
    <row r="690" spans="1:7">
      <c r="A690" s="11">
        <v>689</v>
      </c>
      <c r="B690" s="11" t="str">
        <f>IFERROR(INDEX('Raw Data'!$R$2:$R$50000,MATCH(689,'Raw Data'!$W$2:$W$50000,0)),"")</f>
        <v/>
      </c>
      <c r="C690" s="11" t="str">
        <f t="shared" si="10"/>
        <v/>
      </c>
      <c r="D690" s="11" t="str">
        <f>IF($B690="","",COUNTIFS('Raw Data'!$R$2:$R$50000,$B690))</f>
        <v/>
      </c>
      <c r="E690" s="11" t="str">
        <f>IF($B690="","",SUMIFS('Raw Data'!$I$2:$I$50000,'Raw Data'!$R$2:$R$50000,$B690))</f>
        <v/>
      </c>
      <c r="F690" s="11" t="str">
        <f>IF($B690="","",RANK($E690,$E$2:$E$1501)+COUNTIF($E$2:E690,$E690)-1)</f>
        <v/>
      </c>
      <c r="G690" s="11" t="str">
        <f>IF($B690="","",RANK($D690,$D$2:$D$1501)+COUNTIF($D$2:D690,$D690)-1)</f>
        <v/>
      </c>
    </row>
    <row r="691" spans="1:7">
      <c r="A691" s="11">
        <v>690</v>
      </c>
      <c r="B691" s="11" t="str">
        <f>IFERROR(INDEX('Raw Data'!$R$2:$R$50000,MATCH(690,'Raw Data'!$W$2:$W$50000,0)),"")</f>
        <v/>
      </c>
      <c r="C691" s="11" t="str">
        <f t="shared" si="10"/>
        <v/>
      </c>
      <c r="D691" s="11" t="str">
        <f>IF($B691="","",COUNTIFS('Raw Data'!$R$2:$R$50000,$B691))</f>
        <v/>
      </c>
      <c r="E691" s="11" t="str">
        <f>IF($B691="","",SUMIFS('Raw Data'!$I$2:$I$50000,'Raw Data'!$R$2:$R$50000,$B691))</f>
        <v/>
      </c>
      <c r="F691" s="11" t="str">
        <f>IF($B691="","",RANK($E691,$E$2:$E$1501)+COUNTIF($E$2:E691,$E691)-1)</f>
        <v/>
      </c>
      <c r="G691" s="11" t="str">
        <f>IF($B691="","",RANK($D691,$D$2:$D$1501)+COUNTIF($D$2:D691,$D691)-1)</f>
        <v/>
      </c>
    </row>
    <row r="692" spans="1:7">
      <c r="A692" s="11">
        <v>691</v>
      </c>
      <c r="B692" s="11" t="str">
        <f>IFERROR(INDEX('Raw Data'!$R$2:$R$50000,MATCH(691,'Raw Data'!$W$2:$W$50000,0)),"")</f>
        <v/>
      </c>
      <c r="C692" s="11" t="str">
        <f t="shared" si="10"/>
        <v/>
      </c>
      <c r="D692" s="11" t="str">
        <f>IF($B692="","",COUNTIFS('Raw Data'!$R$2:$R$50000,$B692))</f>
        <v/>
      </c>
      <c r="E692" s="11" t="str">
        <f>IF($B692="","",SUMIFS('Raw Data'!$I$2:$I$50000,'Raw Data'!$R$2:$R$50000,$B692))</f>
        <v/>
      </c>
      <c r="F692" s="11" t="str">
        <f>IF($B692="","",RANK($E692,$E$2:$E$1501)+COUNTIF($E$2:E692,$E692)-1)</f>
        <v/>
      </c>
      <c r="G692" s="11" t="str">
        <f>IF($B692="","",RANK($D692,$D$2:$D$1501)+COUNTIF($D$2:D692,$D692)-1)</f>
        <v/>
      </c>
    </row>
    <row r="693" spans="1:7">
      <c r="A693" s="11">
        <v>692</v>
      </c>
      <c r="B693" s="11" t="str">
        <f>IFERROR(INDEX('Raw Data'!$R$2:$R$50000,MATCH(692,'Raw Data'!$W$2:$W$50000,0)),"")</f>
        <v/>
      </c>
      <c r="C693" s="11" t="str">
        <f t="shared" si="10"/>
        <v/>
      </c>
      <c r="D693" s="11" t="str">
        <f>IF($B693="","",COUNTIFS('Raw Data'!$R$2:$R$50000,$B693))</f>
        <v/>
      </c>
      <c r="E693" s="11" t="str">
        <f>IF($B693="","",SUMIFS('Raw Data'!$I$2:$I$50000,'Raw Data'!$R$2:$R$50000,$B693))</f>
        <v/>
      </c>
      <c r="F693" s="11" t="str">
        <f>IF($B693="","",RANK($E693,$E$2:$E$1501)+COUNTIF($E$2:E693,$E693)-1)</f>
        <v/>
      </c>
      <c r="G693" s="11" t="str">
        <f>IF($B693="","",RANK($D693,$D$2:$D$1501)+COUNTIF($D$2:D693,$D693)-1)</f>
        <v/>
      </c>
    </row>
    <row r="694" spans="1:7">
      <c r="A694" s="11">
        <v>693</v>
      </c>
      <c r="B694" s="11" t="str">
        <f>IFERROR(INDEX('Raw Data'!$R$2:$R$50000,MATCH(693,'Raw Data'!$W$2:$W$50000,0)),"")</f>
        <v/>
      </c>
      <c r="C694" s="11" t="str">
        <f t="shared" si="10"/>
        <v/>
      </c>
      <c r="D694" s="11" t="str">
        <f>IF($B694="","",COUNTIFS('Raw Data'!$R$2:$R$50000,$B694))</f>
        <v/>
      </c>
      <c r="E694" s="11" t="str">
        <f>IF($B694="","",SUMIFS('Raw Data'!$I$2:$I$50000,'Raw Data'!$R$2:$R$50000,$B694))</f>
        <v/>
      </c>
      <c r="F694" s="11" t="str">
        <f>IF($B694="","",RANK($E694,$E$2:$E$1501)+COUNTIF($E$2:E694,$E694)-1)</f>
        <v/>
      </c>
      <c r="G694" s="11" t="str">
        <f>IF($B694="","",RANK($D694,$D$2:$D$1501)+COUNTIF($D$2:D694,$D694)-1)</f>
        <v/>
      </c>
    </row>
    <row r="695" spans="1:7">
      <c r="A695" s="11">
        <v>694</v>
      </c>
      <c r="B695" s="11" t="str">
        <f>IFERROR(INDEX('Raw Data'!$R$2:$R$50000,MATCH(694,'Raw Data'!$W$2:$W$50000,0)),"")</f>
        <v/>
      </c>
      <c r="C695" s="11" t="str">
        <f t="shared" si="10"/>
        <v/>
      </c>
      <c r="D695" s="11" t="str">
        <f>IF($B695="","",COUNTIFS('Raw Data'!$R$2:$R$50000,$B695))</f>
        <v/>
      </c>
      <c r="E695" s="11" t="str">
        <f>IF($B695="","",SUMIFS('Raw Data'!$I$2:$I$50000,'Raw Data'!$R$2:$R$50000,$B695))</f>
        <v/>
      </c>
      <c r="F695" s="11" t="str">
        <f>IF($B695="","",RANK($E695,$E$2:$E$1501)+COUNTIF($E$2:E695,$E695)-1)</f>
        <v/>
      </c>
      <c r="G695" s="11" t="str">
        <f>IF($B695="","",RANK($D695,$D$2:$D$1501)+COUNTIF($D$2:D695,$D695)-1)</f>
        <v/>
      </c>
    </row>
    <row r="696" spans="1:7">
      <c r="A696" s="11">
        <v>695</v>
      </c>
      <c r="B696" s="11" t="str">
        <f>IFERROR(INDEX('Raw Data'!$R$2:$R$50000,MATCH(695,'Raw Data'!$W$2:$W$50000,0)),"")</f>
        <v/>
      </c>
      <c r="C696" s="11" t="str">
        <f t="shared" si="10"/>
        <v/>
      </c>
      <c r="D696" s="11" t="str">
        <f>IF($B696="","",COUNTIFS('Raw Data'!$R$2:$R$50000,$B696))</f>
        <v/>
      </c>
      <c r="E696" s="11" t="str">
        <f>IF($B696="","",SUMIFS('Raw Data'!$I$2:$I$50000,'Raw Data'!$R$2:$R$50000,$B696))</f>
        <v/>
      </c>
      <c r="F696" s="11" t="str">
        <f>IF($B696="","",RANK($E696,$E$2:$E$1501)+COUNTIF($E$2:E696,$E696)-1)</f>
        <v/>
      </c>
      <c r="G696" s="11" t="str">
        <f>IF($B696="","",RANK($D696,$D$2:$D$1501)+COUNTIF($D$2:D696,$D696)-1)</f>
        <v/>
      </c>
    </row>
    <row r="697" spans="1:7">
      <c r="A697" s="11">
        <v>696</v>
      </c>
      <c r="B697" s="11" t="str">
        <f>IFERROR(INDEX('Raw Data'!$R$2:$R$50000,MATCH(696,'Raw Data'!$W$2:$W$50000,0)),"")</f>
        <v/>
      </c>
      <c r="C697" s="11" t="str">
        <f t="shared" si="10"/>
        <v/>
      </c>
      <c r="D697" s="11" t="str">
        <f>IF($B697="","",COUNTIFS('Raw Data'!$R$2:$R$50000,$B697))</f>
        <v/>
      </c>
      <c r="E697" s="11" t="str">
        <f>IF($B697="","",SUMIFS('Raw Data'!$I$2:$I$50000,'Raw Data'!$R$2:$R$50000,$B697))</f>
        <v/>
      </c>
      <c r="F697" s="11" t="str">
        <f>IF($B697="","",RANK($E697,$E$2:$E$1501)+COUNTIF($E$2:E697,$E697)-1)</f>
        <v/>
      </c>
      <c r="G697" s="11" t="str">
        <f>IF($B697="","",RANK($D697,$D$2:$D$1501)+COUNTIF($D$2:D697,$D697)-1)</f>
        <v/>
      </c>
    </row>
    <row r="698" spans="1:7">
      <c r="A698" s="11">
        <v>697</v>
      </c>
      <c r="B698" s="11" t="str">
        <f>IFERROR(INDEX('Raw Data'!$R$2:$R$50000,MATCH(697,'Raw Data'!$W$2:$W$50000,0)),"")</f>
        <v/>
      </c>
      <c r="C698" s="11" t="str">
        <f t="shared" si="10"/>
        <v/>
      </c>
      <c r="D698" s="11" t="str">
        <f>IF($B698="","",COUNTIFS('Raw Data'!$R$2:$R$50000,$B698))</f>
        <v/>
      </c>
      <c r="E698" s="11" t="str">
        <f>IF($B698="","",SUMIFS('Raw Data'!$I$2:$I$50000,'Raw Data'!$R$2:$R$50000,$B698))</f>
        <v/>
      </c>
      <c r="F698" s="11" t="str">
        <f>IF($B698="","",RANK($E698,$E$2:$E$1501)+COUNTIF($E$2:E698,$E698)-1)</f>
        <v/>
      </c>
      <c r="G698" s="11" t="str">
        <f>IF($B698="","",RANK($D698,$D$2:$D$1501)+COUNTIF($D$2:D698,$D698)-1)</f>
        <v/>
      </c>
    </row>
    <row r="699" spans="1:7">
      <c r="A699" s="11">
        <v>698</v>
      </c>
      <c r="B699" s="11" t="str">
        <f>IFERROR(INDEX('Raw Data'!$R$2:$R$50000,MATCH(698,'Raw Data'!$W$2:$W$50000,0)),"")</f>
        <v/>
      </c>
      <c r="C699" s="11" t="str">
        <f t="shared" si="10"/>
        <v/>
      </c>
      <c r="D699" s="11" t="str">
        <f>IF($B699="","",COUNTIFS('Raw Data'!$R$2:$R$50000,$B699))</f>
        <v/>
      </c>
      <c r="E699" s="11" t="str">
        <f>IF($B699="","",SUMIFS('Raw Data'!$I$2:$I$50000,'Raw Data'!$R$2:$R$50000,$B699))</f>
        <v/>
      </c>
      <c r="F699" s="11" t="str">
        <f>IF($B699="","",RANK($E699,$E$2:$E$1501)+COUNTIF($E$2:E699,$E699)-1)</f>
        <v/>
      </c>
      <c r="G699" s="11" t="str">
        <f>IF($B699="","",RANK($D699,$D$2:$D$1501)+COUNTIF($D$2:D699,$D699)-1)</f>
        <v/>
      </c>
    </row>
    <row r="700" spans="1:7">
      <c r="A700" s="11">
        <v>699</v>
      </c>
      <c r="B700" s="11" t="str">
        <f>IFERROR(INDEX('Raw Data'!$R$2:$R$50000,MATCH(699,'Raw Data'!$W$2:$W$50000,0)),"")</f>
        <v/>
      </c>
      <c r="C700" s="11" t="str">
        <f t="shared" si="10"/>
        <v/>
      </c>
      <c r="D700" s="11" t="str">
        <f>IF($B700="","",COUNTIFS('Raw Data'!$R$2:$R$50000,$B700))</f>
        <v/>
      </c>
      <c r="E700" s="11" t="str">
        <f>IF($B700="","",SUMIFS('Raw Data'!$I$2:$I$50000,'Raw Data'!$R$2:$R$50000,$B700))</f>
        <v/>
      </c>
      <c r="F700" s="11" t="str">
        <f>IF($B700="","",RANK($E700,$E$2:$E$1501)+COUNTIF($E$2:E700,$E700)-1)</f>
        <v/>
      </c>
      <c r="G700" s="11" t="str">
        <f>IF($B700="","",RANK($D700,$D$2:$D$1501)+COUNTIF($D$2:D700,$D700)-1)</f>
        <v/>
      </c>
    </row>
    <row r="701" spans="1:7">
      <c r="A701" s="11">
        <v>700</v>
      </c>
      <c r="B701" s="11" t="str">
        <f>IFERROR(INDEX('Raw Data'!$R$2:$R$50000,MATCH(700,'Raw Data'!$W$2:$W$50000,0)),"")</f>
        <v/>
      </c>
      <c r="C701" s="11" t="str">
        <f t="shared" si="10"/>
        <v/>
      </c>
      <c r="D701" s="11" t="str">
        <f>IF($B701="","",COUNTIFS('Raw Data'!$R$2:$R$50000,$B701))</f>
        <v/>
      </c>
      <c r="E701" s="11" t="str">
        <f>IF($B701="","",SUMIFS('Raw Data'!$I$2:$I$50000,'Raw Data'!$R$2:$R$50000,$B701))</f>
        <v/>
      </c>
      <c r="F701" s="11" t="str">
        <f>IF($B701="","",RANK($E701,$E$2:$E$1501)+COUNTIF($E$2:E701,$E701)-1)</f>
        <v/>
      </c>
      <c r="G701" s="11" t="str">
        <f>IF($B701="","",RANK($D701,$D$2:$D$1501)+COUNTIF($D$2:D701,$D701)-1)</f>
        <v/>
      </c>
    </row>
    <row r="702" spans="1:7">
      <c r="A702" s="11">
        <v>701</v>
      </c>
      <c r="B702" s="11" t="str">
        <f>IFERROR(INDEX('Raw Data'!$R$2:$R$50000,MATCH(701,'Raw Data'!$W$2:$W$50000,0)),"")</f>
        <v/>
      </c>
      <c r="C702" s="11" t="str">
        <f t="shared" si="10"/>
        <v/>
      </c>
      <c r="D702" s="11" t="str">
        <f>IF($B702="","",COUNTIFS('Raw Data'!$R$2:$R$50000,$B702))</f>
        <v/>
      </c>
      <c r="E702" s="11" t="str">
        <f>IF($B702="","",SUMIFS('Raw Data'!$I$2:$I$50000,'Raw Data'!$R$2:$R$50000,$B702))</f>
        <v/>
      </c>
      <c r="F702" s="11" t="str">
        <f>IF($B702="","",RANK($E702,$E$2:$E$1501)+COUNTIF($E$2:E702,$E702)-1)</f>
        <v/>
      </c>
      <c r="G702" s="11" t="str">
        <f>IF($B702="","",RANK($D702,$D$2:$D$1501)+COUNTIF($D$2:D702,$D702)-1)</f>
        <v/>
      </c>
    </row>
    <row r="703" spans="1:7">
      <c r="A703" s="11">
        <v>702</v>
      </c>
      <c r="B703" s="11" t="str">
        <f>IFERROR(INDEX('Raw Data'!$R$2:$R$50000,MATCH(702,'Raw Data'!$W$2:$W$50000,0)),"")</f>
        <v/>
      </c>
      <c r="C703" s="11" t="str">
        <f t="shared" si="10"/>
        <v/>
      </c>
      <c r="D703" s="11" t="str">
        <f>IF($B703="","",COUNTIFS('Raw Data'!$R$2:$R$50000,$B703))</f>
        <v/>
      </c>
      <c r="E703" s="11" t="str">
        <f>IF($B703="","",SUMIFS('Raw Data'!$I$2:$I$50000,'Raw Data'!$R$2:$R$50000,$B703))</f>
        <v/>
      </c>
      <c r="F703" s="11" t="str">
        <f>IF($B703="","",RANK($E703,$E$2:$E$1501)+COUNTIF($E$2:E703,$E703)-1)</f>
        <v/>
      </c>
      <c r="G703" s="11" t="str">
        <f>IF($B703="","",RANK($D703,$D$2:$D$1501)+COUNTIF($D$2:D703,$D703)-1)</f>
        <v/>
      </c>
    </row>
    <row r="704" spans="1:7">
      <c r="A704" s="11">
        <v>703</v>
      </c>
      <c r="B704" s="11" t="str">
        <f>IFERROR(INDEX('Raw Data'!$R$2:$R$50000,MATCH(703,'Raw Data'!$W$2:$W$50000,0)),"")</f>
        <v/>
      </c>
      <c r="C704" s="11" t="str">
        <f t="shared" si="10"/>
        <v/>
      </c>
      <c r="D704" s="11" t="str">
        <f>IF($B704="","",COUNTIFS('Raw Data'!$R$2:$R$50000,$B704))</f>
        <v/>
      </c>
      <c r="E704" s="11" t="str">
        <f>IF($B704="","",SUMIFS('Raw Data'!$I$2:$I$50000,'Raw Data'!$R$2:$R$50000,$B704))</f>
        <v/>
      </c>
      <c r="F704" s="11" t="str">
        <f>IF($B704="","",RANK($E704,$E$2:$E$1501)+COUNTIF($E$2:E704,$E704)-1)</f>
        <v/>
      </c>
      <c r="G704" s="11" t="str">
        <f>IF($B704="","",RANK($D704,$D$2:$D$1501)+COUNTIF($D$2:D704,$D704)-1)</f>
        <v/>
      </c>
    </row>
    <row r="705" spans="1:7">
      <c r="A705" s="11">
        <v>704</v>
      </c>
      <c r="B705" s="11" t="str">
        <f>IFERROR(INDEX('Raw Data'!$R$2:$R$50000,MATCH(704,'Raw Data'!$W$2:$W$50000,0)),"")</f>
        <v/>
      </c>
      <c r="C705" s="11" t="str">
        <f t="shared" si="10"/>
        <v/>
      </c>
      <c r="D705" s="11" t="str">
        <f>IF($B705="","",COUNTIFS('Raw Data'!$R$2:$R$50000,$B705))</f>
        <v/>
      </c>
      <c r="E705" s="11" t="str">
        <f>IF($B705="","",SUMIFS('Raw Data'!$I$2:$I$50000,'Raw Data'!$R$2:$R$50000,$B705))</f>
        <v/>
      </c>
      <c r="F705" s="11" t="str">
        <f>IF($B705="","",RANK($E705,$E$2:$E$1501)+COUNTIF($E$2:E705,$E705)-1)</f>
        <v/>
      </c>
      <c r="G705" s="11" t="str">
        <f>IF($B705="","",RANK($D705,$D$2:$D$1501)+COUNTIF($D$2:D705,$D705)-1)</f>
        <v/>
      </c>
    </row>
    <row r="706" spans="1:7">
      <c r="A706" s="11">
        <v>705</v>
      </c>
      <c r="B706" s="11" t="str">
        <f>IFERROR(INDEX('Raw Data'!$R$2:$R$50000,MATCH(705,'Raw Data'!$W$2:$W$50000,0)),"")</f>
        <v/>
      </c>
      <c r="C706" s="11" t="str">
        <f t="shared" ref="C706:C769" si="11">IF($B706="","",$B706)</f>
        <v/>
      </c>
      <c r="D706" s="11" t="str">
        <f>IF($B706="","",COUNTIFS('Raw Data'!$R$2:$R$50000,$B706))</f>
        <v/>
      </c>
      <c r="E706" s="11" t="str">
        <f>IF($B706="","",SUMIFS('Raw Data'!$I$2:$I$50000,'Raw Data'!$R$2:$R$50000,$B706))</f>
        <v/>
      </c>
      <c r="F706" s="11" t="str">
        <f>IF($B706="","",RANK($E706,$E$2:$E$1501)+COUNTIF($E$2:E706,$E706)-1)</f>
        <v/>
      </c>
      <c r="G706" s="11" t="str">
        <f>IF($B706="","",RANK($D706,$D$2:$D$1501)+COUNTIF($D$2:D706,$D706)-1)</f>
        <v/>
      </c>
    </row>
    <row r="707" spans="1:7">
      <c r="A707" s="11">
        <v>706</v>
      </c>
      <c r="B707" s="11" t="str">
        <f>IFERROR(INDEX('Raw Data'!$R$2:$R$50000,MATCH(706,'Raw Data'!$W$2:$W$50000,0)),"")</f>
        <v/>
      </c>
      <c r="C707" s="11" t="str">
        <f t="shared" si="11"/>
        <v/>
      </c>
      <c r="D707" s="11" t="str">
        <f>IF($B707="","",COUNTIFS('Raw Data'!$R$2:$R$50000,$B707))</f>
        <v/>
      </c>
      <c r="E707" s="11" t="str">
        <f>IF($B707="","",SUMIFS('Raw Data'!$I$2:$I$50000,'Raw Data'!$R$2:$R$50000,$B707))</f>
        <v/>
      </c>
      <c r="F707" s="11" t="str">
        <f>IF($B707="","",RANK($E707,$E$2:$E$1501)+COUNTIF($E$2:E707,$E707)-1)</f>
        <v/>
      </c>
      <c r="G707" s="11" t="str">
        <f>IF($B707="","",RANK($D707,$D$2:$D$1501)+COUNTIF($D$2:D707,$D707)-1)</f>
        <v/>
      </c>
    </row>
    <row r="708" spans="1:7">
      <c r="A708" s="11">
        <v>707</v>
      </c>
      <c r="B708" s="11" t="str">
        <f>IFERROR(INDEX('Raw Data'!$R$2:$R$50000,MATCH(707,'Raw Data'!$W$2:$W$50000,0)),"")</f>
        <v/>
      </c>
      <c r="C708" s="11" t="str">
        <f t="shared" si="11"/>
        <v/>
      </c>
      <c r="D708" s="11" t="str">
        <f>IF($B708="","",COUNTIFS('Raw Data'!$R$2:$R$50000,$B708))</f>
        <v/>
      </c>
      <c r="E708" s="11" t="str">
        <f>IF($B708="","",SUMIFS('Raw Data'!$I$2:$I$50000,'Raw Data'!$R$2:$R$50000,$B708))</f>
        <v/>
      </c>
      <c r="F708" s="11" t="str">
        <f>IF($B708="","",RANK($E708,$E$2:$E$1501)+COUNTIF($E$2:E708,$E708)-1)</f>
        <v/>
      </c>
      <c r="G708" s="11" t="str">
        <f>IF($B708="","",RANK($D708,$D$2:$D$1501)+COUNTIF($D$2:D708,$D708)-1)</f>
        <v/>
      </c>
    </row>
    <row r="709" spans="1:7">
      <c r="A709" s="11">
        <v>708</v>
      </c>
      <c r="B709" s="11" t="str">
        <f>IFERROR(INDEX('Raw Data'!$R$2:$R$50000,MATCH(708,'Raw Data'!$W$2:$W$50000,0)),"")</f>
        <v/>
      </c>
      <c r="C709" s="11" t="str">
        <f t="shared" si="11"/>
        <v/>
      </c>
      <c r="D709" s="11" t="str">
        <f>IF($B709="","",COUNTIFS('Raw Data'!$R$2:$R$50000,$B709))</f>
        <v/>
      </c>
      <c r="E709" s="11" t="str">
        <f>IF($B709="","",SUMIFS('Raw Data'!$I$2:$I$50000,'Raw Data'!$R$2:$R$50000,$B709))</f>
        <v/>
      </c>
      <c r="F709" s="11" t="str">
        <f>IF($B709="","",RANK($E709,$E$2:$E$1501)+COUNTIF($E$2:E709,$E709)-1)</f>
        <v/>
      </c>
      <c r="G709" s="11" t="str">
        <f>IF($B709="","",RANK($D709,$D$2:$D$1501)+COUNTIF($D$2:D709,$D709)-1)</f>
        <v/>
      </c>
    </row>
    <row r="710" spans="1:7">
      <c r="A710" s="11">
        <v>709</v>
      </c>
      <c r="B710" s="11" t="str">
        <f>IFERROR(INDEX('Raw Data'!$R$2:$R$50000,MATCH(709,'Raw Data'!$W$2:$W$50000,0)),"")</f>
        <v/>
      </c>
      <c r="C710" s="11" t="str">
        <f t="shared" si="11"/>
        <v/>
      </c>
      <c r="D710" s="11" t="str">
        <f>IF($B710="","",COUNTIFS('Raw Data'!$R$2:$R$50000,$B710))</f>
        <v/>
      </c>
      <c r="E710" s="11" t="str">
        <f>IF($B710="","",SUMIFS('Raw Data'!$I$2:$I$50000,'Raw Data'!$R$2:$R$50000,$B710))</f>
        <v/>
      </c>
      <c r="F710" s="11" t="str">
        <f>IF($B710="","",RANK($E710,$E$2:$E$1501)+COUNTIF($E$2:E710,$E710)-1)</f>
        <v/>
      </c>
      <c r="G710" s="11" t="str">
        <f>IF($B710="","",RANK($D710,$D$2:$D$1501)+COUNTIF($D$2:D710,$D710)-1)</f>
        <v/>
      </c>
    </row>
    <row r="711" spans="1:7">
      <c r="A711" s="11">
        <v>710</v>
      </c>
      <c r="B711" s="11" t="str">
        <f>IFERROR(INDEX('Raw Data'!$R$2:$R$50000,MATCH(710,'Raw Data'!$W$2:$W$50000,0)),"")</f>
        <v/>
      </c>
      <c r="C711" s="11" t="str">
        <f t="shared" si="11"/>
        <v/>
      </c>
      <c r="D711" s="11" t="str">
        <f>IF($B711="","",COUNTIFS('Raw Data'!$R$2:$R$50000,$B711))</f>
        <v/>
      </c>
      <c r="E711" s="11" t="str">
        <f>IF($B711="","",SUMIFS('Raw Data'!$I$2:$I$50000,'Raw Data'!$R$2:$R$50000,$B711))</f>
        <v/>
      </c>
      <c r="F711" s="11" t="str">
        <f>IF($B711="","",RANK($E711,$E$2:$E$1501)+COUNTIF($E$2:E711,$E711)-1)</f>
        <v/>
      </c>
      <c r="G711" s="11" t="str">
        <f>IF($B711="","",RANK($D711,$D$2:$D$1501)+COUNTIF($D$2:D711,$D711)-1)</f>
        <v/>
      </c>
    </row>
    <row r="712" spans="1:7">
      <c r="A712" s="11">
        <v>711</v>
      </c>
      <c r="B712" s="11" t="str">
        <f>IFERROR(INDEX('Raw Data'!$R$2:$R$50000,MATCH(711,'Raw Data'!$W$2:$W$50000,0)),"")</f>
        <v/>
      </c>
      <c r="C712" s="11" t="str">
        <f t="shared" si="11"/>
        <v/>
      </c>
      <c r="D712" s="11" t="str">
        <f>IF($B712="","",COUNTIFS('Raw Data'!$R$2:$R$50000,$B712))</f>
        <v/>
      </c>
      <c r="E712" s="11" t="str">
        <f>IF($B712="","",SUMIFS('Raw Data'!$I$2:$I$50000,'Raw Data'!$R$2:$R$50000,$B712))</f>
        <v/>
      </c>
      <c r="F712" s="11" t="str">
        <f>IF($B712="","",RANK($E712,$E$2:$E$1501)+COUNTIF($E$2:E712,$E712)-1)</f>
        <v/>
      </c>
      <c r="G712" s="11" t="str">
        <f>IF($B712="","",RANK($D712,$D$2:$D$1501)+COUNTIF($D$2:D712,$D712)-1)</f>
        <v/>
      </c>
    </row>
    <row r="713" spans="1:7">
      <c r="A713" s="11">
        <v>712</v>
      </c>
      <c r="B713" s="11" t="str">
        <f>IFERROR(INDEX('Raw Data'!$R$2:$R$50000,MATCH(712,'Raw Data'!$W$2:$W$50000,0)),"")</f>
        <v/>
      </c>
      <c r="C713" s="11" t="str">
        <f t="shared" si="11"/>
        <v/>
      </c>
      <c r="D713" s="11" t="str">
        <f>IF($B713="","",COUNTIFS('Raw Data'!$R$2:$R$50000,$B713))</f>
        <v/>
      </c>
      <c r="E713" s="11" t="str">
        <f>IF($B713="","",SUMIFS('Raw Data'!$I$2:$I$50000,'Raw Data'!$R$2:$R$50000,$B713))</f>
        <v/>
      </c>
      <c r="F713" s="11" t="str">
        <f>IF($B713="","",RANK($E713,$E$2:$E$1501)+COUNTIF($E$2:E713,$E713)-1)</f>
        <v/>
      </c>
      <c r="G713" s="11" t="str">
        <f>IF($B713="","",RANK($D713,$D$2:$D$1501)+COUNTIF($D$2:D713,$D713)-1)</f>
        <v/>
      </c>
    </row>
    <row r="714" spans="1:7">
      <c r="A714" s="11">
        <v>713</v>
      </c>
      <c r="B714" s="11" t="str">
        <f>IFERROR(INDEX('Raw Data'!$R$2:$R$50000,MATCH(713,'Raw Data'!$W$2:$W$50000,0)),"")</f>
        <v/>
      </c>
      <c r="C714" s="11" t="str">
        <f t="shared" si="11"/>
        <v/>
      </c>
      <c r="D714" s="11" t="str">
        <f>IF($B714="","",COUNTIFS('Raw Data'!$R$2:$R$50000,$B714))</f>
        <v/>
      </c>
      <c r="E714" s="11" t="str">
        <f>IF($B714="","",SUMIFS('Raw Data'!$I$2:$I$50000,'Raw Data'!$R$2:$R$50000,$B714))</f>
        <v/>
      </c>
      <c r="F714" s="11" t="str">
        <f>IF($B714="","",RANK($E714,$E$2:$E$1501)+COUNTIF($E$2:E714,$E714)-1)</f>
        <v/>
      </c>
      <c r="G714" s="11" t="str">
        <f>IF($B714="","",RANK($D714,$D$2:$D$1501)+COUNTIF($D$2:D714,$D714)-1)</f>
        <v/>
      </c>
    </row>
    <row r="715" spans="1:7">
      <c r="A715" s="11">
        <v>714</v>
      </c>
      <c r="B715" s="11" t="str">
        <f>IFERROR(INDEX('Raw Data'!$R$2:$R$50000,MATCH(714,'Raw Data'!$W$2:$W$50000,0)),"")</f>
        <v/>
      </c>
      <c r="C715" s="11" t="str">
        <f t="shared" si="11"/>
        <v/>
      </c>
      <c r="D715" s="11" t="str">
        <f>IF($B715="","",COUNTIFS('Raw Data'!$R$2:$R$50000,$B715))</f>
        <v/>
      </c>
      <c r="E715" s="11" t="str">
        <f>IF($B715="","",SUMIFS('Raw Data'!$I$2:$I$50000,'Raw Data'!$R$2:$R$50000,$B715))</f>
        <v/>
      </c>
      <c r="F715" s="11" t="str">
        <f>IF($B715="","",RANK($E715,$E$2:$E$1501)+COUNTIF($E$2:E715,$E715)-1)</f>
        <v/>
      </c>
      <c r="G715" s="11" t="str">
        <f>IF($B715="","",RANK($D715,$D$2:$D$1501)+COUNTIF($D$2:D715,$D715)-1)</f>
        <v/>
      </c>
    </row>
    <row r="716" spans="1:7">
      <c r="A716" s="11">
        <v>715</v>
      </c>
      <c r="B716" s="11" t="str">
        <f>IFERROR(INDEX('Raw Data'!$R$2:$R$50000,MATCH(715,'Raw Data'!$W$2:$W$50000,0)),"")</f>
        <v/>
      </c>
      <c r="C716" s="11" t="str">
        <f t="shared" si="11"/>
        <v/>
      </c>
      <c r="D716" s="11" t="str">
        <f>IF($B716="","",COUNTIFS('Raw Data'!$R$2:$R$50000,$B716))</f>
        <v/>
      </c>
      <c r="E716" s="11" t="str">
        <f>IF($B716="","",SUMIFS('Raw Data'!$I$2:$I$50000,'Raw Data'!$R$2:$R$50000,$B716))</f>
        <v/>
      </c>
      <c r="F716" s="11" t="str">
        <f>IF($B716="","",RANK($E716,$E$2:$E$1501)+COUNTIF($E$2:E716,$E716)-1)</f>
        <v/>
      </c>
      <c r="G716" s="11" t="str">
        <f>IF($B716="","",RANK($D716,$D$2:$D$1501)+COUNTIF($D$2:D716,$D716)-1)</f>
        <v/>
      </c>
    </row>
    <row r="717" spans="1:7">
      <c r="A717" s="11">
        <v>716</v>
      </c>
      <c r="B717" s="11" t="str">
        <f>IFERROR(INDEX('Raw Data'!$R$2:$R$50000,MATCH(716,'Raw Data'!$W$2:$W$50000,0)),"")</f>
        <v/>
      </c>
      <c r="C717" s="11" t="str">
        <f t="shared" si="11"/>
        <v/>
      </c>
      <c r="D717" s="11" t="str">
        <f>IF($B717="","",COUNTIFS('Raw Data'!$R$2:$R$50000,$B717))</f>
        <v/>
      </c>
      <c r="E717" s="11" t="str">
        <f>IF($B717="","",SUMIFS('Raw Data'!$I$2:$I$50000,'Raw Data'!$R$2:$R$50000,$B717))</f>
        <v/>
      </c>
      <c r="F717" s="11" t="str">
        <f>IF($B717="","",RANK($E717,$E$2:$E$1501)+COUNTIF($E$2:E717,$E717)-1)</f>
        <v/>
      </c>
      <c r="G717" s="11" t="str">
        <f>IF($B717="","",RANK($D717,$D$2:$D$1501)+COUNTIF($D$2:D717,$D717)-1)</f>
        <v/>
      </c>
    </row>
    <row r="718" spans="1:7">
      <c r="A718" s="11">
        <v>717</v>
      </c>
      <c r="B718" s="11" t="str">
        <f>IFERROR(INDEX('Raw Data'!$R$2:$R$50000,MATCH(717,'Raw Data'!$W$2:$W$50000,0)),"")</f>
        <v/>
      </c>
      <c r="C718" s="11" t="str">
        <f t="shared" si="11"/>
        <v/>
      </c>
      <c r="D718" s="11" t="str">
        <f>IF($B718="","",COUNTIFS('Raw Data'!$R$2:$R$50000,$B718))</f>
        <v/>
      </c>
      <c r="E718" s="11" t="str">
        <f>IF($B718="","",SUMIFS('Raw Data'!$I$2:$I$50000,'Raw Data'!$R$2:$R$50000,$B718))</f>
        <v/>
      </c>
      <c r="F718" s="11" t="str">
        <f>IF($B718="","",RANK($E718,$E$2:$E$1501)+COUNTIF($E$2:E718,$E718)-1)</f>
        <v/>
      </c>
      <c r="G718" s="11" t="str">
        <f>IF($B718="","",RANK($D718,$D$2:$D$1501)+COUNTIF($D$2:D718,$D718)-1)</f>
        <v/>
      </c>
    </row>
    <row r="719" spans="1:7">
      <c r="A719" s="11">
        <v>718</v>
      </c>
      <c r="B719" s="11" t="str">
        <f>IFERROR(INDEX('Raw Data'!$R$2:$R$50000,MATCH(718,'Raw Data'!$W$2:$W$50000,0)),"")</f>
        <v/>
      </c>
      <c r="C719" s="11" t="str">
        <f t="shared" si="11"/>
        <v/>
      </c>
      <c r="D719" s="11" t="str">
        <f>IF($B719="","",COUNTIFS('Raw Data'!$R$2:$R$50000,$B719))</f>
        <v/>
      </c>
      <c r="E719" s="11" t="str">
        <f>IF($B719="","",SUMIFS('Raw Data'!$I$2:$I$50000,'Raw Data'!$R$2:$R$50000,$B719))</f>
        <v/>
      </c>
      <c r="F719" s="11" t="str">
        <f>IF($B719="","",RANK($E719,$E$2:$E$1501)+COUNTIF($E$2:E719,$E719)-1)</f>
        <v/>
      </c>
      <c r="G719" s="11" t="str">
        <f>IF($B719="","",RANK($D719,$D$2:$D$1501)+COUNTIF($D$2:D719,$D719)-1)</f>
        <v/>
      </c>
    </row>
    <row r="720" spans="1:7">
      <c r="A720" s="11">
        <v>719</v>
      </c>
      <c r="B720" s="11" t="str">
        <f>IFERROR(INDEX('Raw Data'!$R$2:$R$50000,MATCH(719,'Raw Data'!$W$2:$W$50000,0)),"")</f>
        <v/>
      </c>
      <c r="C720" s="11" t="str">
        <f t="shared" si="11"/>
        <v/>
      </c>
      <c r="D720" s="11" t="str">
        <f>IF($B720="","",COUNTIFS('Raw Data'!$R$2:$R$50000,$B720))</f>
        <v/>
      </c>
      <c r="E720" s="11" t="str">
        <f>IF($B720="","",SUMIFS('Raw Data'!$I$2:$I$50000,'Raw Data'!$R$2:$R$50000,$B720))</f>
        <v/>
      </c>
      <c r="F720" s="11" t="str">
        <f>IF($B720="","",RANK($E720,$E$2:$E$1501)+COUNTIF($E$2:E720,$E720)-1)</f>
        <v/>
      </c>
      <c r="G720" s="11" t="str">
        <f>IF($B720="","",RANK($D720,$D$2:$D$1501)+COUNTIF($D$2:D720,$D720)-1)</f>
        <v/>
      </c>
    </row>
    <row r="721" spans="1:7">
      <c r="A721" s="11">
        <v>720</v>
      </c>
      <c r="B721" s="11" t="str">
        <f>IFERROR(INDEX('Raw Data'!$R$2:$R$50000,MATCH(720,'Raw Data'!$W$2:$W$50000,0)),"")</f>
        <v/>
      </c>
      <c r="C721" s="11" t="str">
        <f t="shared" si="11"/>
        <v/>
      </c>
      <c r="D721" s="11" t="str">
        <f>IF($B721="","",COUNTIFS('Raw Data'!$R$2:$R$50000,$B721))</f>
        <v/>
      </c>
      <c r="E721" s="11" t="str">
        <f>IF($B721="","",SUMIFS('Raw Data'!$I$2:$I$50000,'Raw Data'!$R$2:$R$50000,$B721))</f>
        <v/>
      </c>
      <c r="F721" s="11" t="str">
        <f>IF($B721="","",RANK($E721,$E$2:$E$1501)+COUNTIF($E$2:E721,$E721)-1)</f>
        <v/>
      </c>
      <c r="G721" s="11" t="str">
        <f>IF($B721="","",RANK($D721,$D$2:$D$1501)+COUNTIF($D$2:D721,$D721)-1)</f>
        <v/>
      </c>
    </row>
    <row r="722" spans="1:7">
      <c r="A722" s="11">
        <v>721</v>
      </c>
      <c r="B722" s="11" t="str">
        <f>IFERROR(INDEX('Raw Data'!$R$2:$R$50000,MATCH(721,'Raw Data'!$W$2:$W$50000,0)),"")</f>
        <v/>
      </c>
      <c r="C722" s="11" t="str">
        <f t="shared" si="11"/>
        <v/>
      </c>
      <c r="D722" s="11" t="str">
        <f>IF($B722="","",COUNTIFS('Raw Data'!$R$2:$R$50000,$B722))</f>
        <v/>
      </c>
      <c r="E722" s="11" t="str">
        <f>IF($B722="","",SUMIFS('Raw Data'!$I$2:$I$50000,'Raw Data'!$R$2:$R$50000,$B722))</f>
        <v/>
      </c>
      <c r="F722" s="11" t="str">
        <f>IF($B722="","",RANK($E722,$E$2:$E$1501)+COUNTIF($E$2:E722,$E722)-1)</f>
        <v/>
      </c>
      <c r="G722" s="11" t="str">
        <f>IF($B722="","",RANK($D722,$D$2:$D$1501)+COUNTIF($D$2:D722,$D722)-1)</f>
        <v/>
      </c>
    </row>
    <row r="723" spans="1:7">
      <c r="A723" s="11">
        <v>722</v>
      </c>
      <c r="B723" s="11" t="str">
        <f>IFERROR(INDEX('Raw Data'!$R$2:$R$50000,MATCH(722,'Raw Data'!$W$2:$W$50000,0)),"")</f>
        <v/>
      </c>
      <c r="C723" s="11" t="str">
        <f t="shared" si="11"/>
        <v/>
      </c>
      <c r="D723" s="11" t="str">
        <f>IF($B723="","",COUNTIFS('Raw Data'!$R$2:$R$50000,$B723))</f>
        <v/>
      </c>
      <c r="E723" s="11" t="str">
        <f>IF($B723="","",SUMIFS('Raw Data'!$I$2:$I$50000,'Raw Data'!$R$2:$R$50000,$B723))</f>
        <v/>
      </c>
      <c r="F723" s="11" t="str">
        <f>IF($B723="","",RANK($E723,$E$2:$E$1501)+COUNTIF($E$2:E723,$E723)-1)</f>
        <v/>
      </c>
      <c r="G723" s="11" t="str">
        <f>IF($B723="","",RANK($D723,$D$2:$D$1501)+COUNTIF($D$2:D723,$D723)-1)</f>
        <v/>
      </c>
    </row>
    <row r="724" spans="1:7">
      <c r="A724" s="11">
        <v>723</v>
      </c>
      <c r="B724" s="11" t="str">
        <f>IFERROR(INDEX('Raw Data'!$R$2:$R$50000,MATCH(723,'Raw Data'!$W$2:$W$50000,0)),"")</f>
        <v/>
      </c>
      <c r="C724" s="11" t="str">
        <f t="shared" si="11"/>
        <v/>
      </c>
      <c r="D724" s="11" t="str">
        <f>IF($B724="","",COUNTIFS('Raw Data'!$R$2:$R$50000,$B724))</f>
        <v/>
      </c>
      <c r="E724" s="11" t="str">
        <f>IF($B724="","",SUMIFS('Raw Data'!$I$2:$I$50000,'Raw Data'!$R$2:$R$50000,$B724))</f>
        <v/>
      </c>
      <c r="F724" s="11" t="str">
        <f>IF($B724="","",RANK($E724,$E$2:$E$1501)+COUNTIF($E$2:E724,$E724)-1)</f>
        <v/>
      </c>
      <c r="G724" s="11" t="str">
        <f>IF($B724="","",RANK($D724,$D$2:$D$1501)+COUNTIF($D$2:D724,$D724)-1)</f>
        <v/>
      </c>
    </row>
    <row r="725" spans="1:7">
      <c r="A725" s="11">
        <v>724</v>
      </c>
      <c r="B725" s="11" t="str">
        <f>IFERROR(INDEX('Raw Data'!$R$2:$R$50000,MATCH(724,'Raw Data'!$W$2:$W$50000,0)),"")</f>
        <v/>
      </c>
      <c r="C725" s="11" t="str">
        <f t="shared" si="11"/>
        <v/>
      </c>
      <c r="D725" s="11" t="str">
        <f>IF($B725="","",COUNTIFS('Raw Data'!$R$2:$R$50000,$B725))</f>
        <v/>
      </c>
      <c r="E725" s="11" t="str">
        <f>IF($B725="","",SUMIFS('Raw Data'!$I$2:$I$50000,'Raw Data'!$R$2:$R$50000,$B725))</f>
        <v/>
      </c>
      <c r="F725" s="11" t="str">
        <f>IF($B725="","",RANK($E725,$E$2:$E$1501)+COUNTIF($E$2:E725,$E725)-1)</f>
        <v/>
      </c>
      <c r="G725" s="11" t="str">
        <f>IF($B725="","",RANK($D725,$D$2:$D$1501)+COUNTIF($D$2:D725,$D725)-1)</f>
        <v/>
      </c>
    </row>
    <row r="726" spans="1:7">
      <c r="A726" s="11">
        <v>725</v>
      </c>
      <c r="B726" s="11" t="str">
        <f>IFERROR(INDEX('Raw Data'!$R$2:$R$50000,MATCH(725,'Raw Data'!$W$2:$W$50000,0)),"")</f>
        <v/>
      </c>
      <c r="C726" s="11" t="str">
        <f t="shared" si="11"/>
        <v/>
      </c>
      <c r="D726" s="11" t="str">
        <f>IF($B726="","",COUNTIFS('Raw Data'!$R$2:$R$50000,$B726))</f>
        <v/>
      </c>
      <c r="E726" s="11" t="str">
        <f>IF($B726="","",SUMIFS('Raw Data'!$I$2:$I$50000,'Raw Data'!$R$2:$R$50000,$B726))</f>
        <v/>
      </c>
      <c r="F726" s="11" t="str">
        <f>IF($B726="","",RANK($E726,$E$2:$E$1501)+COUNTIF($E$2:E726,$E726)-1)</f>
        <v/>
      </c>
      <c r="G726" s="11" t="str">
        <f>IF($B726="","",RANK($D726,$D$2:$D$1501)+COUNTIF($D$2:D726,$D726)-1)</f>
        <v/>
      </c>
    </row>
    <row r="727" spans="1:7">
      <c r="A727" s="11">
        <v>726</v>
      </c>
      <c r="B727" s="11" t="str">
        <f>IFERROR(INDEX('Raw Data'!$R$2:$R$50000,MATCH(726,'Raw Data'!$W$2:$W$50000,0)),"")</f>
        <v/>
      </c>
      <c r="C727" s="11" t="str">
        <f t="shared" si="11"/>
        <v/>
      </c>
      <c r="D727" s="11" t="str">
        <f>IF($B727="","",COUNTIFS('Raw Data'!$R$2:$R$50000,$B727))</f>
        <v/>
      </c>
      <c r="E727" s="11" t="str">
        <f>IF($B727="","",SUMIFS('Raw Data'!$I$2:$I$50000,'Raw Data'!$R$2:$R$50000,$B727))</f>
        <v/>
      </c>
      <c r="F727" s="11" t="str">
        <f>IF($B727="","",RANK($E727,$E$2:$E$1501)+COUNTIF($E$2:E727,$E727)-1)</f>
        <v/>
      </c>
      <c r="G727" s="11" t="str">
        <f>IF($B727="","",RANK($D727,$D$2:$D$1501)+COUNTIF($D$2:D727,$D727)-1)</f>
        <v/>
      </c>
    </row>
    <row r="728" spans="1:7">
      <c r="A728" s="11">
        <v>727</v>
      </c>
      <c r="B728" s="11" t="str">
        <f>IFERROR(INDEX('Raw Data'!$R$2:$R$50000,MATCH(727,'Raw Data'!$W$2:$W$50000,0)),"")</f>
        <v/>
      </c>
      <c r="C728" s="11" t="str">
        <f t="shared" si="11"/>
        <v/>
      </c>
      <c r="D728" s="11" t="str">
        <f>IF($B728="","",COUNTIFS('Raw Data'!$R$2:$R$50000,$B728))</f>
        <v/>
      </c>
      <c r="E728" s="11" t="str">
        <f>IF($B728="","",SUMIFS('Raw Data'!$I$2:$I$50000,'Raw Data'!$R$2:$R$50000,$B728))</f>
        <v/>
      </c>
      <c r="F728" s="11" t="str">
        <f>IF($B728="","",RANK($E728,$E$2:$E$1501)+COUNTIF($E$2:E728,$E728)-1)</f>
        <v/>
      </c>
      <c r="G728" s="11" t="str">
        <f>IF($B728="","",RANK($D728,$D$2:$D$1501)+COUNTIF($D$2:D728,$D728)-1)</f>
        <v/>
      </c>
    </row>
    <row r="729" spans="1:7">
      <c r="A729" s="11">
        <v>728</v>
      </c>
      <c r="B729" s="11" t="str">
        <f>IFERROR(INDEX('Raw Data'!$R$2:$R$50000,MATCH(728,'Raw Data'!$W$2:$W$50000,0)),"")</f>
        <v/>
      </c>
      <c r="C729" s="11" t="str">
        <f t="shared" si="11"/>
        <v/>
      </c>
      <c r="D729" s="11" t="str">
        <f>IF($B729="","",COUNTIFS('Raw Data'!$R$2:$R$50000,$B729))</f>
        <v/>
      </c>
      <c r="E729" s="11" t="str">
        <f>IF($B729="","",SUMIFS('Raw Data'!$I$2:$I$50000,'Raw Data'!$R$2:$R$50000,$B729))</f>
        <v/>
      </c>
      <c r="F729" s="11" t="str">
        <f>IF($B729="","",RANK($E729,$E$2:$E$1501)+COUNTIF($E$2:E729,$E729)-1)</f>
        <v/>
      </c>
      <c r="G729" s="11" t="str">
        <f>IF($B729="","",RANK($D729,$D$2:$D$1501)+COUNTIF($D$2:D729,$D729)-1)</f>
        <v/>
      </c>
    </row>
    <row r="730" spans="1:7">
      <c r="A730" s="11">
        <v>729</v>
      </c>
      <c r="B730" s="11" t="str">
        <f>IFERROR(INDEX('Raw Data'!$R$2:$R$50000,MATCH(729,'Raw Data'!$W$2:$W$50000,0)),"")</f>
        <v/>
      </c>
      <c r="C730" s="11" t="str">
        <f t="shared" si="11"/>
        <v/>
      </c>
      <c r="D730" s="11" t="str">
        <f>IF($B730="","",COUNTIFS('Raw Data'!$R$2:$R$50000,$B730))</f>
        <v/>
      </c>
      <c r="E730" s="11" t="str">
        <f>IF($B730="","",SUMIFS('Raw Data'!$I$2:$I$50000,'Raw Data'!$R$2:$R$50000,$B730))</f>
        <v/>
      </c>
      <c r="F730" s="11" t="str">
        <f>IF($B730="","",RANK($E730,$E$2:$E$1501)+COUNTIF($E$2:E730,$E730)-1)</f>
        <v/>
      </c>
      <c r="G730" s="11" t="str">
        <f>IF($B730="","",RANK($D730,$D$2:$D$1501)+COUNTIF($D$2:D730,$D730)-1)</f>
        <v/>
      </c>
    </row>
    <row r="731" spans="1:7">
      <c r="A731" s="11">
        <v>730</v>
      </c>
      <c r="B731" s="11" t="str">
        <f>IFERROR(INDEX('Raw Data'!$R$2:$R$50000,MATCH(730,'Raw Data'!$W$2:$W$50000,0)),"")</f>
        <v/>
      </c>
      <c r="C731" s="11" t="str">
        <f t="shared" si="11"/>
        <v/>
      </c>
      <c r="D731" s="11" t="str">
        <f>IF($B731="","",COUNTIFS('Raw Data'!$R$2:$R$50000,$B731))</f>
        <v/>
      </c>
      <c r="E731" s="11" t="str">
        <f>IF($B731="","",SUMIFS('Raw Data'!$I$2:$I$50000,'Raw Data'!$R$2:$R$50000,$B731))</f>
        <v/>
      </c>
      <c r="F731" s="11" t="str">
        <f>IF($B731="","",RANK($E731,$E$2:$E$1501)+COUNTIF($E$2:E731,$E731)-1)</f>
        <v/>
      </c>
      <c r="G731" s="11" t="str">
        <f>IF($B731="","",RANK($D731,$D$2:$D$1501)+COUNTIF($D$2:D731,$D731)-1)</f>
        <v/>
      </c>
    </row>
    <row r="732" spans="1:7">
      <c r="A732" s="11">
        <v>731</v>
      </c>
      <c r="B732" s="11" t="str">
        <f>IFERROR(INDEX('Raw Data'!$R$2:$R$50000,MATCH(731,'Raw Data'!$W$2:$W$50000,0)),"")</f>
        <v/>
      </c>
      <c r="C732" s="11" t="str">
        <f t="shared" si="11"/>
        <v/>
      </c>
      <c r="D732" s="11" t="str">
        <f>IF($B732="","",COUNTIFS('Raw Data'!$R$2:$R$50000,$B732))</f>
        <v/>
      </c>
      <c r="E732" s="11" t="str">
        <f>IF($B732="","",SUMIFS('Raw Data'!$I$2:$I$50000,'Raw Data'!$R$2:$R$50000,$B732))</f>
        <v/>
      </c>
      <c r="F732" s="11" t="str">
        <f>IF($B732="","",RANK($E732,$E$2:$E$1501)+COUNTIF($E$2:E732,$E732)-1)</f>
        <v/>
      </c>
      <c r="G732" s="11" t="str">
        <f>IF($B732="","",RANK($D732,$D$2:$D$1501)+COUNTIF($D$2:D732,$D732)-1)</f>
        <v/>
      </c>
    </row>
    <row r="733" spans="1:7">
      <c r="A733" s="11">
        <v>732</v>
      </c>
      <c r="B733" s="11" t="str">
        <f>IFERROR(INDEX('Raw Data'!$R$2:$R$50000,MATCH(732,'Raw Data'!$W$2:$W$50000,0)),"")</f>
        <v/>
      </c>
      <c r="C733" s="11" t="str">
        <f t="shared" si="11"/>
        <v/>
      </c>
      <c r="D733" s="11" t="str">
        <f>IF($B733="","",COUNTIFS('Raw Data'!$R$2:$R$50000,$B733))</f>
        <v/>
      </c>
      <c r="E733" s="11" t="str">
        <f>IF($B733="","",SUMIFS('Raw Data'!$I$2:$I$50000,'Raw Data'!$R$2:$R$50000,$B733))</f>
        <v/>
      </c>
      <c r="F733" s="11" t="str">
        <f>IF($B733="","",RANK($E733,$E$2:$E$1501)+COUNTIF($E$2:E733,$E733)-1)</f>
        <v/>
      </c>
      <c r="G733" s="11" t="str">
        <f>IF($B733="","",RANK($D733,$D$2:$D$1501)+COUNTIF($D$2:D733,$D733)-1)</f>
        <v/>
      </c>
    </row>
    <row r="734" spans="1:7">
      <c r="A734" s="11">
        <v>733</v>
      </c>
      <c r="B734" s="11" t="str">
        <f>IFERROR(INDEX('Raw Data'!$R$2:$R$50000,MATCH(733,'Raw Data'!$W$2:$W$50000,0)),"")</f>
        <v/>
      </c>
      <c r="C734" s="11" t="str">
        <f t="shared" si="11"/>
        <v/>
      </c>
      <c r="D734" s="11" t="str">
        <f>IF($B734="","",COUNTIFS('Raw Data'!$R$2:$R$50000,$B734))</f>
        <v/>
      </c>
      <c r="E734" s="11" t="str">
        <f>IF($B734="","",SUMIFS('Raw Data'!$I$2:$I$50000,'Raw Data'!$R$2:$R$50000,$B734))</f>
        <v/>
      </c>
      <c r="F734" s="11" t="str">
        <f>IF($B734="","",RANK($E734,$E$2:$E$1501)+COUNTIF($E$2:E734,$E734)-1)</f>
        <v/>
      </c>
      <c r="G734" s="11" t="str">
        <f>IF($B734="","",RANK($D734,$D$2:$D$1501)+COUNTIF($D$2:D734,$D734)-1)</f>
        <v/>
      </c>
    </row>
    <row r="735" spans="1:7">
      <c r="A735" s="11">
        <v>734</v>
      </c>
      <c r="B735" s="11" t="str">
        <f>IFERROR(INDEX('Raw Data'!$R$2:$R$50000,MATCH(734,'Raw Data'!$W$2:$W$50000,0)),"")</f>
        <v/>
      </c>
      <c r="C735" s="11" t="str">
        <f t="shared" si="11"/>
        <v/>
      </c>
      <c r="D735" s="11" t="str">
        <f>IF($B735="","",COUNTIFS('Raw Data'!$R$2:$R$50000,$B735))</f>
        <v/>
      </c>
      <c r="E735" s="11" t="str">
        <f>IF($B735="","",SUMIFS('Raw Data'!$I$2:$I$50000,'Raw Data'!$R$2:$R$50000,$B735))</f>
        <v/>
      </c>
      <c r="F735" s="11" t="str">
        <f>IF($B735="","",RANK($E735,$E$2:$E$1501)+COUNTIF($E$2:E735,$E735)-1)</f>
        <v/>
      </c>
      <c r="G735" s="11" t="str">
        <f>IF($B735="","",RANK($D735,$D$2:$D$1501)+COUNTIF($D$2:D735,$D735)-1)</f>
        <v/>
      </c>
    </row>
    <row r="736" spans="1:7">
      <c r="A736" s="11">
        <v>735</v>
      </c>
      <c r="B736" s="11" t="str">
        <f>IFERROR(INDEX('Raw Data'!$R$2:$R$50000,MATCH(735,'Raw Data'!$W$2:$W$50000,0)),"")</f>
        <v/>
      </c>
      <c r="C736" s="11" t="str">
        <f t="shared" si="11"/>
        <v/>
      </c>
      <c r="D736" s="11" t="str">
        <f>IF($B736="","",COUNTIFS('Raw Data'!$R$2:$R$50000,$B736))</f>
        <v/>
      </c>
      <c r="E736" s="11" t="str">
        <f>IF($B736="","",SUMIFS('Raw Data'!$I$2:$I$50000,'Raw Data'!$R$2:$R$50000,$B736))</f>
        <v/>
      </c>
      <c r="F736" s="11" t="str">
        <f>IF($B736="","",RANK($E736,$E$2:$E$1501)+COUNTIF($E$2:E736,$E736)-1)</f>
        <v/>
      </c>
      <c r="G736" s="11" t="str">
        <f>IF($B736="","",RANK($D736,$D$2:$D$1501)+COUNTIF($D$2:D736,$D736)-1)</f>
        <v/>
      </c>
    </row>
    <row r="737" spans="1:7">
      <c r="A737" s="11">
        <v>736</v>
      </c>
      <c r="B737" s="11" t="str">
        <f>IFERROR(INDEX('Raw Data'!$R$2:$R$50000,MATCH(736,'Raw Data'!$W$2:$W$50000,0)),"")</f>
        <v/>
      </c>
      <c r="C737" s="11" t="str">
        <f t="shared" si="11"/>
        <v/>
      </c>
      <c r="D737" s="11" t="str">
        <f>IF($B737="","",COUNTIFS('Raw Data'!$R$2:$R$50000,$B737))</f>
        <v/>
      </c>
      <c r="E737" s="11" t="str">
        <f>IF($B737="","",SUMIFS('Raw Data'!$I$2:$I$50000,'Raw Data'!$R$2:$R$50000,$B737))</f>
        <v/>
      </c>
      <c r="F737" s="11" t="str">
        <f>IF($B737="","",RANK($E737,$E$2:$E$1501)+COUNTIF($E$2:E737,$E737)-1)</f>
        <v/>
      </c>
      <c r="G737" s="11" t="str">
        <f>IF($B737="","",RANK($D737,$D$2:$D$1501)+COUNTIF($D$2:D737,$D737)-1)</f>
        <v/>
      </c>
    </row>
    <row r="738" spans="1:7">
      <c r="A738" s="11">
        <v>737</v>
      </c>
      <c r="B738" s="11" t="str">
        <f>IFERROR(INDEX('Raw Data'!$R$2:$R$50000,MATCH(737,'Raw Data'!$W$2:$W$50000,0)),"")</f>
        <v/>
      </c>
      <c r="C738" s="11" t="str">
        <f t="shared" si="11"/>
        <v/>
      </c>
      <c r="D738" s="11" t="str">
        <f>IF($B738="","",COUNTIFS('Raw Data'!$R$2:$R$50000,$B738))</f>
        <v/>
      </c>
      <c r="E738" s="11" t="str">
        <f>IF($B738="","",SUMIFS('Raw Data'!$I$2:$I$50000,'Raw Data'!$R$2:$R$50000,$B738))</f>
        <v/>
      </c>
      <c r="F738" s="11" t="str">
        <f>IF($B738="","",RANK($E738,$E$2:$E$1501)+COUNTIF($E$2:E738,$E738)-1)</f>
        <v/>
      </c>
      <c r="G738" s="11" t="str">
        <f>IF($B738="","",RANK($D738,$D$2:$D$1501)+COUNTIF($D$2:D738,$D738)-1)</f>
        <v/>
      </c>
    </row>
    <row r="739" spans="1:7">
      <c r="A739" s="11">
        <v>738</v>
      </c>
      <c r="B739" s="11" t="str">
        <f>IFERROR(INDEX('Raw Data'!$R$2:$R$50000,MATCH(738,'Raw Data'!$W$2:$W$50000,0)),"")</f>
        <v/>
      </c>
      <c r="C739" s="11" t="str">
        <f t="shared" si="11"/>
        <v/>
      </c>
      <c r="D739" s="11" t="str">
        <f>IF($B739="","",COUNTIFS('Raw Data'!$R$2:$R$50000,$B739))</f>
        <v/>
      </c>
      <c r="E739" s="11" t="str">
        <f>IF($B739="","",SUMIFS('Raw Data'!$I$2:$I$50000,'Raw Data'!$R$2:$R$50000,$B739))</f>
        <v/>
      </c>
      <c r="F739" s="11" t="str">
        <f>IF($B739="","",RANK($E739,$E$2:$E$1501)+COUNTIF($E$2:E739,$E739)-1)</f>
        <v/>
      </c>
      <c r="G739" s="11" t="str">
        <f>IF($B739="","",RANK($D739,$D$2:$D$1501)+COUNTIF($D$2:D739,$D739)-1)</f>
        <v/>
      </c>
    </row>
    <row r="740" spans="1:7">
      <c r="A740" s="11">
        <v>739</v>
      </c>
      <c r="B740" s="11" t="str">
        <f>IFERROR(INDEX('Raw Data'!$R$2:$R$50000,MATCH(739,'Raw Data'!$W$2:$W$50000,0)),"")</f>
        <v/>
      </c>
      <c r="C740" s="11" t="str">
        <f t="shared" si="11"/>
        <v/>
      </c>
      <c r="D740" s="11" t="str">
        <f>IF($B740="","",COUNTIFS('Raw Data'!$R$2:$R$50000,$B740))</f>
        <v/>
      </c>
      <c r="E740" s="11" t="str">
        <f>IF($B740="","",SUMIFS('Raw Data'!$I$2:$I$50000,'Raw Data'!$R$2:$R$50000,$B740))</f>
        <v/>
      </c>
      <c r="F740" s="11" t="str">
        <f>IF($B740="","",RANK($E740,$E$2:$E$1501)+COUNTIF($E$2:E740,$E740)-1)</f>
        <v/>
      </c>
      <c r="G740" s="11" t="str">
        <f>IF($B740="","",RANK($D740,$D$2:$D$1501)+COUNTIF($D$2:D740,$D740)-1)</f>
        <v/>
      </c>
    </row>
    <row r="741" spans="1:7">
      <c r="A741" s="11">
        <v>740</v>
      </c>
      <c r="B741" s="11" t="str">
        <f>IFERROR(INDEX('Raw Data'!$R$2:$R$50000,MATCH(740,'Raw Data'!$W$2:$W$50000,0)),"")</f>
        <v/>
      </c>
      <c r="C741" s="11" t="str">
        <f t="shared" si="11"/>
        <v/>
      </c>
      <c r="D741" s="11" t="str">
        <f>IF($B741="","",COUNTIFS('Raw Data'!$R$2:$R$50000,$B741))</f>
        <v/>
      </c>
      <c r="E741" s="11" t="str">
        <f>IF($B741="","",SUMIFS('Raw Data'!$I$2:$I$50000,'Raw Data'!$R$2:$R$50000,$B741))</f>
        <v/>
      </c>
      <c r="F741" s="11" t="str">
        <f>IF($B741="","",RANK($E741,$E$2:$E$1501)+COUNTIF($E$2:E741,$E741)-1)</f>
        <v/>
      </c>
      <c r="G741" s="11" t="str">
        <f>IF($B741="","",RANK($D741,$D$2:$D$1501)+COUNTIF($D$2:D741,$D741)-1)</f>
        <v/>
      </c>
    </row>
    <row r="742" spans="1:7">
      <c r="A742" s="11">
        <v>741</v>
      </c>
      <c r="B742" s="11" t="str">
        <f>IFERROR(INDEX('Raw Data'!$R$2:$R$50000,MATCH(741,'Raw Data'!$W$2:$W$50000,0)),"")</f>
        <v/>
      </c>
      <c r="C742" s="11" t="str">
        <f t="shared" si="11"/>
        <v/>
      </c>
      <c r="D742" s="11" t="str">
        <f>IF($B742="","",COUNTIFS('Raw Data'!$R$2:$R$50000,$B742))</f>
        <v/>
      </c>
      <c r="E742" s="11" t="str">
        <f>IF($B742="","",SUMIFS('Raw Data'!$I$2:$I$50000,'Raw Data'!$R$2:$R$50000,$B742))</f>
        <v/>
      </c>
      <c r="F742" s="11" t="str">
        <f>IF($B742="","",RANK($E742,$E$2:$E$1501)+COUNTIF($E$2:E742,$E742)-1)</f>
        <v/>
      </c>
      <c r="G742" s="11" t="str">
        <f>IF($B742="","",RANK($D742,$D$2:$D$1501)+COUNTIF($D$2:D742,$D742)-1)</f>
        <v/>
      </c>
    </row>
    <row r="743" spans="1:7">
      <c r="A743" s="11">
        <v>742</v>
      </c>
      <c r="B743" s="11" t="str">
        <f>IFERROR(INDEX('Raw Data'!$R$2:$R$50000,MATCH(742,'Raw Data'!$W$2:$W$50000,0)),"")</f>
        <v/>
      </c>
      <c r="C743" s="11" t="str">
        <f t="shared" si="11"/>
        <v/>
      </c>
      <c r="D743" s="11" t="str">
        <f>IF($B743="","",COUNTIFS('Raw Data'!$R$2:$R$50000,$B743))</f>
        <v/>
      </c>
      <c r="E743" s="11" t="str">
        <f>IF($B743="","",SUMIFS('Raw Data'!$I$2:$I$50000,'Raw Data'!$R$2:$R$50000,$B743))</f>
        <v/>
      </c>
      <c r="F743" s="11" t="str">
        <f>IF($B743="","",RANK($E743,$E$2:$E$1501)+COUNTIF($E$2:E743,$E743)-1)</f>
        <v/>
      </c>
      <c r="G743" s="11" t="str">
        <f>IF($B743="","",RANK($D743,$D$2:$D$1501)+COUNTIF($D$2:D743,$D743)-1)</f>
        <v/>
      </c>
    </row>
    <row r="744" spans="1:7">
      <c r="A744" s="11">
        <v>743</v>
      </c>
      <c r="B744" s="11" t="str">
        <f>IFERROR(INDEX('Raw Data'!$R$2:$R$50000,MATCH(743,'Raw Data'!$W$2:$W$50000,0)),"")</f>
        <v/>
      </c>
      <c r="C744" s="11" t="str">
        <f t="shared" si="11"/>
        <v/>
      </c>
      <c r="D744" s="11" t="str">
        <f>IF($B744="","",COUNTIFS('Raw Data'!$R$2:$R$50000,$B744))</f>
        <v/>
      </c>
      <c r="E744" s="11" t="str">
        <f>IF($B744="","",SUMIFS('Raw Data'!$I$2:$I$50000,'Raw Data'!$R$2:$R$50000,$B744))</f>
        <v/>
      </c>
      <c r="F744" s="11" t="str">
        <f>IF($B744="","",RANK($E744,$E$2:$E$1501)+COUNTIF($E$2:E744,$E744)-1)</f>
        <v/>
      </c>
      <c r="G744" s="11" t="str">
        <f>IF($B744="","",RANK($D744,$D$2:$D$1501)+COUNTIF($D$2:D744,$D744)-1)</f>
        <v/>
      </c>
    </row>
    <row r="745" spans="1:7">
      <c r="A745" s="11">
        <v>744</v>
      </c>
      <c r="B745" s="11" t="str">
        <f>IFERROR(INDEX('Raw Data'!$R$2:$R$50000,MATCH(744,'Raw Data'!$W$2:$W$50000,0)),"")</f>
        <v/>
      </c>
      <c r="C745" s="11" t="str">
        <f t="shared" si="11"/>
        <v/>
      </c>
      <c r="D745" s="11" t="str">
        <f>IF($B745="","",COUNTIFS('Raw Data'!$R$2:$R$50000,$B745))</f>
        <v/>
      </c>
      <c r="E745" s="11" t="str">
        <f>IF($B745="","",SUMIFS('Raw Data'!$I$2:$I$50000,'Raw Data'!$R$2:$R$50000,$B745))</f>
        <v/>
      </c>
      <c r="F745" s="11" t="str">
        <f>IF($B745="","",RANK($E745,$E$2:$E$1501)+COUNTIF($E$2:E745,$E745)-1)</f>
        <v/>
      </c>
      <c r="G745" s="11" t="str">
        <f>IF($B745="","",RANK($D745,$D$2:$D$1501)+COUNTIF($D$2:D745,$D745)-1)</f>
        <v/>
      </c>
    </row>
    <row r="746" spans="1:7">
      <c r="A746" s="11">
        <v>745</v>
      </c>
      <c r="B746" s="11" t="str">
        <f>IFERROR(INDEX('Raw Data'!$R$2:$R$50000,MATCH(745,'Raw Data'!$W$2:$W$50000,0)),"")</f>
        <v/>
      </c>
      <c r="C746" s="11" t="str">
        <f t="shared" si="11"/>
        <v/>
      </c>
      <c r="D746" s="11" t="str">
        <f>IF($B746="","",COUNTIFS('Raw Data'!$R$2:$R$50000,$B746))</f>
        <v/>
      </c>
      <c r="E746" s="11" t="str">
        <f>IF($B746="","",SUMIFS('Raw Data'!$I$2:$I$50000,'Raw Data'!$R$2:$R$50000,$B746))</f>
        <v/>
      </c>
      <c r="F746" s="11" t="str">
        <f>IF($B746="","",RANK($E746,$E$2:$E$1501)+COUNTIF($E$2:E746,$E746)-1)</f>
        <v/>
      </c>
      <c r="G746" s="11" t="str">
        <f>IF($B746="","",RANK($D746,$D$2:$D$1501)+COUNTIF($D$2:D746,$D746)-1)</f>
        <v/>
      </c>
    </row>
    <row r="747" spans="1:7">
      <c r="A747" s="11">
        <v>746</v>
      </c>
      <c r="B747" s="11" t="str">
        <f>IFERROR(INDEX('Raw Data'!$R$2:$R$50000,MATCH(746,'Raw Data'!$W$2:$W$50000,0)),"")</f>
        <v/>
      </c>
      <c r="C747" s="11" t="str">
        <f t="shared" si="11"/>
        <v/>
      </c>
      <c r="D747" s="11" t="str">
        <f>IF($B747="","",COUNTIFS('Raw Data'!$R$2:$R$50000,$B747))</f>
        <v/>
      </c>
      <c r="E747" s="11" t="str">
        <f>IF($B747="","",SUMIFS('Raw Data'!$I$2:$I$50000,'Raw Data'!$R$2:$R$50000,$B747))</f>
        <v/>
      </c>
      <c r="F747" s="11" t="str">
        <f>IF($B747="","",RANK($E747,$E$2:$E$1501)+COUNTIF($E$2:E747,$E747)-1)</f>
        <v/>
      </c>
      <c r="G747" s="11" t="str">
        <f>IF($B747="","",RANK($D747,$D$2:$D$1501)+COUNTIF($D$2:D747,$D747)-1)</f>
        <v/>
      </c>
    </row>
    <row r="748" spans="1:7">
      <c r="A748" s="11">
        <v>747</v>
      </c>
      <c r="B748" s="11" t="str">
        <f>IFERROR(INDEX('Raw Data'!$R$2:$R$50000,MATCH(747,'Raw Data'!$W$2:$W$50000,0)),"")</f>
        <v/>
      </c>
      <c r="C748" s="11" t="str">
        <f t="shared" si="11"/>
        <v/>
      </c>
      <c r="D748" s="11" t="str">
        <f>IF($B748="","",COUNTIFS('Raw Data'!$R$2:$R$50000,$B748))</f>
        <v/>
      </c>
      <c r="E748" s="11" t="str">
        <f>IF($B748="","",SUMIFS('Raw Data'!$I$2:$I$50000,'Raw Data'!$R$2:$R$50000,$B748))</f>
        <v/>
      </c>
      <c r="F748" s="11" t="str">
        <f>IF($B748="","",RANK($E748,$E$2:$E$1501)+COUNTIF($E$2:E748,$E748)-1)</f>
        <v/>
      </c>
      <c r="G748" s="11" t="str">
        <f>IF($B748="","",RANK($D748,$D$2:$D$1501)+COUNTIF($D$2:D748,$D748)-1)</f>
        <v/>
      </c>
    </row>
    <row r="749" spans="1:7">
      <c r="A749" s="11">
        <v>748</v>
      </c>
      <c r="B749" s="11" t="str">
        <f>IFERROR(INDEX('Raw Data'!$R$2:$R$50000,MATCH(748,'Raw Data'!$W$2:$W$50000,0)),"")</f>
        <v/>
      </c>
      <c r="C749" s="11" t="str">
        <f t="shared" si="11"/>
        <v/>
      </c>
      <c r="D749" s="11" t="str">
        <f>IF($B749="","",COUNTIFS('Raw Data'!$R$2:$R$50000,$B749))</f>
        <v/>
      </c>
      <c r="E749" s="11" t="str">
        <f>IF($B749="","",SUMIFS('Raw Data'!$I$2:$I$50000,'Raw Data'!$R$2:$R$50000,$B749))</f>
        <v/>
      </c>
      <c r="F749" s="11" t="str">
        <f>IF($B749="","",RANK($E749,$E$2:$E$1501)+COUNTIF($E$2:E749,$E749)-1)</f>
        <v/>
      </c>
      <c r="G749" s="11" t="str">
        <f>IF($B749="","",RANK($D749,$D$2:$D$1501)+COUNTIF($D$2:D749,$D749)-1)</f>
        <v/>
      </c>
    </row>
    <row r="750" spans="1:7">
      <c r="A750" s="11">
        <v>749</v>
      </c>
      <c r="B750" s="11" t="str">
        <f>IFERROR(INDEX('Raw Data'!$R$2:$R$50000,MATCH(749,'Raw Data'!$W$2:$W$50000,0)),"")</f>
        <v/>
      </c>
      <c r="C750" s="11" t="str">
        <f t="shared" si="11"/>
        <v/>
      </c>
      <c r="D750" s="11" t="str">
        <f>IF($B750="","",COUNTIFS('Raw Data'!$R$2:$R$50000,$B750))</f>
        <v/>
      </c>
      <c r="E750" s="11" t="str">
        <f>IF($B750="","",SUMIFS('Raw Data'!$I$2:$I$50000,'Raw Data'!$R$2:$R$50000,$B750))</f>
        <v/>
      </c>
      <c r="F750" s="11" t="str">
        <f>IF($B750="","",RANK($E750,$E$2:$E$1501)+COUNTIF($E$2:E750,$E750)-1)</f>
        <v/>
      </c>
      <c r="G750" s="11" t="str">
        <f>IF($B750="","",RANK($D750,$D$2:$D$1501)+COUNTIF($D$2:D750,$D750)-1)</f>
        <v/>
      </c>
    </row>
    <row r="751" spans="1:7">
      <c r="A751" s="11">
        <v>750</v>
      </c>
      <c r="B751" s="11" t="str">
        <f>IFERROR(INDEX('Raw Data'!$R$2:$R$50000,MATCH(750,'Raw Data'!$W$2:$W$50000,0)),"")</f>
        <v/>
      </c>
      <c r="C751" s="11" t="str">
        <f t="shared" si="11"/>
        <v/>
      </c>
      <c r="D751" s="11" t="str">
        <f>IF($B751="","",COUNTIFS('Raw Data'!$R$2:$R$50000,$B751))</f>
        <v/>
      </c>
      <c r="E751" s="11" t="str">
        <f>IF($B751="","",SUMIFS('Raw Data'!$I$2:$I$50000,'Raw Data'!$R$2:$R$50000,$B751))</f>
        <v/>
      </c>
      <c r="F751" s="11" t="str">
        <f>IF($B751="","",RANK($E751,$E$2:$E$1501)+COUNTIF($E$2:E751,$E751)-1)</f>
        <v/>
      </c>
      <c r="G751" s="11" t="str">
        <f>IF($B751="","",RANK($D751,$D$2:$D$1501)+COUNTIF($D$2:D751,$D751)-1)</f>
        <v/>
      </c>
    </row>
    <row r="752" spans="1:7">
      <c r="A752" s="11">
        <v>751</v>
      </c>
      <c r="B752" s="11" t="str">
        <f>IFERROR(INDEX('Raw Data'!$R$2:$R$50000,MATCH(751,'Raw Data'!$W$2:$W$50000,0)),"")</f>
        <v/>
      </c>
      <c r="C752" s="11" t="str">
        <f t="shared" si="11"/>
        <v/>
      </c>
      <c r="D752" s="11" t="str">
        <f>IF($B752="","",COUNTIFS('Raw Data'!$R$2:$R$50000,$B752))</f>
        <v/>
      </c>
      <c r="E752" s="11" t="str">
        <f>IF($B752="","",SUMIFS('Raw Data'!$I$2:$I$50000,'Raw Data'!$R$2:$R$50000,$B752))</f>
        <v/>
      </c>
      <c r="F752" s="11" t="str">
        <f>IF($B752="","",RANK($E752,$E$2:$E$1501)+COUNTIF($E$2:E752,$E752)-1)</f>
        <v/>
      </c>
      <c r="G752" s="11" t="str">
        <f>IF($B752="","",RANK($D752,$D$2:$D$1501)+COUNTIF($D$2:D752,$D752)-1)</f>
        <v/>
      </c>
    </row>
    <row r="753" spans="1:7">
      <c r="A753" s="11">
        <v>752</v>
      </c>
      <c r="B753" s="11" t="str">
        <f>IFERROR(INDEX('Raw Data'!$R$2:$R$50000,MATCH(752,'Raw Data'!$W$2:$W$50000,0)),"")</f>
        <v/>
      </c>
      <c r="C753" s="11" t="str">
        <f t="shared" si="11"/>
        <v/>
      </c>
      <c r="D753" s="11" t="str">
        <f>IF($B753="","",COUNTIFS('Raw Data'!$R$2:$R$50000,$B753))</f>
        <v/>
      </c>
      <c r="E753" s="11" t="str">
        <f>IF($B753="","",SUMIFS('Raw Data'!$I$2:$I$50000,'Raw Data'!$R$2:$R$50000,$B753))</f>
        <v/>
      </c>
      <c r="F753" s="11" t="str">
        <f>IF($B753="","",RANK($E753,$E$2:$E$1501)+COUNTIF($E$2:E753,$E753)-1)</f>
        <v/>
      </c>
      <c r="G753" s="11" t="str">
        <f>IF($B753="","",RANK($D753,$D$2:$D$1501)+COUNTIF($D$2:D753,$D753)-1)</f>
        <v/>
      </c>
    </row>
    <row r="754" spans="1:7">
      <c r="A754" s="11">
        <v>753</v>
      </c>
      <c r="B754" s="11" t="str">
        <f>IFERROR(INDEX('Raw Data'!$R$2:$R$50000,MATCH(753,'Raw Data'!$W$2:$W$50000,0)),"")</f>
        <v/>
      </c>
      <c r="C754" s="11" t="str">
        <f t="shared" si="11"/>
        <v/>
      </c>
      <c r="D754" s="11" t="str">
        <f>IF($B754="","",COUNTIFS('Raw Data'!$R$2:$R$50000,$B754))</f>
        <v/>
      </c>
      <c r="E754" s="11" t="str">
        <f>IF($B754="","",SUMIFS('Raw Data'!$I$2:$I$50000,'Raw Data'!$R$2:$R$50000,$B754))</f>
        <v/>
      </c>
      <c r="F754" s="11" t="str">
        <f>IF($B754="","",RANK($E754,$E$2:$E$1501)+COUNTIF($E$2:E754,$E754)-1)</f>
        <v/>
      </c>
      <c r="G754" s="11" t="str">
        <f>IF($B754="","",RANK($D754,$D$2:$D$1501)+COUNTIF($D$2:D754,$D754)-1)</f>
        <v/>
      </c>
    </row>
    <row r="755" spans="1:7">
      <c r="A755" s="11">
        <v>754</v>
      </c>
      <c r="B755" s="11" t="str">
        <f>IFERROR(INDEX('Raw Data'!$R$2:$R$50000,MATCH(754,'Raw Data'!$W$2:$W$50000,0)),"")</f>
        <v/>
      </c>
      <c r="C755" s="11" t="str">
        <f t="shared" si="11"/>
        <v/>
      </c>
      <c r="D755" s="11" t="str">
        <f>IF($B755="","",COUNTIFS('Raw Data'!$R$2:$R$50000,$B755))</f>
        <v/>
      </c>
      <c r="E755" s="11" t="str">
        <f>IF($B755="","",SUMIFS('Raw Data'!$I$2:$I$50000,'Raw Data'!$R$2:$R$50000,$B755))</f>
        <v/>
      </c>
      <c r="F755" s="11" t="str">
        <f>IF($B755="","",RANK($E755,$E$2:$E$1501)+COUNTIF($E$2:E755,$E755)-1)</f>
        <v/>
      </c>
      <c r="G755" s="11" t="str">
        <f>IF($B755="","",RANK($D755,$D$2:$D$1501)+COUNTIF($D$2:D755,$D755)-1)</f>
        <v/>
      </c>
    </row>
    <row r="756" spans="1:7">
      <c r="A756" s="11">
        <v>755</v>
      </c>
      <c r="B756" s="11" t="str">
        <f>IFERROR(INDEX('Raw Data'!$R$2:$R$50000,MATCH(755,'Raw Data'!$W$2:$W$50000,0)),"")</f>
        <v/>
      </c>
      <c r="C756" s="11" t="str">
        <f t="shared" si="11"/>
        <v/>
      </c>
      <c r="D756" s="11" t="str">
        <f>IF($B756="","",COUNTIFS('Raw Data'!$R$2:$R$50000,$B756))</f>
        <v/>
      </c>
      <c r="E756" s="11" t="str">
        <f>IF($B756="","",SUMIFS('Raw Data'!$I$2:$I$50000,'Raw Data'!$R$2:$R$50000,$B756))</f>
        <v/>
      </c>
      <c r="F756" s="11" t="str">
        <f>IF($B756="","",RANK($E756,$E$2:$E$1501)+COUNTIF($E$2:E756,$E756)-1)</f>
        <v/>
      </c>
      <c r="G756" s="11" t="str">
        <f>IF($B756="","",RANK($D756,$D$2:$D$1501)+COUNTIF($D$2:D756,$D756)-1)</f>
        <v/>
      </c>
    </row>
    <row r="757" spans="1:7">
      <c r="A757" s="11">
        <v>756</v>
      </c>
      <c r="B757" s="11" t="str">
        <f>IFERROR(INDEX('Raw Data'!$R$2:$R$50000,MATCH(756,'Raw Data'!$W$2:$W$50000,0)),"")</f>
        <v/>
      </c>
      <c r="C757" s="11" t="str">
        <f t="shared" si="11"/>
        <v/>
      </c>
      <c r="D757" s="11" t="str">
        <f>IF($B757="","",COUNTIFS('Raw Data'!$R$2:$R$50000,$B757))</f>
        <v/>
      </c>
      <c r="E757" s="11" t="str">
        <f>IF($B757="","",SUMIFS('Raw Data'!$I$2:$I$50000,'Raw Data'!$R$2:$R$50000,$B757))</f>
        <v/>
      </c>
      <c r="F757" s="11" t="str">
        <f>IF($B757="","",RANK($E757,$E$2:$E$1501)+COUNTIF($E$2:E757,$E757)-1)</f>
        <v/>
      </c>
      <c r="G757" s="11" t="str">
        <f>IF($B757="","",RANK($D757,$D$2:$D$1501)+COUNTIF($D$2:D757,$D757)-1)</f>
        <v/>
      </c>
    </row>
    <row r="758" spans="1:7">
      <c r="A758" s="11">
        <v>757</v>
      </c>
      <c r="B758" s="11" t="str">
        <f>IFERROR(INDEX('Raw Data'!$R$2:$R$50000,MATCH(757,'Raw Data'!$W$2:$W$50000,0)),"")</f>
        <v/>
      </c>
      <c r="C758" s="11" t="str">
        <f t="shared" si="11"/>
        <v/>
      </c>
      <c r="D758" s="11" t="str">
        <f>IF($B758="","",COUNTIFS('Raw Data'!$R$2:$R$50000,$B758))</f>
        <v/>
      </c>
      <c r="E758" s="11" t="str">
        <f>IF($B758="","",SUMIFS('Raw Data'!$I$2:$I$50000,'Raw Data'!$R$2:$R$50000,$B758))</f>
        <v/>
      </c>
      <c r="F758" s="11" t="str">
        <f>IF($B758="","",RANK($E758,$E$2:$E$1501)+COUNTIF($E$2:E758,$E758)-1)</f>
        <v/>
      </c>
      <c r="G758" s="11" t="str">
        <f>IF($B758="","",RANK($D758,$D$2:$D$1501)+COUNTIF($D$2:D758,$D758)-1)</f>
        <v/>
      </c>
    </row>
    <row r="759" spans="1:7">
      <c r="A759" s="11">
        <v>758</v>
      </c>
      <c r="B759" s="11" t="str">
        <f>IFERROR(INDEX('Raw Data'!$R$2:$R$50000,MATCH(758,'Raw Data'!$W$2:$W$50000,0)),"")</f>
        <v/>
      </c>
      <c r="C759" s="11" t="str">
        <f t="shared" si="11"/>
        <v/>
      </c>
      <c r="D759" s="11" t="str">
        <f>IF($B759="","",COUNTIFS('Raw Data'!$R$2:$R$50000,$B759))</f>
        <v/>
      </c>
      <c r="E759" s="11" t="str">
        <f>IF($B759="","",SUMIFS('Raw Data'!$I$2:$I$50000,'Raw Data'!$R$2:$R$50000,$B759))</f>
        <v/>
      </c>
      <c r="F759" s="11" t="str">
        <f>IF($B759="","",RANK($E759,$E$2:$E$1501)+COUNTIF($E$2:E759,$E759)-1)</f>
        <v/>
      </c>
      <c r="G759" s="11" t="str">
        <f>IF($B759="","",RANK($D759,$D$2:$D$1501)+COUNTIF($D$2:D759,$D759)-1)</f>
        <v/>
      </c>
    </row>
    <row r="760" spans="1:7">
      <c r="A760" s="11">
        <v>759</v>
      </c>
      <c r="B760" s="11" t="str">
        <f>IFERROR(INDEX('Raw Data'!$R$2:$R$50000,MATCH(759,'Raw Data'!$W$2:$W$50000,0)),"")</f>
        <v/>
      </c>
      <c r="C760" s="11" t="str">
        <f t="shared" si="11"/>
        <v/>
      </c>
      <c r="D760" s="11" t="str">
        <f>IF($B760="","",COUNTIFS('Raw Data'!$R$2:$R$50000,$B760))</f>
        <v/>
      </c>
      <c r="E760" s="11" t="str">
        <f>IF($B760="","",SUMIFS('Raw Data'!$I$2:$I$50000,'Raw Data'!$R$2:$R$50000,$B760))</f>
        <v/>
      </c>
      <c r="F760" s="11" t="str">
        <f>IF($B760="","",RANK($E760,$E$2:$E$1501)+COUNTIF($E$2:E760,$E760)-1)</f>
        <v/>
      </c>
      <c r="G760" s="11" t="str">
        <f>IF($B760="","",RANK($D760,$D$2:$D$1501)+COUNTIF($D$2:D760,$D760)-1)</f>
        <v/>
      </c>
    </row>
    <row r="761" spans="1:7">
      <c r="A761" s="11">
        <v>760</v>
      </c>
      <c r="B761" s="11" t="str">
        <f>IFERROR(INDEX('Raw Data'!$R$2:$R$50000,MATCH(760,'Raw Data'!$W$2:$W$50000,0)),"")</f>
        <v/>
      </c>
      <c r="C761" s="11" t="str">
        <f t="shared" si="11"/>
        <v/>
      </c>
      <c r="D761" s="11" t="str">
        <f>IF($B761="","",COUNTIFS('Raw Data'!$R$2:$R$50000,$B761))</f>
        <v/>
      </c>
      <c r="E761" s="11" t="str">
        <f>IF($B761="","",SUMIFS('Raw Data'!$I$2:$I$50000,'Raw Data'!$R$2:$R$50000,$B761))</f>
        <v/>
      </c>
      <c r="F761" s="11" t="str">
        <f>IF($B761="","",RANK($E761,$E$2:$E$1501)+COUNTIF($E$2:E761,$E761)-1)</f>
        <v/>
      </c>
      <c r="G761" s="11" t="str">
        <f>IF($B761="","",RANK($D761,$D$2:$D$1501)+COUNTIF($D$2:D761,$D761)-1)</f>
        <v/>
      </c>
    </row>
    <row r="762" spans="1:7">
      <c r="A762" s="11">
        <v>761</v>
      </c>
      <c r="B762" s="11" t="str">
        <f>IFERROR(INDEX('Raw Data'!$R$2:$R$50000,MATCH(761,'Raw Data'!$W$2:$W$50000,0)),"")</f>
        <v/>
      </c>
      <c r="C762" s="11" t="str">
        <f t="shared" si="11"/>
        <v/>
      </c>
      <c r="D762" s="11" t="str">
        <f>IF($B762="","",COUNTIFS('Raw Data'!$R$2:$R$50000,$B762))</f>
        <v/>
      </c>
      <c r="E762" s="11" t="str">
        <f>IF($B762="","",SUMIFS('Raw Data'!$I$2:$I$50000,'Raw Data'!$R$2:$R$50000,$B762))</f>
        <v/>
      </c>
      <c r="F762" s="11" t="str">
        <f>IF($B762="","",RANK($E762,$E$2:$E$1501)+COUNTIF($E$2:E762,$E762)-1)</f>
        <v/>
      </c>
      <c r="G762" s="11" t="str">
        <f>IF($B762="","",RANK($D762,$D$2:$D$1501)+COUNTIF($D$2:D762,$D762)-1)</f>
        <v/>
      </c>
    </row>
    <row r="763" spans="1:7">
      <c r="A763" s="11">
        <v>762</v>
      </c>
      <c r="B763" s="11" t="str">
        <f>IFERROR(INDEX('Raw Data'!$R$2:$R$50000,MATCH(762,'Raw Data'!$W$2:$W$50000,0)),"")</f>
        <v/>
      </c>
      <c r="C763" s="11" t="str">
        <f t="shared" si="11"/>
        <v/>
      </c>
      <c r="D763" s="11" t="str">
        <f>IF($B763="","",COUNTIFS('Raw Data'!$R$2:$R$50000,$B763))</f>
        <v/>
      </c>
      <c r="E763" s="11" t="str">
        <f>IF($B763="","",SUMIFS('Raw Data'!$I$2:$I$50000,'Raw Data'!$R$2:$R$50000,$B763))</f>
        <v/>
      </c>
      <c r="F763" s="11" t="str">
        <f>IF($B763="","",RANK($E763,$E$2:$E$1501)+COUNTIF($E$2:E763,$E763)-1)</f>
        <v/>
      </c>
      <c r="G763" s="11" t="str">
        <f>IF($B763="","",RANK($D763,$D$2:$D$1501)+COUNTIF($D$2:D763,$D763)-1)</f>
        <v/>
      </c>
    </row>
    <row r="764" spans="1:7">
      <c r="A764" s="11">
        <v>763</v>
      </c>
      <c r="B764" s="11" t="str">
        <f>IFERROR(INDEX('Raw Data'!$R$2:$R$50000,MATCH(763,'Raw Data'!$W$2:$W$50000,0)),"")</f>
        <v/>
      </c>
      <c r="C764" s="11" t="str">
        <f t="shared" si="11"/>
        <v/>
      </c>
      <c r="D764" s="11" t="str">
        <f>IF($B764="","",COUNTIFS('Raw Data'!$R$2:$R$50000,$B764))</f>
        <v/>
      </c>
      <c r="E764" s="11" t="str">
        <f>IF($B764="","",SUMIFS('Raw Data'!$I$2:$I$50000,'Raw Data'!$R$2:$R$50000,$B764))</f>
        <v/>
      </c>
      <c r="F764" s="11" t="str">
        <f>IF($B764="","",RANK($E764,$E$2:$E$1501)+COUNTIF($E$2:E764,$E764)-1)</f>
        <v/>
      </c>
      <c r="G764" s="11" t="str">
        <f>IF($B764="","",RANK($D764,$D$2:$D$1501)+COUNTIF($D$2:D764,$D764)-1)</f>
        <v/>
      </c>
    </row>
    <row r="765" spans="1:7">
      <c r="A765" s="11">
        <v>764</v>
      </c>
      <c r="B765" s="11" t="str">
        <f>IFERROR(INDEX('Raw Data'!$R$2:$R$50000,MATCH(764,'Raw Data'!$W$2:$W$50000,0)),"")</f>
        <v/>
      </c>
      <c r="C765" s="11" t="str">
        <f t="shared" si="11"/>
        <v/>
      </c>
      <c r="D765" s="11" t="str">
        <f>IF($B765="","",COUNTIFS('Raw Data'!$R$2:$R$50000,$B765))</f>
        <v/>
      </c>
      <c r="E765" s="11" t="str">
        <f>IF($B765="","",SUMIFS('Raw Data'!$I$2:$I$50000,'Raw Data'!$R$2:$R$50000,$B765))</f>
        <v/>
      </c>
      <c r="F765" s="11" t="str">
        <f>IF($B765="","",RANK($E765,$E$2:$E$1501)+COUNTIF($E$2:E765,$E765)-1)</f>
        <v/>
      </c>
      <c r="G765" s="11" t="str">
        <f>IF($B765="","",RANK($D765,$D$2:$D$1501)+COUNTIF($D$2:D765,$D765)-1)</f>
        <v/>
      </c>
    </row>
    <row r="766" spans="1:7">
      <c r="A766" s="11">
        <v>765</v>
      </c>
      <c r="B766" s="11" t="str">
        <f>IFERROR(INDEX('Raw Data'!$R$2:$R$50000,MATCH(765,'Raw Data'!$W$2:$W$50000,0)),"")</f>
        <v/>
      </c>
      <c r="C766" s="11" t="str">
        <f t="shared" si="11"/>
        <v/>
      </c>
      <c r="D766" s="11" t="str">
        <f>IF($B766="","",COUNTIFS('Raw Data'!$R$2:$R$50000,$B766))</f>
        <v/>
      </c>
      <c r="E766" s="11" t="str">
        <f>IF($B766="","",SUMIFS('Raw Data'!$I$2:$I$50000,'Raw Data'!$R$2:$R$50000,$B766))</f>
        <v/>
      </c>
      <c r="F766" s="11" t="str">
        <f>IF($B766="","",RANK($E766,$E$2:$E$1501)+COUNTIF($E$2:E766,$E766)-1)</f>
        <v/>
      </c>
      <c r="G766" s="11" t="str">
        <f>IF($B766="","",RANK($D766,$D$2:$D$1501)+COUNTIF($D$2:D766,$D766)-1)</f>
        <v/>
      </c>
    </row>
    <row r="767" spans="1:7">
      <c r="A767" s="11">
        <v>766</v>
      </c>
      <c r="B767" s="11" t="str">
        <f>IFERROR(INDEX('Raw Data'!$R$2:$R$50000,MATCH(766,'Raw Data'!$W$2:$W$50000,0)),"")</f>
        <v/>
      </c>
      <c r="C767" s="11" t="str">
        <f t="shared" si="11"/>
        <v/>
      </c>
      <c r="D767" s="11" t="str">
        <f>IF($B767="","",COUNTIFS('Raw Data'!$R$2:$R$50000,$B767))</f>
        <v/>
      </c>
      <c r="E767" s="11" t="str">
        <f>IF($B767="","",SUMIFS('Raw Data'!$I$2:$I$50000,'Raw Data'!$R$2:$R$50000,$B767))</f>
        <v/>
      </c>
      <c r="F767" s="11" t="str">
        <f>IF($B767="","",RANK($E767,$E$2:$E$1501)+COUNTIF($E$2:E767,$E767)-1)</f>
        <v/>
      </c>
      <c r="G767" s="11" t="str">
        <f>IF($B767="","",RANK($D767,$D$2:$D$1501)+COUNTIF($D$2:D767,$D767)-1)</f>
        <v/>
      </c>
    </row>
    <row r="768" spans="1:7">
      <c r="A768" s="11">
        <v>767</v>
      </c>
      <c r="B768" s="11" t="str">
        <f>IFERROR(INDEX('Raw Data'!$R$2:$R$50000,MATCH(767,'Raw Data'!$W$2:$W$50000,0)),"")</f>
        <v/>
      </c>
      <c r="C768" s="11" t="str">
        <f t="shared" si="11"/>
        <v/>
      </c>
      <c r="D768" s="11" t="str">
        <f>IF($B768="","",COUNTIFS('Raw Data'!$R$2:$R$50000,$B768))</f>
        <v/>
      </c>
      <c r="E768" s="11" t="str">
        <f>IF($B768="","",SUMIFS('Raw Data'!$I$2:$I$50000,'Raw Data'!$R$2:$R$50000,$B768))</f>
        <v/>
      </c>
      <c r="F768" s="11" t="str">
        <f>IF($B768="","",RANK($E768,$E$2:$E$1501)+COUNTIF($E$2:E768,$E768)-1)</f>
        <v/>
      </c>
      <c r="G768" s="11" t="str">
        <f>IF($B768="","",RANK($D768,$D$2:$D$1501)+COUNTIF($D$2:D768,$D768)-1)</f>
        <v/>
      </c>
    </row>
    <row r="769" spans="1:7">
      <c r="A769" s="11">
        <v>768</v>
      </c>
      <c r="B769" s="11" t="str">
        <f>IFERROR(INDEX('Raw Data'!$R$2:$R$50000,MATCH(768,'Raw Data'!$W$2:$W$50000,0)),"")</f>
        <v/>
      </c>
      <c r="C769" s="11" t="str">
        <f t="shared" si="11"/>
        <v/>
      </c>
      <c r="D769" s="11" t="str">
        <f>IF($B769="","",COUNTIFS('Raw Data'!$R$2:$R$50000,$B769))</f>
        <v/>
      </c>
      <c r="E769" s="11" t="str">
        <f>IF($B769="","",SUMIFS('Raw Data'!$I$2:$I$50000,'Raw Data'!$R$2:$R$50000,$B769))</f>
        <v/>
      </c>
      <c r="F769" s="11" t="str">
        <f>IF($B769="","",RANK($E769,$E$2:$E$1501)+COUNTIF($E$2:E769,$E769)-1)</f>
        <v/>
      </c>
      <c r="G769" s="11" t="str">
        <f>IF($B769="","",RANK($D769,$D$2:$D$1501)+COUNTIF($D$2:D769,$D769)-1)</f>
        <v/>
      </c>
    </row>
    <row r="770" spans="1:7">
      <c r="A770" s="11">
        <v>769</v>
      </c>
      <c r="B770" s="11" t="str">
        <f>IFERROR(INDEX('Raw Data'!$R$2:$R$50000,MATCH(769,'Raw Data'!$W$2:$W$50000,0)),"")</f>
        <v/>
      </c>
      <c r="C770" s="11" t="str">
        <f t="shared" ref="C770:C833" si="12">IF($B770="","",$B770)</f>
        <v/>
      </c>
      <c r="D770" s="11" t="str">
        <f>IF($B770="","",COUNTIFS('Raw Data'!$R$2:$R$50000,$B770))</f>
        <v/>
      </c>
      <c r="E770" s="11" t="str">
        <f>IF($B770="","",SUMIFS('Raw Data'!$I$2:$I$50000,'Raw Data'!$R$2:$R$50000,$B770))</f>
        <v/>
      </c>
      <c r="F770" s="11" t="str">
        <f>IF($B770="","",RANK($E770,$E$2:$E$1501)+COUNTIF($E$2:E770,$E770)-1)</f>
        <v/>
      </c>
      <c r="G770" s="11" t="str">
        <f>IF($B770="","",RANK($D770,$D$2:$D$1501)+COUNTIF($D$2:D770,$D770)-1)</f>
        <v/>
      </c>
    </row>
    <row r="771" spans="1:7">
      <c r="A771" s="11">
        <v>770</v>
      </c>
      <c r="B771" s="11" t="str">
        <f>IFERROR(INDEX('Raw Data'!$R$2:$R$50000,MATCH(770,'Raw Data'!$W$2:$W$50000,0)),"")</f>
        <v/>
      </c>
      <c r="C771" s="11" t="str">
        <f t="shared" si="12"/>
        <v/>
      </c>
      <c r="D771" s="11" t="str">
        <f>IF($B771="","",COUNTIFS('Raw Data'!$R$2:$R$50000,$B771))</f>
        <v/>
      </c>
      <c r="E771" s="11" t="str">
        <f>IF($B771="","",SUMIFS('Raw Data'!$I$2:$I$50000,'Raw Data'!$R$2:$R$50000,$B771))</f>
        <v/>
      </c>
      <c r="F771" s="11" t="str">
        <f>IF($B771="","",RANK($E771,$E$2:$E$1501)+COUNTIF($E$2:E771,$E771)-1)</f>
        <v/>
      </c>
      <c r="G771" s="11" t="str">
        <f>IF($B771="","",RANK($D771,$D$2:$D$1501)+COUNTIF($D$2:D771,$D771)-1)</f>
        <v/>
      </c>
    </row>
    <row r="772" spans="1:7">
      <c r="A772" s="11">
        <v>771</v>
      </c>
      <c r="B772" s="11" t="str">
        <f>IFERROR(INDEX('Raw Data'!$R$2:$R$50000,MATCH(771,'Raw Data'!$W$2:$W$50000,0)),"")</f>
        <v/>
      </c>
      <c r="C772" s="11" t="str">
        <f t="shared" si="12"/>
        <v/>
      </c>
      <c r="D772" s="11" t="str">
        <f>IF($B772="","",COUNTIFS('Raw Data'!$R$2:$R$50000,$B772))</f>
        <v/>
      </c>
      <c r="E772" s="11" t="str">
        <f>IF($B772="","",SUMIFS('Raw Data'!$I$2:$I$50000,'Raw Data'!$R$2:$R$50000,$B772))</f>
        <v/>
      </c>
      <c r="F772" s="11" t="str">
        <f>IF($B772="","",RANK($E772,$E$2:$E$1501)+COUNTIF($E$2:E772,$E772)-1)</f>
        <v/>
      </c>
      <c r="G772" s="11" t="str">
        <f>IF($B772="","",RANK($D772,$D$2:$D$1501)+COUNTIF($D$2:D772,$D772)-1)</f>
        <v/>
      </c>
    </row>
    <row r="773" spans="1:7">
      <c r="A773" s="11">
        <v>772</v>
      </c>
      <c r="B773" s="11" t="str">
        <f>IFERROR(INDEX('Raw Data'!$R$2:$R$50000,MATCH(772,'Raw Data'!$W$2:$W$50000,0)),"")</f>
        <v/>
      </c>
      <c r="C773" s="11" t="str">
        <f t="shared" si="12"/>
        <v/>
      </c>
      <c r="D773" s="11" t="str">
        <f>IF($B773="","",COUNTIFS('Raw Data'!$R$2:$R$50000,$B773))</f>
        <v/>
      </c>
      <c r="E773" s="11" t="str">
        <f>IF($B773="","",SUMIFS('Raw Data'!$I$2:$I$50000,'Raw Data'!$R$2:$R$50000,$B773))</f>
        <v/>
      </c>
      <c r="F773" s="11" t="str">
        <f>IF($B773="","",RANK($E773,$E$2:$E$1501)+COUNTIF($E$2:E773,$E773)-1)</f>
        <v/>
      </c>
      <c r="G773" s="11" t="str">
        <f>IF($B773="","",RANK($D773,$D$2:$D$1501)+COUNTIF($D$2:D773,$D773)-1)</f>
        <v/>
      </c>
    </row>
    <row r="774" spans="1:7">
      <c r="A774" s="11">
        <v>773</v>
      </c>
      <c r="B774" s="11" t="str">
        <f>IFERROR(INDEX('Raw Data'!$R$2:$R$50000,MATCH(773,'Raw Data'!$W$2:$W$50000,0)),"")</f>
        <v/>
      </c>
      <c r="C774" s="11" t="str">
        <f t="shared" si="12"/>
        <v/>
      </c>
      <c r="D774" s="11" t="str">
        <f>IF($B774="","",COUNTIFS('Raw Data'!$R$2:$R$50000,$B774))</f>
        <v/>
      </c>
      <c r="E774" s="11" t="str">
        <f>IF($B774="","",SUMIFS('Raw Data'!$I$2:$I$50000,'Raw Data'!$R$2:$R$50000,$B774))</f>
        <v/>
      </c>
      <c r="F774" s="11" t="str">
        <f>IF($B774="","",RANK($E774,$E$2:$E$1501)+COUNTIF($E$2:E774,$E774)-1)</f>
        <v/>
      </c>
      <c r="G774" s="11" t="str">
        <f>IF($B774="","",RANK($D774,$D$2:$D$1501)+COUNTIF($D$2:D774,$D774)-1)</f>
        <v/>
      </c>
    </row>
    <row r="775" spans="1:7">
      <c r="A775" s="11">
        <v>774</v>
      </c>
      <c r="B775" s="11" t="str">
        <f>IFERROR(INDEX('Raw Data'!$R$2:$R$50000,MATCH(774,'Raw Data'!$W$2:$W$50000,0)),"")</f>
        <v/>
      </c>
      <c r="C775" s="11" t="str">
        <f t="shared" si="12"/>
        <v/>
      </c>
      <c r="D775" s="11" t="str">
        <f>IF($B775="","",COUNTIFS('Raw Data'!$R$2:$R$50000,$B775))</f>
        <v/>
      </c>
      <c r="E775" s="11" t="str">
        <f>IF($B775="","",SUMIFS('Raw Data'!$I$2:$I$50000,'Raw Data'!$R$2:$R$50000,$B775))</f>
        <v/>
      </c>
      <c r="F775" s="11" t="str">
        <f>IF($B775="","",RANK($E775,$E$2:$E$1501)+COUNTIF($E$2:E775,$E775)-1)</f>
        <v/>
      </c>
      <c r="G775" s="11" t="str">
        <f>IF($B775="","",RANK($D775,$D$2:$D$1501)+COUNTIF($D$2:D775,$D775)-1)</f>
        <v/>
      </c>
    </row>
    <row r="776" spans="1:7">
      <c r="A776" s="11">
        <v>775</v>
      </c>
      <c r="B776" s="11" t="str">
        <f>IFERROR(INDEX('Raw Data'!$R$2:$R$50000,MATCH(775,'Raw Data'!$W$2:$W$50000,0)),"")</f>
        <v/>
      </c>
      <c r="C776" s="11" t="str">
        <f t="shared" si="12"/>
        <v/>
      </c>
      <c r="D776" s="11" t="str">
        <f>IF($B776="","",COUNTIFS('Raw Data'!$R$2:$R$50000,$B776))</f>
        <v/>
      </c>
      <c r="E776" s="11" t="str">
        <f>IF($B776="","",SUMIFS('Raw Data'!$I$2:$I$50000,'Raw Data'!$R$2:$R$50000,$B776))</f>
        <v/>
      </c>
      <c r="F776" s="11" t="str">
        <f>IF($B776="","",RANK($E776,$E$2:$E$1501)+COUNTIF($E$2:E776,$E776)-1)</f>
        <v/>
      </c>
      <c r="G776" s="11" t="str">
        <f>IF($B776="","",RANK($D776,$D$2:$D$1501)+COUNTIF($D$2:D776,$D776)-1)</f>
        <v/>
      </c>
    </row>
    <row r="777" spans="1:7">
      <c r="A777" s="11">
        <v>776</v>
      </c>
      <c r="B777" s="11" t="str">
        <f>IFERROR(INDEX('Raw Data'!$R$2:$R$50000,MATCH(776,'Raw Data'!$W$2:$W$50000,0)),"")</f>
        <v/>
      </c>
      <c r="C777" s="11" t="str">
        <f t="shared" si="12"/>
        <v/>
      </c>
      <c r="D777" s="11" t="str">
        <f>IF($B777="","",COUNTIFS('Raw Data'!$R$2:$R$50000,$B777))</f>
        <v/>
      </c>
      <c r="E777" s="11" t="str">
        <f>IF($B777="","",SUMIFS('Raw Data'!$I$2:$I$50000,'Raw Data'!$R$2:$R$50000,$B777))</f>
        <v/>
      </c>
      <c r="F777" s="11" t="str">
        <f>IF($B777="","",RANK($E777,$E$2:$E$1501)+COUNTIF($E$2:E777,$E777)-1)</f>
        <v/>
      </c>
      <c r="G777" s="11" t="str">
        <f>IF($B777="","",RANK($D777,$D$2:$D$1501)+COUNTIF($D$2:D777,$D777)-1)</f>
        <v/>
      </c>
    </row>
    <row r="778" spans="1:7">
      <c r="A778" s="11">
        <v>777</v>
      </c>
      <c r="B778" s="11" t="str">
        <f>IFERROR(INDEX('Raw Data'!$R$2:$R$50000,MATCH(777,'Raw Data'!$W$2:$W$50000,0)),"")</f>
        <v/>
      </c>
      <c r="C778" s="11" t="str">
        <f t="shared" si="12"/>
        <v/>
      </c>
      <c r="D778" s="11" t="str">
        <f>IF($B778="","",COUNTIFS('Raw Data'!$R$2:$R$50000,$B778))</f>
        <v/>
      </c>
      <c r="E778" s="11" t="str">
        <f>IF($B778="","",SUMIFS('Raw Data'!$I$2:$I$50000,'Raw Data'!$R$2:$R$50000,$B778))</f>
        <v/>
      </c>
      <c r="F778" s="11" t="str">
        <f>IF($B778="","",RANK($E778,$E$2:$E$1501)+COUNTIF($E$2:E778,$E778)-1)</f>
        <v/>
      </c>
      <c r="G778" s="11" t="str">
        <f>IF($B778="","",RANK($D778,$D$2:$D$1501)+COUNTIF($D$2:D778,$D778)-1)</f>
        <v/>
      </c>
    </row>
    <row r="779" spans="1:7">
      <c r="A779" s="11">
        <v>778</v>
      </c>
      <c r="B779" s="11" t="str">
        <f>IFERROR(INDEX('Raw Data'!$R$2:$R$50000,MATCH(778,'Raw Data'!$W$2:$W$50000,0)),"")</f>
        <v/>
      </c>
      <c r="C779" s="11" t="str">
        <f t="shared" si="12"/>
        <v/>
      </c>
      <c r="D779" s="11" t="str">
        <f>IF($B779="","",COUNTIFS('Raw Data'!$R$2:$R$50000,$B779))</f>
        <v/>
      </c>
      <c r="E779" s="11" t="str">
        <f>IF($B779="","",SUMIFS('Raw Data'!$I$2:$I$50000,'Raw Data'!$R$2:$R$50000,$B779))</f>
        <v/>
      </c>
      <c r="F779" s="11" t="str">
        <f>IF($B779="","",RANK($E779,$E$2:$E$1501)+COUNTIF($E$2:E779,$E779)-1)</f>
        <v/>
      </c>
      <c r="G779" s="11" t="str">
        <f>IF($B779="","",RANK($D779,$D$2:$D$1501)+COUNTIF($D$2:D779,$D779)-1)</f>
        <v/>
      </c>
    </row>
    <row r="780" spans="1:7">
      <c r="A780" s="11">
        <v>779</v>
      </c>
      <c r="B780" s="11" t="str">
        <f>IFERROR(INDEX('Raw Data'!$R$2:$R$50000,MATCH(779,'Raw Data'!$W$2:$W$50000,0)),"")</f>
        <v/>
      </c>
      <c r="C780" s="11" t="str">
        <f t="shared" si="12"/>
        <v/>
      </c>
      <c r="D780" s="11" t="str">
        <f>IF($B780="","",COUNTIFS('Raw Data'!$R$2:$R$50000,$B780))</f>
        <v/>
      </c>
      <c r="E780" s="11" t="str">
        <f>IF($B780="","",SUMIFS('Raw Data'!$I$2:$I$50000,'Raw Data'!$R$2:$R$50000,$B780))</f>
        <v/>
      </c>
      <c r="F780" s="11" t="str">
        <f>IF($B780="","",RANK($E780,$E$2:$E$1501)+COUNTIF($E$2:E780,$E780)-1)</f>
        <v/>
      </c>
      <c r="G780" s="11" t="str">
        <f>IF($B780="","",RANK($D780,$D$2:$D$1501)+COUNTIF($D$2:D780,$D780)-1)</f>
        <v/>
      </c>
    </row>
    <row r="781" spans="1:7">
      <c r="A781" s="11">
        <v>780</v>
      </c>
      <c r="B781" s="11" t="str">
        <f>IFERROR(INDEX('Raw Data'!$R$2:$R$50000,MATCH(780,'Raw Data'!$W$2:$W$50000,0)),"")</f>
        <v/>
      </c>
      <c r="C781" s="11" t="str">
        <f t="shared" si="12"/>
        <v/>
      </c>
      <c r="D781" s="11" t="str">
        <f>IF($B781="","",COUNTIFS('Raw Data'!$R$2:$R$50000,$B781))</f>
        <v/>
      </c>
      <c r="E781" s="11" t="str">
        <f>IF($B781="","",SUMIFS('Raw Data'!$I$2:$I$50000,'Raw Data'!$R$2:$R$50000,$B781))</f>
        <v/>
      </c>
      <c r="F781" s="11" t="str">
        <f>IF($B781="","",RANK($E781,$E$2:$E$1501)+COUNTIF($E$2:E781,$E781)-1)</f>
        <v/>
      </c>
      <c r="G781" s="11" t="str">
        <f>IF($B781="","",RANK($D781,$D$2:$D$1501)+COUNTIF($D$2:D781,$D781)-1)</f>
        <v/>
      </c>
    </row>
    <row r="782" spans="1:7">
      <c r="A782" s="11">
        <v>781</v>
      </c>
      <c r="B782" s="11" t="str">
        <f>IFERROR(INDEX('Raw Data'!$R$2:$R$50000,MATCH(781,'Raw Data'!$W$2:$W$50000,0)),"")</f>
        <v/>
      </c>
      <c r="C782" s="11" t="str">
        <f t="shared" si="12"/>
        <v/>
      </c>
      <c r="D782" s="11" t="str">
        <f>IF($B782="","",COUNTIFS('Raw Data'!$R$2:$R$50000,$B782))</f>
        <v/>
      </c>
      <c r="E782" s="11" t="str">
        <f>IF($B782="","",SUMIFS('Raw Data'!$I$2:$I$50000,'Raw Data'!$R$2:$R$50000,$B782))</f>
        <v/>
      </c>
      <c r="F782" s="11" t="str">
        <f>IF($B782="","",RANK($E782,$E$2:$E$1501)+COUNTIF($E$2:E782,$E782)-1)</f>
        <v/>
      </c>
      <c r="G782" s="11" t="str">
        <f>IF($B782="","",RANK($D782,$D$2:$D$1501)+COUNTIF($D$2:D782,$D782)-1)</f>
        <v/>
      </c>
    </row>
    <row r="783" spans="1:7">
      <c r="A783" s="11">
        <v>782</v>
      </c>
      <c r="B783" s="11" t="str">
        <f>IFERROR(INDEX('Raw Data'!$R$2:$R$50000,MATCH(782,'Raw Data'!$W$2:$W$50000,0)),"")</f>
        <v/>
      </c>
      <c r="C783" s="11" t="str">
        <f t="shared" si="12"/>
        <v/>
      </c>
      <c r="D783" s="11" t="str">
        <f>IF($B783="","",COUNTIFS('Raw Data'!$R$2:$R$50000,$B783))</f>
        <v/>
      </c>
      <c r="E783" s="11" t="str">
        <f>IF($B783="","",SUMIFS('Raw Data'!$I$2:$I$50000,'Raw Data'!$R$2:$R$50000,$B783))</f>
        <v/>
      </c>
      <c r="F783" s="11" t="str">
        <f>IF($B783="","",RANK($E783,$E$2:$E$1501)+COUNTIF($E$2:E783,$E783)-1)</f>
        <v/>
      </c>
      <c r="G783" s="11" t="str">
        <f>IF($B783="","",RANK($D783,$D$2:$D$1501)+COUNTIF($D$2:D783,$D783)-1)</f>
        <v/>
      </c>
    </row>
    <row r="784" spans="1:7">
      <c r="A784" s="11">
        <v>783</v>
      </c>
      <c r="B784" s="11" t="str">
        <f>IFERROR(INDEX('Raw Data'!$R$2:$R$50000,MATCH(783,'Raw Data'!$W$2:$W$50000,0)),"")</f>
        <v/>
      </c>
      <c r="C784" s="11" t="str">
        <f t="shared" si="12"/>
        <v/>
      </c>
      <c r="D784" s="11" t="str">
        <f>IF($B784="","",COUNTIFS('Raw Data'!$R$2:$R$50000,$B784))</f>
        <v/>
      </c>
      <c r="E784" s="11" t="str">
        <f>IF($B784="","",SUMIFS('Raw Data'!$I$2:$I$50000,'Raw Data'!$R$2:$R$50000,$B784))</f>
        <v/>
      </c>
      <c r="F784" s="11" t="str">
        <f>IF($B784="","",RANK($E784,$E$2:$E$1501)+COUNTIF($E$2:E784,$E784)-1)</f>
        <v/>
      </c>
      <c r="G784" s="11" t="str">
        <f>IF($B784="","",RANK($D784,$D$2:$D$1501)+COUNTIF($D$2:D784,$D784)-1)</f>
        <v/>
      </c>
    </row>
    <row r="785" spans="1:7">
      <c r="A785" s="11">
        <v>784</v>
      </c>
      <c r="B785" s="11" t="str">
        <f>IFERROR(INDEX('Raw Data'!$R$2:$R$50000,MATCH(784,'Raw Data'!$W$2:$W$50000,0)),"")</f>
        <v/>
      </c>
      <c r="C785" s="11" t="str">
        <f t="shared" si="12"/>
        <v/>
      </c>
      <c r="D785" s="11" t="str">
        <f>IF($B785="","",COUNTIFS('Raw Data'!$R$2:$R$50000,$B785))</f>
        <v/>
      </c>
      <c r="E785" s="11" t="str">
        <f>IF($B785="","",SUMIFS('Raw Data'!$I$2:$I$50000,'Raw Data'!$R$2:$R$50000,$B785))</f>
        <v/>
      </c>
      <c r="F785" s="11" t="str">
        <f>IF($B785="","",RANK($E785,$E$2:$E$1501)+COUNTIF($E$2:E785,$E785)-1)</f>
        <v/>
      </c>
      <c r="G785" s="11" t="str">
        <f>IF($B785="","",RANK($D785,$D$2:$D$1501)+COUNTIF($D$2:D785,$D785)-1)</f>
        <v/>
      </c>
    </row>
    <row r="786" spans="1:7">
      <c r="A786" s="11">
        <v>785</v>
      </c>
      <c r="B786" s="11" t="str">
        <f>IFERROR(INDEX('Raw Data'!$R$2:$R$50000,MATCH(785,'Raw Data'!$W$2:$W$50000,0)),"")</f>
        <v/>
      </c>
      <c r="C786" s="11" t="str">
        <f t="shared" si="12"/>
        <v/>
      </c>
      <c r="D786" s="11" t="str">
        <f>IF($B786="","",COUNTIFS('Raw Data'!$R$2:$R$50000,$B786))</f>
        <v/>
      </c>
      <c r="E786" s="11" t="str">
        <f>IF($B786="","",SUMIFS('Raw Data'!$I$2:$I$50000,'Raw Data'!$R$2:$R$50000,$B786))</f>
        <v/>
      </c>
      <c r="F786" s="11" t="str">
        <f>IF($B786="","",RANK($E786,$E$2:$E$1501)+COUNTIF($E$2:E786,$E786)-1)</f>
        <v/>
      </c>
      <c r="G786" s="11" t="str">
        <f>IF($B786="","",RANK($D786,$D$2:$D$1501)+COUNTIF($D$2:D786,$D786)-1)</f>
        <v/>
      </c>
    </row>
    <row r="787" spans="1:7">
      <c r="A787" s="11">
        <v>786</v>
      </c>
      <c r="B787" s="11" t="str">
        <f>IFERROR(INDEX('Raw Data'!$R$2:$R$50000,MATCH(786,'Raw Data'!$W$2:$W$50000,0)),"")</f>
        <v/>
      </c>
      <c r="C787" s="11" t="str">
        <f t="shared" si="12"/>
        <v/>
      </c>
      <c r="D787" s="11" t="str">
        <f>IF($B787="","",COUNTIFS('Raw Data'!$R$2:$R$50000,$B787))</f>
        <v/>
      </c>
      <c r="E787" s="11" t="str">
        <f>IF($B787="","",SUMIFS('Raw Data'!$I$2:$I$50000,'Raw Data'!$R$2:$R$50000,$B787))</f>
        <v/>
      </c>
      <c r="F787" s="11" t="str">
        <f>IF($B787="","",RANK($E787,$E$2:$E$1501)+COUNTIF($E$2:E787,$E787)-1)</f>
        <v/>
      </c>
      <c r="G787" s="11" t="str">
        <f>IF($B787="","",RANK($D787,$D$2:$D$1501)+COUNTIF($D$2:D787,$D787)-1)</f>
        <v/>
      </c>
    </row>
    <row r="788" spans="1:7">
      <c r="A788" s="11">
        <v>787</v>
      </c>
      <c r="B788" s="11" t="str">
        <f>IFERROR(INDEX('Raw Data'!$R$2:$R$50000,MATCH(787,'Raw Data'!$W$2:$W$50000,0)),"")</f>
        <v/>
      </c>
      <c r="C788" s="11" t="str">
        <f t="shared" si="12"/>
        <v/>
      </c>
      <c r="D788" s="11" t="str">
        <f>IF($B788="","",COUNTIFS('Raw Data'!$R$2:$R$50000,$B788))</f>
        <v/>
      </c>
      <c r="E788" s="11" t="str">
        <f>IF($B788="","",SUMIFS('Raw Data'!$I$2:$I$50000,'Raw Data'!$R$2:$R$50000,$B788))</f>
        <v/>
      </c>
      <c r="F788" s="11" t="str">
        <f>IF($B788="","",RANK($E788,$E$2:$E$1501)+COUNTIF($E$2:E788,$E788)-1)</f>
        <v/>
      </c>
      <c r="G788" s="11" t="str">
        <f>IF($B788="","",RANK($D788,$D$2:$D$1501)+COUNTIF($D$2:D788,$D788)-1)</f>
        <v/>
      </c>
    </row>
    <row r="789" spans="1:7">
      <c r="A789" s="11">
        <v>788</v>
      </c>
      <c r="B789" s="11" t="str">
        <f>IFERROR(INDEX('Raw Data'!$R$2:$R$50000,MATCH(788,'Raw Data'!$W$2:$W$50000,0)),"")</f>
        <v/>
      </c>
      <c r="C789" s="11" t="str">
        <f t="shared" si="12"/>
        <v/>
      </c>
      <c r="D789" s="11" t="str">
        <f>IF($B789="","",COUNTIFS('Raw Data'!$R$2:$R$50000,$B789))</f>
        <v/>
      </c>
      <c r="E789" s="11" t="str">
        <f>IF($B789="","",SUMIFS('Raw Data'!$I$2:$I$50000,'Raw Data'!$R$2:$R$50000,$B789))</f>
        <v/>
      </c>
      <c r="F789" s="11" t="str">
        <f>IF($B789="","",RANK($E789,$E$2:$E$1501)+COUNTIF($E$2:E789,$E789)-1)</f>
        <v/>
      </c>
      <c r="G789" s="11" t="str">
        <f>IF($B789="","",RANK($D789,$D$2:$D$1501)+COUNTIF($D$2:D789,$D789)-1)</f>
        <v/>
      </c>
    </row>
    <row r="790" spans="1:7">
      <c r="A790" s="11">
        <v>789</v>
      </c>
      <c r="B790" s="11" t="str">
        <f>IFERROR(INDEX('Raw Data'!$R$2:$R$50000,MATCH(789,'Raw Data'!$W$2:$W$50000,0)),"")</f>
        <v/>
      </c>
      <c r="C790" s="11" t="str">
        <f t="shared" si="12"/>
        <v/>
      </c>
      <c r="D790" s="11" t="str">
        <f>IF($B790="","",COUNTIFS('Raw Data'!$R$2:$R$50000,$B790))</f>
        <v/>
      </c>
      <c r="E790" s="11" t="str">
        <f>IF($B790="","",SUMIFS('Raw Data'!$I$2:$I$50000,'Raw Data'!$R$2:$R$50000,$B790))</f>
        <v/>
      </c>
      <c r="F790" s="11" t="str">
        <f>IF($B790="","",RANK($E790,$E$2:$E$1501)+COUNTIF($E$2:E790,$E790)-1)</f>
        <v/>
      </c>
      <c r="G790" s="11" t="str">
        <f>IF($B790="","",RANK($D790,$D$2:$D$1501)+COUNTIF($D$2:D790,$D790)-1)</f>
        <v/>
      </c>
    </row>
    <row r="791" spans="1:7">
      <c r="A791" s="11">
        <v>790</v>
      </c>
      <c r="B791" s="11" t="str">
        <f>IFERROR(INDEX('Raw Data'!$R$2:$R$50000,MATCH(790,'Raw Data'!$W$2:$W$50000,0)),"")</f>
        <v/>
      </c>
      <c r="C791" s="11" t="str">
        <f t="shared" si="12"/>
        <v/>
      </c>
      <c r="D791" s="11" t="str">
        <f>IF($B791="","",COUNTIFS('Raw Data'!$R$2:$R$50000,$B791))</f>
        <v/>
      </c>
      <c r="E791" s="11" t="str">
        <f>IF($B791="","",SUMIFS('Raw Data'!$I$2:$I$50000,'Raw Data'!$R$2:$R$50000,$B791))</f>
        <v/>
      </c>
      <c r="F791" s="11" t="str">
        <f>IF($B791="","",RANK($E791,$E$2:$E$1501)+COUNTIF($E$2:E791,$E791)-1)</f>
        <v/>
      </c>
      <c r="G791" s="11" t="str">
        <f>IF($B791="","",RANK($D791,$D$2:$D$1501)+COUNTIF($D$2:D791,$D791)-1)</f>
        <v/>
      </c>
    </row>
    <row r="792" spans="1:7">
      <c r="A792" s="11">
        <v>791</v>
      </c>
      <c r="B792" s="11" t="str">
        <f>IFERROR(INDEX('Raw Data'!$R$2:$R$50000,MATCH(791,'Raw Data'!$W$2:$W$50000,0)),"")</f>
        <v/>
      </c>
      <c r="C792" s="11" t="str">
        <f t="shared" si="12"/>
        <v/>
      </c>
      <c r="D792" s="11" t="str">
        <f>IF($B792="","",COUNTIFS('Raw Data'!$R$2:$R$50000,$B792))</f>
        <v/>
      </c>
      <c r="E792" s="11" t="str">
        <f>IF($B792="","",SUMIFS('Raw Data'!$I$2:$I$50000,'Raw Data'!$R$2:$R$50000,$B792))</f>
        <v/>
      </c>
      <c r="F792" s="11" t="str">
        <f>IF($B792="","",RANK($E792,$E$2:$E$1501)+COUNTIF($E$2:E792,$E792)-1)</f>
        <v/>
      </c>
      <c r="G792" s="11" t="str">
        <f>IF($B792="","",RANK($D792,$D$2:$D$1501)+COUNTIF($D$2:D792,$D792)-1)</f>
        <v/>
      </c>
    </row>
    <row r="793" spans="1:7">
      <c r="A793" s="11">
        <v>792</v>
      </c>
      <c r="B793" s="11" t="str">
        <f>IFERROR(INDEX('Raw Data'!$R$2:$R$50000,MATCH(792,'Raw Data'!$W$2:$W$50000,0)),"")</f>
        <v/>
      </c>
      <c r="C793" s="11" t="str">
        <f t="shared" si="12"/>
        <v/>
      </c>
      <c r="D793" s="11" t="str">
        <f>IF($B793="","",COUNTIFS('Raw Data'!$R$2:$R$50000,$B793))</f>
        <v/>
      </c>
      <c r="E793" s="11" t="str">
        <f>IF($B793="","",SUMIFS('Raw Data'!$I$2:$I$50000,'Raw Data'!$R$2:$R$50000,$B793))</f>
        <v/>
      </c>
      <c r="F793" s="11" t="str">
        <f>IF($B793="","",RANK($E793,$E$2:$E$1501)+COUNTIF($E$2:E793,$E793)-1)</f>
        <v/>
      </c>
      <c r="G793" s="11" t="str">
        <f>IF($B793="","",RANK($D793,$D$2:$D$1501)+COUNTIF($D$2:D793,$D793)-1)</f>
        <v/>
      </c>
    </row>
    <row r="794" spans="1:7">
      <c r="A794" s="11">
        <v>793</v>
      </c>
      <c r="B794" s="11" t="str">
        <f>IFERROR(INDEX('Raw Data'!$R$2:$R$50000,MATCH(793,'Raw Data'!$W$2:$W$50000,0)),"")</f>
        <v/>
      </c>
      <c r="C794" s="11" t="str">
        <f t="shared" si="12"/>
        <v/>
      </c>
      <c r="D794" s="11" t="str">
        <f>IF($B794="","",COUNTIFS('Raw Data'!$R$2:$R$50000,$B794))</f>
        <v/>
      </c>
      <c r="E794" s="11" t="str">
        <f>IF($B794="","",SUMIFS('Raw Data'!$I$2:$I$50000,'Raw Data'!$R$2:$R$50000,$B794))</f>
        <v/>
      </c>
      <c r="F794" s="11" t="str">
        <f>IF($B794="","",RANK($E794,$E$2:$E$1501)+COUNTIF($E$2:E794,$E794)-1)</f>
        <v/>
      </c>
      <c r="G794" s="11" t="str">
        <f>IF($B794="","",RANK($D794,$D$2:$D$1501)+COUNTIF($D$2:D794,$D794)-1)</f>
        <v/>
      </c>
    </row>
    <row r="795" spans="1:7">
      <c r="A795" s="11">
        <v>794</v>
      </c>
      <c r="B795" s="11" t="str">
        <f>IFERROR(INDEX('Raw Data'!$R$2:$R$50000,MATCH(794,'Raw Data'!$W$2:$W$50000,0)),"")</f>
        <v/>
      </c>
      <c r="C795" s="11" t="str">
        <f t="shared" si="12"/>
        <v/>
      </c>
      <c r="D795" s="11" t="str">
        <f>IF($B795="","",COUNTIFS('Raw Data'!$R$2:$R$50000,$B795))</f>
        <v/>
      </c>
      <c r="E795" s="11" t="str">
        <f>IF($B795="","",SUMIFS('Raw Data'!$I$2:$I$50000,'Raw Data'!$R$2:$R$50000,$B795))</f>
        <v/>
      </c>
      <c r="F795" s="11" t="str">
        <f>IF($B795="","",RANK($E795,$E$2:$E$1501)+COUNTIF($E$2:E795,$E795)-1)</f>
        <v/>
      </c>
      <c r="G795" s="11" t="str">
        <f>IF($B795="","",RANK($D795,$D$2:$D$1501)+COUNTIF($D$2:D795,$D795)-1)</f>
        <v/>
      </c>
    </row>
    <row r="796" spans="1:7">
      <c r="A796" s="11">
        <v>795</v>
      </c>
      <c r="B796" s="11" t="str">
        <f>IFERROR(INDEX('Raw Data'!$R$2:$R$50000,MATCH(795,'Raw Data'!$W$2:$W$50000,0)),"")</f>
        <v/>
      </c>
      <c r="C796" s="11" t="str">
        <f t="shared" si="12"/>
        <v/>
      </c>
      <c r="D796" s="11" t="str">
        <f>IF($B796="","",COUNTIFS('Raw Data'!$R$2:$R$50000,$B796))</f>
        <v/>
      </c>
      <c r="E796" s="11" t="str">
        <f>IF($B796="","",SUMIFS('Raw Data'!$I$2:$I$50000,'Raw Data'!$R$2:$R$50000,$B796))</f>
        <v/>
      </c>
      <c r="F796" s="11" t="str">
        <f>IF($B796="","",RANK($E796,$E$2:$E$1501)+COUNTIF($E$2:E796,$E796)-1)</f>
        <v/>
      </c>
      <c r="G796" s="11" t="str">
        <f>IF($B796="","",RANK($D796,$D$2:$D$1501)+COUNTIF($D$2:D796,$D796)-1)</f>
        <v/>
      </c>
    </row>
    <row r="797" spans="1:7">
      <c r="A797" s="11">
        <v>796</v>
      </c>
      <c r="B797" s="11" t="str">
        <f>IFERROR(INDEX('Raw Data'!$R$2:$R$50000,MATCH(796,'Raw Data'!$W$2:$W$50000,0)),"")</f>
        <v/>
      </c>
      <c r="C797" s="11" t="str">
        <f t="shared" si="12"/>
        <v/>
      </c>
      <c r="D797" s="11" t="str">
        <f>IF($B797="","",COUNTIFS('Raw Data'!$R$2:$R$50000,$B797))</f>
        <v/>
      </c>
      <c r="E797" s="11" t="str">
        <f>IF($B797="","",SUMIFS('Raw Data'!$I$2:$I$50000,'Raw Data'!$R$2:$R$50000,$B797))</f>
        <v/>
      </c>
      <c r="F797" s="11" t="str">
        <f>IF($B797="","",RANK($E797,$E$2:$E$1501)+COUNTIF($E$2:E797,$E797)-1)</f>
        <v/>
      </c>
      <c r="G797" s="11" t="str">
        <f>IF($B797="","",RANK($D797,$D$2:$D$1501)+COUNTIF($D$2:D797,$D797)-1)</f>
        <v/>
      </c>
    </row>
    <row r="798" spans="1:7">
      <c r="A798" s="11">
        <v>797</v>
      </c>
      <c r="B798" s="11" t="str">
        <f>IFERROR(INDEX('Raw Data'!$R$2:$R$50000,MATCH(797,'Raw Data'!$W$2:$W$50000,0)),"")</f>
        <v/>
      </c>
      <c r="C798" s="11" t="str">
        <f t="shared" si="12"/>
        <v/>
      </c>
      <c r="D798" s="11" t="str">
        <f>IF($B798="","",COUNTIFS('Raw Data'!$R$2:$R$50000,$B798))</f>
        <v/>
      </c>
      <c r="E798" s="11" t="str">
        <f>IF($B798="","",SUMIFS('Raw Data'!$I$2:$I$50000,'Raw Data'!$R$2:$R$50000,$B798))</f>
        <v/>
      </c>
      <c r="F798" s="11" t="str">
        <f>IF($B798="","",RANK($E798,$E$2:$E$1501)+COUNTIF($E$2:E798,$E798)-1)</f>
        <v/>
      </c>
      <c r="G798" s="11" t="str">
        <f>IF($B798="","",RANK($D798,$D$2:$D$1501)+COUNTIF($D$2:D798,$D798)-1)</f>
        <v/>
      </c>
    </row>
    <row r="799" spans="1:7">
      <c r="A799" s="11">
        <v>798</v>
      </c>
      <c r="B799" s="11" t="str">
        <f>IFERROR(INDEX('Raw Data'!$R$2:$R$50000,MATCH(798,'Raw Data'!$W$2:$W$50000,0)),"")</f>
        <v/>
      </c>
      <c r="C799" s="11" t="str">
        <f t="shared" si="12"/>
        <v/>
      </c>
      <c r="D799" s="11" t="str">
        <f>IF($B799="","",COUNTIFS('Raw Data'!$R$2:$R$50000,$B799))</f>
        <v/>
      </c>
      <c r="E799" s="11" t="str">
        <f>IF($B799="","",SUMIFS('Raw Data'!$I$2:$I$50000,'Raw Data'!$R$2:$R$50000,$B799))</f>
        <v/>
      </c>
      <c r="F799" s="11" t="str">
        <f>IF($B799="","",RANK($E799,$E$2:$E$1501)+COUNTIF($E$2:E799,$E799)-1)</f>
        <v/>
      </c>
      <c r="G799" s="11" t="str">
        <f>IF($B799="","",RANK($D799,$D$2:$D$1501)+COUNTIF($D$2:D799,$D799)-1)</f>
        <v/>
      </c>
    </row>
    <row r="800" spans="1:7">
      <c r="A800" s="11">
        <v>799</v>
      </c>
      <c r="B800" s="11" t="str">
        <f>IFERROR(INDEX('Raw Data'!$R$2:$R$50000,MATCH(799,'Raw Data'!$W$2:$W$50000,0)),"")</f>
        <v/>
      </c>
      <c r="C800" s="11" t="str">
        <f t="shared" si="12"/>
        <v/>
      </c>
      <c r="D800" s="11" t="str">
        <f>IF($B800="","",COUNTIFS('Raw Data'!$R$2:$R$50000,$B800))</f>
        <v/>
      </c>
      <c r="E800" s="11" t="str">
        <f>IF($B800="","",SUMIFS('Raw Data'!$I$2:$I$50000,'Raw Data'!$R$2:$R$50000,$B800))</f>
        <v/>
      </c>
      <c r="F800" s="11" t="str">
        <f>IF($B800="","",RANK($E800,$E$2:$E$1501)+COUNTIF($E$2:E800,$E800)-1)</f>
        <v/>
      </c>
      <c r="G800" s="11" t="str">
        <f>IF($B800="","",RANK($D800,$D$2:$D$1501)+COUNTIF($D$2:D800,$D800)-1)</f>
        <v/>
      </c>
    </row>
    <row r="801" spans="1:7">
      <c r="A801" s="11">
        <v>800</v>
      </c>
      <c r="B801" s="11" t="str">
        <f>IFERROR(INDEX('Raw Data'!$R$2:$R$50000,MATCH(800,'Raw Data'!$W$2:$W$50000,0)),"")</f>
        <v/>
      </c>
      <c r="C801" s="11" t="str">
        <f t="shared" si="12"/>
        <v/>
      </c>
      <c r="D801" s="11" t="str">
        <f>IF($B801="","",COUNTIFS('Raw Data'!$R$2:$R$50000,$B801))</f>
        <v/>
      </c>
      <c r="E801" s="11" t="str">
        <f>IF($B801="","",SUMIFS('Raw Data'!$I$2:$I$50000,'Raw Data'!$R$2:$R$50000,$B801))</f>
        <v/>
      </c>
      <c r="F801" s="11" t="str">
        <f>IF($B801="","",RANK($E801,$E$2:$E$1501)+COUNTIF($E$2:E801,$E801)-1)</f>
        <v/>
      </c>
      <c r="G801" s="11" t="str">
        <f>IF($B801="","",RANK($D801,$D$2:$D$1501)+COUNTIF($D$2:D801,$D801)-1)</f>
        <v/>
      </c>
    </row>
    <row r="802" spans="1:7">
      <c r="A802" s="11">
        <v>801</v>
      </c>
      <c r="B802" s="11" t="str">
        <f>IFERROR(INDEX('Raw Data'!$R$2:$R$50000,MATCH(801,'Raw Data'!$W$2:$W$50000,0)),"")</f>
        <v/>
      </c>
      <c r="C802" s="11" t="str">
        <f t="shared" si="12"/>
        <v/>
      </c>
      <c r="D802" s="11" t="str">
        <f>IF($B802="","",COUNTIFS('Raw Data'!$R$2:$R$50000,$B802))</f>
        <v/>
      </c>
      <c r="E802" s="11" t="str">
        <f>IF($B802="","",SUMIFS('Raw Data'!$I$2:$I$50000,'Raw Data'!$R$2:$R$50000,$B802))</f>
        <v/>
      </c>
      <c r="F802" s="11" t="str">
        <f>IF($B802="","",RANK($E802,$E$2:$E$1501)+COUNTIF($E$2:E802,$E802)-1)</f>
        <v/>
      </c>
      <c r="G802" s="11" t="str">
        <f>IF($B802="","",RANK($D802,$D$2:$D$1501)+COUNTIF($D$2:D802,$D802)-1)</f>
        <v/>
      </c>
    </row>
    <row r="803" spans="1:7">
      <c r="A803" s="11">
        <v>802</v>
      </c>
      <c r="B803" s="11" t="str">
        <f>IFERROR(INDEX('Raw Data'!$R$2:$R$50000,MATCH(802,'Raw Data'!$W$2:$W$50000,0)),"")</f>
        <v/>
      </c>
      <c r="C803" s="11" t="str">
        <f t="shared" si="12"/>
        <v/>
      </c>
      <c r="D803" s="11" t="str">
        <f>IF($B803="","",COUNTIFS('Raw Data'!$R$2:$R$50000,$B803))</f>
        <v/>
      </c>
      <c r="E803" s="11" t="str">
        <f>IF($B803="","",SUMIFS('Raw Data'!$I$2:$I$50000,'Raw Data'!$R$2:$R$50000,$B803))</f>
        <v/>
      </c>
      <c r="F803" s="11" t="str">
        <f>IF($B803="","",RANK($E803,$E$2:$E$1501)+COUNTIF($E$2:E803,$E803)-1)</f>
        <v/>
      </c>
      <c r="G803" s="11" t="str">
        <f>IF($B803="","",RANK($D803,$D$2:$D$1501)+COUNTIF($D$2:D803,$D803)-1)</f>
        <v/>
      </c>
    </row>
    <row r="804" spans="1:7">
      <c r="A804" s="11">
        <v>803</v>
      </c>
      <c r="B804" s="11" t="str">
        <f>IFERROR(INDEX('Raw Data'!$R$2:$R$50000,MATCH(803,'Raw Data'!$W$2:$W$50000,0)),"")</f>
        <v/>
      </c>
      <c r="C804" s="11" t="str">
        <f t="shared" si="12"/>
        <v/>
      </c>
      <c r="D804" s="11" t="str">
        <f>IF($B804="","",COUNTIFS('Raw Data'!$R$2:$R$50000,$B804))</f>
        <v/>
      </c>
      <c r="E804" s="11" t="str">
        <f>IF($B804="","",SUMIFS('Raw Data'!$I$2:$I$50000,'Raw Data'!$R$2:$R$50000,$B804))</f>
        <v/>
      </c>
      <c r="F804" s="11" t="str">
        <f>IF($B804="","",RANK($E804,$E$2:$E$1501)+COUNTIF($E$2:E804,$E804)-1)</f>
        <v/>
      </c>
      <c r="G804" s="11" t="str">
        <f>IF($B804="","",RANK($D804,$D$2:$D$1501)+COUNTIF($D$2:D804,$D804)-1)</f>
        <v/>
      </c>
    </row>
    <row r="805" spans="1:7">
      <c r="A805" s="11">
        <v>804</v>
      </c>
      <c r="B805" s="11" t="str">
        <f>IFERROR(INDEX('Raw Data'!$R$2:$R$50000,MATCH(804,'Raw Data'!$W$2:$W$50000,0)),"")</f>
        <v/>
      </c>
      <c r="C805" s="11" t="str">
        <f t="shared" si="12"/>
        <v/>
      </c>
      <c r="D805" s="11" t="str">
        <f>IF($B805="","",COUNTIFS('Raw Data'!$R$2:$R$50000,$B805))</f>
        <v/>
      </c>
      <c r="E805" s="11" t="str">
        <f>IF($B805="","",SUMIFS('Raw Data'!$I$2:$I$50000,'Raw Data'!$R$2:$R$50000,$B805))</f>
        <v/>
      </c>
      <c r="F805" s="11" t="str">
        <f>IF($B805="","",RANK($E805,$E$2:$E$1501)+COUNTIF($E$2:E805,$E805)-1)</f>
        <v/>
      </c>
      <c r="G805" s="11" t="str">
        <f>IF($B805="","",RANK($D805,$D$2:$D$1501)+COUNTIF($D$2:D805,$D805)-1)</f>
        <v/>
      </c>
    </row>
    <row r="806" spans="1:7">
      <c r="A806" s="11">
        <v>805</v>
      </c>
      <c r="B806" s="11" t="str">
        <f>IFERROR(INDEX('Raw Data'!$R$2:$R$50000,MATCH(805,'Raw Data'!$W$2:$W$50000,0)),"")</f>
        <v/>
      </c>
      <c r="C806" s="11" t="str">
        <f t="shared" si="12"/>
        <v/>
      </c>
      <c r="D806" s="11" t="str">
        <f>IF($B806="","",COUNTIFS('Raw Data'!$R$2:$R$50000,$B806))</f>
        <v/>
      </c>
      <c r="E806" s="11" t="str">
        <f>IF($B806="","",SUMIFS('Raw Data'!$I$2:$I$50000,'Raw Data'!$R$2:$R$50000,$B806))</f>
        <v/>
      </c>
      <c r="F806" s="11" t="str">
        <f>IF($B806="","",RANK($E806,$E$2:$E$1501)+COUNTIF($E$2:E806,$E806)-1)</f>
        <v/>
      </c>
      <c r="G806" s="11" t="str">
        <f>IF($B806="","",RANK($D806,$D$2:$D$1501)+COUNTIF($D$2:D806,$D806)-1)</f>
        <v/>
      </c>
    </row>
    <row r="807" spans="1:7">
      <c r="A807" s="11">
        <v>806</v>
      </c>
      <c r="B807" s="11" t="str">
        <f>IFERROR(INDEX('Raw Data'!$R$2:$R$50000,MATCH(806,'Raw Data'!$W$2:$W$50000,0)),"")</f>
        <v/>
      </c>
      <c r="C807" s="11" t="str">
        <f t="shared" si="12"/>
        <v/>
      </c>
      <c r="D807" s="11" t="str">
        <f>IF($B807="","",COUNTIFS('Raw Data'!$R$2:$R$50000,$B807))</f>
        <v/>
      </c>
      <c r="E807" s="11" t="str">
        <f>IF($B807="","",SUMIFS('Raw Data'!$I$2:$I$50000,'Raw Data'!$R$2:$R$50000,$B807))</f>
        <v/>
      </c>
      <c r="F807" s="11" t="str">
        <f>IF($B807="","",RANK($E807,$E$2:$E$1501)+COUNTIF($E$2:E807,$E807)-1)</f>
        <v/>
      </c>
      <c r="G807" s="11" t="str">
        <f>IF($B807="","",RANK($D807,$D$2:$D$1501)+COUNTIF($D$2:D807,$D807)-1)</f>
        <v/>
      </c>
    </row>
    <row r="808" spans="1:7">
      <c r="A808" s="11">
        <v>807</v>
      </c>
      <c r="B808" s="11" t="str">
        <f>IFERROR(INDEX('Raw Data'!$R$2:$R$50000,MATCH(807,'Raw Data'!$W$2:$W$50000,0)),"")</f>
        <v/>
      </c>
      <c r="C808" s="11" t="str">
        <f t="shared" si="12"/>
        <v/>
      </c>
      <c r="D808" s="11" t="str">
        <f>IF($B808="","",COUNTIFS('Raw Data'!$R$2:$R$50000,$B808))</f>
        <v/>
      </c>
      <c r="E808" s="11" t="str">
        <f>IF($B808="","",SUMIFS('Raw Data'!$I$2:$I$50000,'Raw Data'!$R$2:$R$50000,$B808))</f>
        <v/>
      </c>
      <c r="F808" s="11" t="str">
        <f>IF($B808="","",RANK($E808,$E$2:$E$1501)+COUNTIF($E$2:E808,$E808)-1)</f>
        <v/>
      </c>
      <c r="G808" s="11" t="str">
        <f>IF($B808="","",RANK($D808,$D$2:$D$1501)+COUNTIF($D$2:D808,$D808)-1)</f>
        <v/>
      </c>
    </row>
    <row r="809" spans="1:7">
      <c r="A809" s="11">
        <v>808</v>
      </c>
      <c r="B809" s="11" t="str">
        <f>IFERROR(INDEX('Raw Data'!$R$2:$R$50000,MATCH(808,'Raw Data'!$W$2:$W$50000,0)),"")</f>
        <v/>
      </c>
      <c r="C809" s="11" t="str">
        <f t="shared" si="12"/>
        <v/>
      </c>
      <c r="D809" s="11" t="str">
        <f>IF($B809="","",COUNTIFS('Raw Data'!$R$2:$R$50000,$B809))</f>
        <v/>
      </c>
      <c r="E809" s="11" t="str">
        <f>IF($B809="","",SUMIFS('Raw Data'!$I$2:$I$50000,'Raw Data'!$R$2:$R$50000,$B809))</f>
        <v/>
      </c>
      <c r="F809" s="11" t="str">
        <f>IF($B809="","",RANK($E809,$E$2:$E$1501)+COUNTIF($E$2:E809,$E809)-1)</f>
        <v/>
      </c>
      <c r="G809" s="11" t="str">
        <f>IF($B809="","",RANK($D809,$D$2:$D$1501)+COUNTIF($D$2:D809,$D809)-1)</f>
        <v/>
      </c>
    </row>
    <row r="810" spans="1:7">
      <c r="A810" s="11">
        <v>809</v>
      </c>
      <c r="B810" s="11" t="str">
        <f>IFERROR(INDEX('Raw Data'!$R$2:$R$50000,MATCH(809,'Raw Data'!$W$2:$W$50000,0)),"")</f>
        <v/>
      </c>
      <c r="C810" s="11" t="str">
        <f t="shared" si="12"/>
        <v/>
      </c>
      <c r="D810" s="11" t="str">
        <f>IF($B810="","",COUNTIFS('Raw Data'!$R$2:$R$50000,$B810))</f>
        <v/>
      </c>
      <c r="E810" s="11" t="str">
        <f>IF($B810="","",SUMIFS('Raw Data'!$I$2:$I$50000,'Raw Data'!$R$2:$R$50000,$B810))</f>
        <v/>
      </c>
      <c r="F810" s="11" t="str">
        <f>IF($B810="","",RANK($E810,$E$2:$E$1501)+COUNTIF($E$2:E810,$E810)-1)</f>
        <v/>
      </c>
      <c r="G810" s="11" t="str">
        <f>IF($B810="","",RANK($D810,$D$2:$D$1501)+COUNTIF($D$2:D810,$D810)-1)</f>
        <v/>
      </c>
    </row>
    <row r="811" spans="1:7">
      <c r="A811" s="11">
        <v>810</v>
      </c>
      <c r="B811" s="11" t="str">
        <f>IFERROR(INDEX('Raw Data'!$R$2:$R$50000,MATCH(810,'Raw Data'!$W$2:$W$50000,0)),"")</f>
        <v/>
      </c>
      <c r="C811" s="11" t="str">
        <f t="shared" si="12"/>
        <v/>
      </c>
      <c r="D811" s="11" t="str">
        <f>IF($B811="","",COUNTIFS('Raw Data'!$R$2:$R$50000,$B811))</f>
        <v/>
      </c>
      <c r="E811" s="11" t="str">
        <f>IF($B811="","",SUMIFS('Raw Data'!$I$2:$I$50000,'Raw Data'!$R$2:$R$50000,$B811))</f>
        <v/>
      </c>
      <c r="F811" s="11" t="str">
        <f>IF($B811="","",RANK($E811,$E$2:$E$1501)+COUNTIF($E$2:E811,$E811)-1)</f>
        <v/>
      </c>
      <c r="G811" s="11" t="str">
        <f>IF($B811="","",RANK($D811,$D$2:$D$1501)+COUNTIF($D$2:D811,$D811)-1)</f>
        <v/>
      </c>
    </row>
    <row r="812" spans="1:7">
      <c r="A812" s="11">
        <v>811</v>
      </c>
      <c r="B812" s="11" t="str">
        <f>IFERROR(INDEX('Raw Data'!$R$2:$R$50000,MATCH(811,'Raw Data'!$W$2:$W$50000,0)),"")</f>
        <v/>
      </c>
      <c r="C812" s="11" t="str">
        <f t="shared" si="12"/>
        <v/>
      </c>
      <c r="D812" s="11" t="str">
        <f>IF($B812="","",COUNTIFS('Raw Data'!$R$2:$R$50000,$B812))</f>
        <v/>
      </c>
      <c r="E812" s="11" t="str">
        <f>IF($B812="","",SUMIFS('Raw Data'!$I$2:$I$50000,'Raw Data'!$R$2:$R$50000,$B812))</f>
        <v/>
      </c>
      <c r="F812" s="11" t="str">
        <f>IF($B812="","",RANK($E812,$E$2:$E$1501)+COUNTIF($E$2:E812,$E812)-1)</f>
        <v/>
      </c>
      <c r="G812" s="11" t="str">
        <f>IF($B812="","",RANK($D812,$D$2:$D$1501)+COUNTIF($D$2:D812,$D812)-1)</f>
        <v/>
      </c>
    </row>
    <row r="813" spans="1:7">
      <c r="A813" s="11">
        <v>812</v>
      </c>
      <c r="B813" s="11" t="str">
        <f>IFERROR(INDEX('Raw Data'!$R$2:$R$50000,MATCH(812,'Raw Data'!$W$2:$W$50000,0)),"")</f>
        <v/>
      </c>
      <c r="C813" s="11" t="str">
        <f t="shared" si="12"/>
        <v/>
      </c>
      <c r="D813" s="11" t="str">
        <f>IF($B813="","",COUNTIFS('Raw Data'!$R$2:$R$50000,$B813))</f>
        <v/>
      </c>
      <c r="E813" s="11" t="str">
        <f>IF($B813="","",SUMIFS('Raw Data'!$I$2:$I$50000,'Raw Data'!$R$2:$R$50000,$B813))</f>
        <v/>
      </c>
      <c r="F813" s="11" t="str">
        <f>IF($B813="","",RANK($E813,$E$2:$E$1501)+COUNTIF($E$2:E813,$E813)-1)</f>
        <v/>
      </c>
      <c r="G813" s="11" t="str">
        <f>IF($B813="","",RANK($D813,$D$2:$D$1501)+COUNTIF($D$2:D813,$D813)-1)</f>
        <v/>
      </c>
    </row>
    <row r="814" spans="1:7">
      <c r="A814" s="11">
        <v>813</v>
      </c>
      <c r="B814" s="11" t="str">
        <f>IFERROR(INDEX('Raw Data'!$R$2:$R$50000,MATCH(813,'Raw Data'!$W$2:$W$50000,0)),"")</f>
        <v/>
      </c>
      <c r="C814" s="11" t="str">
        <f t="shared" si="12"/>
        <v/>
      </c>
      <c r="D814" s="11" t="str">
        <f>IF($B814="","",COUNTIFS('Raw Data'!$R$2:$R$50000,$B814))</f>
        <v/>
      </c>
      <c r="E814" s="11" t="str">
        <f>IF($B814="","",SUMIFS('Raw Data'!$I$2:$I$50000,'Raw Data'!$R$2:$R$50000,$B814))</f>
        <v/>
      </c>
      <c r="F814" s="11" t="str">
        <f>IF($B814="","",RANK($E814,$E$2:$E$1501)+COUNTIF($E$2:E814,$E814)-1)</f>
        <v/>
      </c>
      <c r="G814" s="11" t="str">
        <f>IF($B814="","",RANK($D814,$D$2:$D$1501)+COUNTIF($D$2:D814,$D814)-1)</f>
        <v/>
      </c>
    </row>
    <row r="815" spans="1:7">
      <c r="A815" s="11">
        <v>814</v>
      </c>
      <c r="B815" s="11" t="str">
        <f>IFERROR(INDEX('Raw Data'!$R$2:$R$50000,MATCH(814,'Raw Data'!$W$2:$W$50000,0)),"")</f>
        <v/>
      </c>
      <c r="C815" s="11" t="str">
        <f t="shared" si="12"/>
        <v/>
      </c>
      <c r="D815" s="11" t="str">
        <f>IF($B815="","",COUNTIFS('Raw Data'!$R$2:$R$50000,$B815))</f>
        <v/>
      </c>
      <c r="E815" s="11" t="str">
        <f>IF($B815="","",SUMIFS('Raw Data'!$I$2:$I$50000,'Raw Data'!$R$2:$R$50000,$B815))</f>
        <v/>
      </c>
      <c r="F815" s="11" t="str">
        <f>IF($B815="","",RANK($E815,$E$2:$E$1501)+COUNTIF($E$2:E815,$E815)-1)</f>
        <v/>
      </c>
      <c r="G815" s="11" t="str">
        <f>IF($B815="","",RANK($D815,$D$2:$D$1501)+COUNTIF($D$2:D815,$D815)-1)</f>
        <v/>
      </c>
    </row>
    <row r="816" spans="1:7">
      <c r="A816" s="11">
        <v>815</v>
      </c>
      <c r="B816" s="11" t="str">
        <f>IFERROR(INDEX('Raw Data'!$R$2:$R$50000,MATCH(815,'Raw Data'!$W$2:$W$50000,0)),"")</f>
        <v/>
      </c>
      <c r="C816" s="11" t="str">
        <f t="shared" si="12"/>
        <v/>
      </c>
      <c r="D816" s="11" t="str">
        <f>IF($B816="","",COUNTIFS('Raw Data'!$R$2:$R$50000,$B816))</f>
        <v/>
      </c>
      <c r="E816" s="11" t="str">
        <f>IF($B816="","",SUMIFS('Raw Data'!$I$2:$I$50000,'Raw Data'!$R$2:$R$50000,$B816))</f>
        <v/>
      </c>
      <c r="F816" s="11" t="str">
        <f>IF($B816="","",RANK($E816,$E$2:$E$1501)+COUNTIF($E$2:E816,$E816)-1)</f>
        <v/>
      </c>
      <c r="G816" s="11" t="str">
        <f>IF($B816="","",RANK($D816,$D$2:$D$1501)+COUNTIF($D$2:D816,$D816)-1)</f>
        <v/>
      </c>
    </row>
    <row r="817" spans="1:7">
      <c r="A817" s="11">
        <v>816</v>
      </c>
      <c r="B817" s="11" t="str">
        <f>IFERROR(INDEX('Raw Data'!$R$2:$R$50000,MATCH(816,'Raw Data'!$W$2:$W$50000,0)),"")</f>
        <v/>
      </c>
      <c r="C817" s="11" t="str">
        <f t="shared" si="12"/>
        <v/>
      </c>
      <c r="D817" s="11" t="str">
        <f>IF($B817="","",COUNTIFS('Raw Data'!$R$2:$R$50000,$B817))</f>
        <v/>
      </c>
      <c r="E817" s="11" t="str">
        <f>IF($B817="","",SUMIFS('Raw Data'!$I$2:$I$50000,'Raw Data'!$R$2:$R$50000,$B817))</f>
        <v/>
      </c>
      <c r="F817" s="11" t="str">
        <f>IF($B817="","",RANK($E817,$E$2:$E$1501)+COUNTIF($E$2:E817,$E817)-1)</f>
        <v/>
      </c>
      <c r="G817" s="11" t="str">
        <f>IF($B817="","",RANK($D817,$D$2:$D$1501)+COUNTIF($D$2:D817,$D817)-1)</f>
        <v/>
      </c>
    </row>
    <row r="818" spans="1:7">
      <c r="A818" s="11">
        <v>817</v>
      </c>
      <c r="B818" s="11" t="str">
        <f>IFERROR(INDEX('Raw Data'!$R$2:$R$50000,MATCH(817,'Raw Data'!$W$2:$W$50000,0)),"")</f>
        <v/>
      </c>
      <c r="C818" s="11" t="str">
        <f t="shared" si="12"/>
        <v/>
      </c>
      <c r="D818" s="11" t="str">
        <f>IF($B818="","",COUNTIFS('Raw Data'!$R$2:$R$50000,$B818))</f>
        <v/>
      </c>
      <c r="E818" s="11" t="str">
        <f>IF($B818="","",SUMIFS('Raw Data'!$I$2:$I$50000,'Raw Data'!$R$2:$R$50000,$B818))</f>
        <v/>
      </c>
      <c r="F818" s="11" t="str">
        <f>IF($B818="","",RANK($E818,$E$2:$E$1501)+COUNTIF($E$2:E818,$E818)-1)</f>
        <v/>
      </c>
      <c r="G818" s="11" t="str">
        <f>IF($B818="","",RANK($D818,$D$2:$D$1501)+COUNTIF($D$2:D818,$D818)-1)</f>
        <v/>
      </c>
    </row>
    <row r="819" spans="1:7">
      <c r="A819" s="11">
        <v>818</v>
      </c>
      <c r="B819" s="11" t="str">
        <f>IFERROR(INDEX('Raw Data'!$R$2:$R$50000,MATCH(818,'Raw Data'!$W$2:$W$50000,0)),"")</f>
        <v/>
      </c>
      <c r="C819" s="11" t="str">
        <f t="shared" si="12"/>
        <v/>
      </c>
      <c r="D819" s="11" t="str">
        <f>IF($B819="","",COUNTIFS('Raw Data'!$R$2:$R$50000,$B819))</f>
        <v/>
      </c>
      <c r="E819" s="11" t="str">
        <f>IF($B819="","",SUMIFS('Raw Data'!$I$2:$I$50000,'Raw Data'!$R$2:$R$50000,$B819))</f>
        <v/>
      </c>
      <c r="F819" s="11" t="str">
        <f>IF($B819="","",RANK($E819,$E$2:$E$1501)+COUNTIF($E$2:E819,$E819)-1)</f>
        <v/>
      </c>
      <c r="G819" s="11" t="str">
        <f>IF($B819="","",RANK($D819,$D$2:$D$1501)+COUNTIF($D$2:D819,$D819)-1)</f>
        <v/>
      </c>
    </row>
    <row r="820" spans="1:7">
      <c r="A820" s="11">
        <v>819</v>
      </c>
      <c r="B820" s="11" t="str">
        <f>IFERROR(INDEX('Raw Data'!$R$2:$R$50000,MATCH(819,'Raw Data'!$W$2:$W$50000,0)),"")</f>
        <v/>
      </c>
      <c r="C820" s="11" t="str">
        <f t="shared" si="12"/>
        <v/>
      </c>
      <c r="D820" s="11" t="str">
        <f>IF($B820="","",COUNTIFS('Raw Data'!$R$2:$R$50000,$B820))</f>
        <v/>
      </c>
      <c r="E820" s="11" t="str">
        <f>IF($B820="","",SUMIFS('Raw Data'!$I$2:$I$50000,'Raw Data'!$R$2:$R$50000,$B820))</f>
        <v/>
      </c>
      <c r="F820" s="11" t="str">
        <f>IF($B820="","",RANK($E820,$E$2:$E$1501)+COUNTIF($E$2:E820,$E820)-1)</f>
        <v/>
      </c>
      <c r="G820" s="11" t="str">
        <f>IF($B820="","",RANK($D820,$D$2:$D$1501)+COUNTIF($D$2:D820,$D820)-1)</f>
        <v/>
      </c>
    </row>
    <row r="821" spans="1:7">
      <c r="A821" s="11">
        <v>820</v>
      </c>
      <c r="B821" s="11" t="str">
        <f>IFERROR(INDEX('Raw Data'!$R$2:$R$50000,MATCH(820,'Raw Data'!$W$2:$W$50000,0)),"")</f>
        <v/>
      </c>
      <c r="C821" s="11" t="str">
        <f t="shared" si="12"/>
        <v/>
      </c>
      <c r="D821" s="11" t="str">
        <f>IF($B821="","",COUNTIFS('Raw Data'!$R$2:$R$50000,$B821))</f>
        <v/>
      </c>
      <c r="E821" s="11" t="str">
        <f>IF($B821="","",SUMIFS('Raw Data'!$I$2:$I$50000,'Raw Data'!$R$2:$R$50000,$B821))</f>
        <v/>
      </c>
      <c r="F821" s="11" t="str">
        <f>IF($B821="","",RANK($E821,$E$2:$E$1501)+COUNTIF($E$2:E821,$E821)-1)</f>
        <v/>
      </c>
      <c r="G821" s="11" t="str">
        <f>IF($B821="","",RANK($D821,$D$2:$D$1501)+COUNTIF($D$2:D821,$D821)-1)</f>
        <v/>
      </c>
    </row>
    <row r="822" spans="1:7">
      <c r="A822" s="11">
        <v>821</v>
      </c>
      <c r="B822" s="11" t="str">
        <f>IFERROR(INDEX('Raw Data'!$R$2:$R$50000,MATCH(821,'Raw Data'!$W$2:$W$50000,0)),"")</f>
        <v/>
      </c>
      <c r="C822" s="11" t="str">
        <f t="shared" si="12"/>
        <v/>
      </c>
      <c r="D822" s="11" t="str">
        <f>IF($B822="","",COUNTIFS('Raw Data'!$R$2:$R$50000,$B822))</f>
        <v/>
      </c>
      <c r="E822" s="11" t="str">
        <f>IF($B822="","",SUMIFS('Raw Data'!$I$2:$I$50000,'Raw Data'!$R$2:$R$50000,$B822))</f>
        <v/>
      </c>
      <c r="F822" s="11" t="str">
        <f>IF($B822="","",RANK($E822,$E$2:$E$1501)+COUNTIF($E$2:E822,$E822)-1)</f>
        <v/>
      </c>
      <c r="G822" s="11" t="str">
        <f>IF($B822="","",RANK($D822,$D$2:$D$1501)+COUNTIF($D$2:D822,$D822)-1)</f>
        <v/>
      </c>
    </row>
    <row r="823" spans="1:7">
      <c r="A823" s="11">
        <v>822</v>
      </c>
      <c r="B823" s="11" t="str">
        <f>IFERROR(INDEX('Raw Data'!$R$2:$R$50000,MATCH(822,'Raw Data'!$W$2:$W$50000,0)),"")</f>
        <v/>
      </c>
      <c r="C823" s="11" t="str">
        <f t="shared" si="12"/>
        <v/>
      </c>
      <c r="D823" s="11" t="str">
        <f>IF($B823="","",COUNTIFS('Raw Data'!$R$2:$R$50000,$B823))</f>
        <v/>
      </c>
      <c r="E823" s="11" t="str">
        <f>IF($B823="","",SUMIFS('Raw Data'!$I$2:$I$50000,'Raw Data'!$R$2:$R$50000,$B823))</f>
        <v/>
      </c>
      <c r="F823" s="11" t="str">
        <f>IF($B823="","",RANK($E823,$E$2:$E$1501)+COUNTIF($E$2:E823,$E823)-1)</f>
        <v/>
      </c>
      <c r="G823" s="11" t="str">
        <f>IF($B823="","",RANK($D823,$D$2:$D$1501)+COUNTIF($D$2:D823,$D823)-1)</f>
        <v/>
      </c>
    </row>
    <row r="824" spans="1:7">
      <c r="A824" s="11">
        <v>823</v>
      </c>
      <c r="B824" s="11" t="str">
        <f>IFERROR(INDEX('Raw Data'!$R$2:$R$50000,MATCH(823,'Raw Data'!$W$2:$W$50000,0)),"")</f>
        <v/>
      </c>
      <c r="C824" s="11" t="str">
        <f t="shared" si="12"/>
        <v/>
      </c>
      <c r="D824" s="11" t="str">
        <f>IF($B824="","",COUNTIFS('Raw Data'!$R$2:$R$50000,$B824))</f>
        <v/>
      </c>
      <c r="E824" s="11" t="str">
        <f>IF($B824="","",SUMIFS('Raw Data'!$I$2:$I$50000,'Raw Data'!$R$2:$R$50000,$B824))</f>
        <v/>
      </c>
      <c r="F824" s="11" t="str">
        <f>IF($B824="","",RANK($E824,$E$2:$E$1501)+COUNTIF($E$2:E824,$E824)-1)</f>
        <v/>
      </c>
      <c r="G824" s="11" t="str">
        <f>IF($B824="","",RANK($D824,$D$2:$D$1501)+COUNTIF($D$2:D824,$D824)-1)</f>
        <v/>
      </c>
    </row>
    <row r="825" spans="1:7">
      <c r="A825" s="11">
        <v>824</v>
      </c>
      <c r="B825" s="11" t="str">
        <f>IFERROR(INDEX('Raw Data'!$R$2:$R$50000,MATCH(824,'Raw Data'!$W$2:$W$50000,0)),"")</f>
        <v/>
      </c>
      <c r="C825" s="11" t="str">
        <f t="shared" si="12"/>
        <v/>
      </c>
      <c r="D825" s="11" t="str">
        <f>IF($B825="","",COUNTIFS('Raw Data'!$R$2:$R$50000,$B825))</f>
        <v/>
      </c>
      <c r="E825" s="11" t="str">
        <f>IF($B825="","",SUMIFS('Raw Data'!$I$2:$I$50000,'Raw Data'!$R$2:$R$50000,$B825))</f>
        <v/>
      </c>
      <c r="F825" s="11" t="str">
        <f>IF($B825="","",RANK($E825,$E$2:$E$1501)+COUNTIF($E$2:E825,$E825)-1)</f>
        <v/>
      </c>
      <c r="G825" s="11" t="str">
        <f>IF($B825="","",RANK($D825,$D$2:$D$1501)+COUNTIF($D$2:D825,$D825)-1)</f>
        <v/>
      </c>
    </row>
    <row r="826" spans="1:7">
      <c r="A826" s="11">
        <v>825</v>
      </c>
      <c r="B826" s="11" t="str">
        <f>IFERROR(INDEX('Raw Data'!$R$2:$R$50000,MATCH(825,'Raw Data'!$W$2:$W$50000,0)),"")</f>
        <v/>
      </c>
      <c r="C826" s="11" t="str">
        <f t="shared" si="12"/>
        <v/>
      </c>
      <c r="D826" s="11" t="str">
        <f>IF($B826="","",COUNTIFS('Raw Data'!$R$2:$R$50000,$B826))</f>
        <v/>
      </c>
      <c r="E826" s="11" t="str">
        <f>IF($B826="","",SUMIFS('Raw Data'!$I$2:$I$50000,'Raw Data'!$R$2:$R$50000,$B826))</f>
        <v/>
      </c>
      <c r="F826" s="11" t="str">
        <f>IF($B826="","",RANK($E826,$E$2:$E$1501)+COUNTIF($E$2:E826,$E826)-1)</f>
        <v/>
      </c>
      <c r="G826" s="11" t="str">
        <f>IF($B826="","",RANK($D826,$D$2:$D$1501)+COUNTIF($D$2:D826,$D826)-1)</f>
        <v/>
      </c>
    </row>
    <row r="827" spans="1:7">
      <c r="A827" s="11">
        <v>826</v>
      </c>
      <c r="B827" s="11" t="str">
        <f>IFERROR(INDEX('Raw Data'!$R$2:$R$50000,MATCH(826,'Raw Data'!$W$2:$W$50000,0)),"")</f>
        <v/>
      </c>
      <c r="C827" s="11" t="str">
        <f t="shared" si="12"/>
        <v/>
      </c>
      <c r="D827" s="11" t="str">
        <f>IF($B827="","",COUNTIFS('Raw Data'!$R$2:$R$50000,$B827))</f>
        <v/>
      </c>
      <c r="E827" s="11" t="str">
        <f>IF($B827="","",SUMIFS('Raw Data'!$I$2:$I$50000,'Raw Data'!$R$2:$R$50000,$B827))</f>
        <v/>
      </c>
      <c r="F827" s="11" t="str">
        <f>IF($B827="","",RANK($E827,$E$2:$E$1501)+COUNTIF($E$2:E827,$E827)-1)</f>
        <v/>
      </c>
      <c r="G827" s="11" t="str">
        <f>IF($B827="","",RANK($D827,$D$2:$D$1501)+COUNTIF($D$2:D827,$D827)-1)</f>
        <v/>
      </c>
    </row>
    <row r="828" spans="1:7">
      <c r="A828" s="11">
        <v>827</v>
      </c>
      <c r="B828" s="11" t="str">
        <f>IFERROR(INDEX('Raw Data'!$R$2:$R$50000,MATCH(827,'Raw Data'!$W$2:$W$50000,0)),"")</f>
        <v/>
      </c>
      <c r="C828" s="11" t="str">
        <f t="shared" si="12"/>
        <v/>
      </c>
      <c r="D828" s="11" t="str">
        <f>IF($B828="","",COUNTIFS('Raw Data'!$R$2:$R$50000,$B828))</f>
        <v/>
      </c>
      <c r="E828" s="11" t="str">
        <f>IF($B828="","",SUMIFS('Raw Data'!$I$2:$I$50000,'Raw Data'!$R$2:$R$50000,$B828))</f>
        <v/>
      </c>
      <c r="F828" s="11" t="str">
        <f>IF($B828="","",RANK($E828,$E$2:$E$1501)+COUNTIF($E$2:E828,$E828)-1)</f>
        <v/>
      </c>
      <c r="G828" s="11" t="str">
        <f>IF($B828="","",RANK($D828,$D$2:$D$1501)+COUNTIF($D$2:D828,$D828)-1)</f>
        <v/>
      </c>
    </row>
    <row r="829" spans="1:7">
      <c r="A829" s="11">
        <v>828</v>
      </c>
      <c r="B829" s="11" t="str">
        <f>IFERROR(INDEX('Raw Data'!$R$2:$R$50000,MATCH(828,'Raw Data'!$W$2:$W$50000,0)),"")</f>
        <v/>
      </c>
      <c r="C829" s="11" t="str">
        <f t="shared" si="12"/>
        <v/>
      </c>
      <c r="D829" s="11" t="str">
        <f>IF($B829="","",COUNTIFS('Raw Data'!$R$2:$R$50000,$B829))</f>
        <v/>
      </c>
      <c r="E829" s="11" t="str">
        <f>IF($B829="","",SUMIFS('Raw Data'!$I$2:$I$50000,'Raw Data'!$R$2:$R$50000,$B829))</f>
        <v/>
      </c>
      <c r="F829" s="11" t="str">
        <f>IF($B829="","",RANK($E829,$E$2:$E$1501)+COUNTIF($E$2:E829,$E829)-1)</f>
        <v/>
      </c>
      <c r="G829" s="11" t="str">
        <f>IF($B829="","",RANK($D829,$D$2:$D$1501)+COUNTIF($D$2:D829,$D829)-1)</f>
        <v/>
      </c>
    </row>
    <row r="830" spans="1:7">
      <c r="A830" s="11">
        <v>829</v>
      </c>
      <c r="B830" s="11" t="str">
        <f>IFERROR(INDEX('Raw Data'!$R$2:$R$50000,MATCH(829,'Raw Data'!$W$2:$W$50000,0)),"")</f>
        <v/>
      </c>
      <c r="C830" s="11" t="str">
        <f t="shared" si="12"/>
        <v/>
      </c>
      <c r="D830" s="11" t="str">
        <f>IF($B830="","",COUNTIFS('Raw Data'!$R$2:$R$50000,$B830))</f>
        <v/>
      </c>
      <c r="E830" s="11" t="str">
        <f>IF($B830="","",SUMIFS('Raw Data'!$I$2:$I$50000,'Raw Data'!$R$2:$R$50000,$B830))</f>
        <v/>
      </c>
      <c r="F830" s="11" t="str">
        <f>IF($B830="","",RANK($E830,$E$2:$E$1501)+COUNTIF($E$2:E830,$E830)-1)</f>
        <v/>
      </c>
      <c r="G830" s="11" t="str">
        <f>IF($B830="","",RANK($D830,$D$2:$D$1501)+COUNTIF($D$2:D830,$D830)-1)</f>
        <v/>
      </c>
    </row>
    <row r="831" spans="1:7">
      <c r="A831" s="11">
        <v>830</v>
      </c>
      <c r="B831" s="11" t="str">
        <f>IFERROR(INDEX('Raw Data'!$R$2:$R$50000,MATCH(830,'Raw Data'!$W$2:$W$50000,0)),"")</f>
        <v/>
      </c>
      <c r="C831" s="11" t="str">
        <f t="shared" si="12"/>
        <v/>
      </c>
      <c r="D831" s="11" t="str">
        <f>IF($B831="","",COUNTIFS('Raw Data'!$R$2:$R$50000,$B831))</f>
        <v/>
      </c>
      <c r="E831" s="11" t="str">
        <f>IF($B831="","",SUMIFS('Raw Data'!$I$2:$I$50000,'Raw Data'!$R$2:$R$50000,$B831))</f>
        <v/>
      </c>
      <c r="F831" s="11" t="str">
        <f>IF($B831="","",RANK($E831,$E$2:$E$1501)+COUNTIF($E$2:E831,$E831)-1)</f>
        <v/>
      </c>
      <c r="G831" s="11" t="str">
        <f>IF($B831="","",RANK($D831,$D$2:$D$1501)+COUNTIF($D$2:D831,$D831)-1)</f>
        <v/>
      </c>
    </row>
    <row r="832" spans="1:7">
      <c r="A832" s="11">
        <v>831</v>
      </c>
      <c r="B832" s="11" t="str">
        <f>IFERROR(INDEX('Raw Data'!$R$2:$R$50000,MATCH(831,'Raw Data'!$W$2:$W$50000,0)),"")</f>
        <v/>
      </c>
      <c r="C832" s="11" t="str">
        <f t="shared" si="12"/>
        <v/>
      </c>
      <c r="D832" s="11" t="str">
        <f>IF($B832="","",COUNTIFS('Raw Data'!$R$2:$R$50000,$B832))</f>
        <v/>
      </c>
      <c r="E832" s="11" t="str">
        <f>IF($B832="","",SUMIFS('Raw Data'!$I$2:$I$50000,'Raw Data'!$R$2:$R$50000,$B832))</f>
        <v/>
      </c>
      <c r="F832" s="11" t="str">
        <f>IF($B832="","",RANK($E832,$E$2:$E$1501)+COUNTIF($E$2:E832,$E832)-1)</f>
        <v/>
      </c>
      <c r="G832" s="11" t="str">
        <f>IF($B832="","",RANK($D832,$D$2:$D$1501)+COUNTIF($D$2:D832,$D832)-1)</f>
        <v/>
      </c>
    </row>
    <row r="833" spans="1:7">
      <c r="A833" s="11">
        <v>832</v>
      </c>
      <c r="B833" s="11" t="str">
        <f>IFERROR(INDEX('Raw Data'!$R$2:$R$50000,MATCH(832,'Raw Data'!$W$2:$W$50000,0)),"")</f>
        <v/>
      </c>
      <c r="C833" s="11" t="str">
        <f t="shared" si="12"/>
        <v/>
      </c>
      <c r="D833" s="11" t="str">
        <f>IF($B833="","",COUNTIFS('Raw Data'!$R$2:$R$50000,$B833))</f>
        <v/>
      </c>
      <c r="E833" s="11" t="str">
        <f>IF($B833="","",SUMIFS('Raw Data'!$I$2:$I$50000,'Raw Data'!$R$2:$R$50000,$B833))</f>
        <v/>
      </c>
      <c r="F833" s="11" t="str">
        <f>IF($B833="","",RANK($E833,$E$2:$E$1501)+COUNTIF($E$2:E833,$E833)-1)</f>
        <v/>
      </c>
      <c r="G833" s="11" t="str">
        <f>IF($B833="","",RANK($D833,$D$2:$D$1501)+COUNTIF($D$2:D833,$D833)-1)</f>
        <v/>
      </c>
    </row>
    <row r="834" spans="1:7">
      <c r="A834" s="11">
        <v>833</v>
      </c>
      <c r="B834" s="11" t="str">
        <f>IFERROR(INDEX('Raw Data'!$R$2:$R$50000,MATCH(833,'Raw Data'!$W$2:$W$50000,0)),"")</f>
        <v/>
      </c>
      <c r="C834" s="11" t="str">
        <f t="shared" ref="C834:C897" si="13">IF($B834="","",$B834)</f>
        <v/>
      </c>
      <c r="D834" s="11" t="str">
        <f>IF($B834="","",COUNTIFS('Raw Data'!$R$2:$R$50000,$B834))</f>
        <v/>
      </c>
      <c r="E834" s="11" t="str">
        <f>IF($B834="","",SUMIFS('Raw Data'!$I$2:$I$50000,'Raw Data'!$R$2:$R$50000,$B834))</f>
        <v/>
      </c>
      <c r="F834" s="11" t="str">
        <f>IF($B834="","",RANK($E834,$E$2:$E$1501)+COUNTIF($E$2:E834,$E834)-1)</f>
        <v/>
      </c>
      <c r="G834" s="11" t="str">
        <f>IF($B834="","",RANK($D834,$D$2:$D$1501)+COUNTIF($D$2:D834,$D834)-1)</f>
        <v/>
      </c>
    </row>
    <row r="835" spans="1:7">
      <c r="A835" s="11">
        <v>834</v>
      </c>
      <c r="B835" s="11" t="str">
        <f>IFERROR(INDEX('Raw Data'!$R$2:$R$50000,MATCH(834,'Raw Data'!$W$2:$W$50000,0)),"")</f>
        <v/>
      </c>
      <c r="C835" s="11" t="str">
        <f t="shared" si="13"/>
        <v/>
      </c>
      <c r="D835" s="11" t="str">
        <f>IF($B835="","",COUNTIFS('Raw Data'!$R$2:$R$50000,$B835))</f>
        <v/>
      </c>
      <c r="E835" s="11" t="str">
        <f>IF($B835="","",SUMIFS('Raw Data'!$I$2:$I$50000,'Raw Data'!$R$2:$R$50000,$B835))</f>
        <v/>
      </c>
      <c r="F835" s="11" t="str">
        <f>IF($B835="","",RANK($E835,$E$2:$E$1501)+COUNTIF($E$2:E835,$E835)-1)</f>
        <v/>
      </c>
      <c r="G835" s="11" t="str">
        <f>IF($B835="","",RANK($D835,$D$2:$D$1501)+COUNTIF($D$2:D835,$D835)-1)</f>
        <v/>
      </c>
    </row>
    <row r="836" spans="1:7">
      <c r="A836" s="11">
        <v>835</v>
      </c>
      <c r="B836" s="11" t="str">
        <f>IFERROR(INDEX('Raw Data'!$R$2:$R$50000,MATCH(835,'Raw Data'!$W$2:$W$50000,0)),"")</f>
        <v/>
      </c>
      <c r="C836" s="11" t="str">
        <f t="shared" si="13"/>
        <v/>
      </c>
      <c r="D836" s="11" t="str">
        <f>IF($B836="","",COUNTIFS('Raw Data'!$R$2:$R$50000,$B836))</f>
        <v/>
      </c>
      <c r="E836" s="11" t="str">
        <f>IF($B836="","",SUMIFS('Raw Data'!$I$2:$I$50000,'Raw Data'!$R$2:$R$50000,$B836))</f>
        <v/>
      </c>
      <c r="F836" s="11" t="str">
        <f>IF($B836="","",RANK($E836,$E$2:$E$1501)+COUNTIF($E$2:E836,$E836)-1)</f>
        <v/>
      </c>
      <c r="G836" s="11" t="str">
        <f>IF($B836="","",RANK($D836,$D$2:$D$1501)+COUNTIF($D$2:D836,$D836)-1)</f>
        <v/>
      </c>
    </row>
    <row r="837" spans="1:7">
      <c r="A837" s="11">
        <v>836</v>
      </c>
      <c r="B837" s="11" t="str">
        <f>IFERROR(INDEX('Raw Data'!$R$2:$R$50000,MATCH(836,'Raw Data'!$W$2:$W$50000,0)),"")</f>
        <v/>
      </c>
      <c r="C837" s="11" t="str">
        <f t="shared" si="13"/>
        <v/>
      </c>
      <c r="D837" s="11" t="str">
        <f>IF($B837="","",COUNTIFS('Raw Data'!$R$2:$R$50000,$B837))</f>
        <v/>
      </c>
      <c r="E837" s="11" t="str">
        <f>IF($B837="","",SUMIFS('Raw Data'!$I$2:$I$50000,'Raw Data'!$R$2:$R$50000,$B837))</f>
        <v/>
      </c>
      <c r="F837" s="11" t="str">
        <f>IF($B837="","",RANK($E837,$E$2:$E$1501)+COUNTIF($E$2:E837,$E837)-1)</f>
        <v/>
      </c>
      <c r="G837" s="11" t="str">
        <f>IF($B837="","",RANK($D837,$D$2:$D$1501)+COUNTIF($D$2:D837,$D837)-1)</f>
        <v/>
      </c>
    </row>
    <row r="838" spans="1:7">
      <c r="A838" s="11">
        <v>837</v>
      </c>
      <c r="B838" s="11" t="str">
        <f>IFERROR(INDEX('Raw Data'!$R$2:$R$50000,MATCH(837,'Raw Data'!$W$2:$W$50000,0)),"")</f>
        <v/>
      </c>
      <c r="C838" s="11" t="str">
        <f t="shared" si="13"/>
        <v/>
      </c>
      <c r="D838" s="11" t="str">
        <f>IF($B838="","",COUNTIFS('Raw Data'!$R$2:$R$50000,$B838))</f>
        <v/>
      </c>
      <c r="E838" s="11" t="str">
        <f>IF($B838="","",SUMIFS('Raw Data'!$I$2:$I$50000,'Raw Data'!$R$2:$R$50000,$B838))</f>
        <v/>
      </c>
      <c r="F838" s="11" t="str">
        <f>IF($B838="","",RANK($E838,$E$2:$E$1501)+COUNTIF($E$2:E838,$E838)-1)</f>
        <v/>
      </c>
      <c r="G838" s="11" t="str">
        <f>IF($B838="","",RANK($D838,$D$2:$D$1501)+COUNTIF($D$2:D838,$D838)-1)</f>
        <v/>
      </c>
    </row>
    <row r="839" spans="1:7">
      <c r="A839" s="11">
        <v>838</v>
      </c>
      <c r="B839" s="11" t="str">
        <f>IFERROR(INDEX('Raw Data'!$R$2:$R$50000,MATCH(838,'Raw Data'!$W$2:$W$50000,0)),"")</f>
        <v/>
      </c>
      <c r="C839" s="11" t="str">
        <f t="shared" si="13"/>
        <v/>
      </c>
      <c r="D839" s="11" t="str">
        <f>IF($B839="","",COUNTIFS('Raw Data'!$R$2:$R$50000,$B839))</f>
        <v/>
      </c>
      <c r="E839" s="11" t="str">
        <f>IF($B839="","",SUMIFS('Raw Data'!$I$2:$I$50000,'Raw Data'!$R$2:$R$50000,$B839))</f>
        <v/>
      </c>
      <c r="F839" s="11" t="str">
        <f>IF($B839="","",RANK($E839,$E$2:$E$1501)+COUNTIF($E$2:E839,$E839)-1)</f>
        <v/>
      </c>
      <c r="G839" s="11" t="str">
        <f>IF($B839="","",RANK($D839,$D$2:$D$1501)+COUNTIF($D$2:D839,$D839)-1)</f>
        <v/>
      </c>
    </row>
    <row r="840" spans="1:7">
      <c r="A840" s="11">
        <v>839</v>
      </c>
      <c r="B840" s="11" t="str">
        <f>IFERROR(INDEX('Raw Data'!$R$2:$R$50000,MATCH(839,'Raw Data'!$W$2:$W$50000,0)),"")</f>
        <v/>
      </c>
      <c r="C840" s="11" t="str">
        <f t="shared" si="13"/>
        <v/>
      </c>
      <c r="D840" s="11" t="str">
        <f>IF($B840="","",COUNTIFS('Raw Data'!$R$2:$R$50000,$B840))</f>
        <v/>
      </c>
      <c r="E840" s="11" t="str">
        <f>IF($B840="","",SUMIFS('Raw Data'!$I$2:$I$50000,'Raw Data'!$R$2:$R$50000,$B840))</f>
        <v/>
      </c>
      <c r="F840" s="11" t="str">
        <f>IF($B840="","",RANK($E840,$E$2:$E$1501)+COUNTIF($E$2:E840,$E840)-1)</f>
        <v/>
      </c>
      <c r="G840" s="11" t="str">
        <f>IF($B840="","",RANK($D840,$D$2:$D$1501)+COUNTIF($D$2:D840,$D840)-1)</f>
        <v/>
      </c>
    </row>
    <row r="841" spans="1:7">
      <c r="A841" s="11">
        <v>840</v>
      </c>
      <c r="B841" s="11" t="str">
        <f>IFERROR(INDEX('Raw Data'!$R$2:$R$50000,MATCH(840,'Raw Data'!$W$2:$W$50000,0)),"")</f>
        <v/>
      </c>
      <c r="C841" s="11" t="str">
        <f t="shared" si="13"/>
        <v/>
      </c>
      <c r="D841" s="11" t="str">
        <f>IF($B841="","",COUNTIFS('Raw Data'!$R$2:$R$50000,$B841))</f>
        <v/>
      </c>
      <c r="E841" s="11" t="str">
        <f>IF($B841="","",SUMIFS('Raw Data'!$I$2:$I$50000,'Raw Data'!$R$2:$R$50000,$B841))</f>
        <v/>
      </c>
      <c r="F841" s="11" t="str">
        <f>IF($B841="","",RANK($E841,$E$2:$E$1501)+COUNTIF($E$2:E841,$E841)-1)</f>
        <v/>
      </c>
      <c r="G841" s="11" t="str">
        <f>IF($B841="","",RANK($D841,$D$2:$D$1501)+COUNTIF($D$2:D841,$D841)-1)</f>
        <v/>
      </c>
    </row>
    <row r="842" spans="1:7">
      <c r="A842" s="11">
        <v>841</v>
      </c>
      <c r="B842" s="11" t="str">
        <f>IFERROR(INDEX('Raw Data'!$R$2:$R$50000,MATCH(841,'Raw Data'!$W$2:$W$50000,0)),"")</f>
        <v/>
      </c>
      <c r="C842" s="11" t="str">
        <f t="shared" si="13"/>
        <v/>
      </c>
      <c r="D842" s="11" t="str">
        <f>IF($B842="","",COUNTIFS('Raw Data'!$R$2:$R$50000,$B842))</f>
        <v/>
      </c>
      <c r="E842" s="11" t="str">
        <f>IF($B842="","",SUMIFS('Raw Data'!$I$2:$I$50000,'Raw Data'!$R$2:$R$50000,$B842))</f>
        <v/>
      </c>
      <c r="F842" s="11" t="str">
        <f>IF($B842="","",RANK($E842,$E$2:$E$1501)+COUNTIF($E$2:E842,$E842)-1)</f>
        <v/>
      </c>
      <c r="G842" s="11" t="str">
        <f>IF($B842="","",RANK($D842,$D$2:$D$1501)+COUNTIF($D$2:D842,$D842)-1)</f>
        <v/>
      </c>
    </row>
    <row r="843" spans="1:7">
      <c r="A843" s="11">
        <v>842</v>
      </c>
      <c r="B843" s="11" t="str">
        <f>IFERROR(INDEX('Raw Data'!$R$2:$R$50000,MATCH(842,'Raw Data'!$W$2:$W$50000,0)),"")</f>
        <v/>
      </c>
      <c r="C843" s="11" t="str">
        <f t="shared" si="13"/>
        <v/>
      </c>
      <c r="D843" s="11" t="str">
        <f>IF($B843="","",COUNTIFS('Raw Data'!$R$2:$R$50000,$B843))</f>
        <v/>
      </c>
      <c r="E843" s="11" t="str">
        <f>IF($B843="","",SUMIFS('Raw Data'!$I$2:$I$50000,'Raw Data'!$R$2:$R$50000,$B843))</f>
        <v/>
      </c>
      <c r="F843" s="11" t="str">
        <f>IF($B843="","",RANK($E843,$E$2:$E$1501)+COUNTIF($E$2:E843,$E843)-1)</f>
        <v/>
      </c>
      <c r="G843" s="11" t="str">
        <f>IF($B843="","",RANK($D843,$D$2:$D$1501)+COUNTIF($D$2:D843,$D843)-1)</f>
        <v/>
      </c>
    </row>
    <row r="844" spans="1:7">
      <c r="A844" s="11">
        <v>843</v>
      </c>
      <c r="B844" s="11" t="str">
        <f>IFERROR(INDEX('Raw Data'!$R$2:$R$50000,MATCH(843,'Raw Data'!$W$2:$W$50000,0)),"")</f>
        <v/>
      </c>
      <c r="C844" s="11" t="str">
        <f t="shared" si="13"/>
        <v/>
      </c>
      <c r="D844" s="11" t="str">
        <f>IF($B844="","",COUNTIFS('Raw Data'!$R$2:$R$50000,$B844))</f>
        <v/>
      </c>
      <c r="E844" s="11" t="str">
        <f>IF($B844="","",SUMIFS('Raw Data'!$I$2:$I$50000,'Raw Data'!$R$2:$R$50000,$B844))</f>
        <v/>
      </c>
      <c r="F844" s="11" t="str">
        <f>IF($B844="","",RANK($E844,$E$2:$E$1501)+COUNTIF($E$2:E844,$E844)-1)</f>
        <v/>
      </c>
      <c r="G844" s="11" t="str">
        <f>IF($B844="","",RANK($D844,$D$2:$D$1501)+COUNTIF($D$2:D844,$D844)-1)</f>
        <v/>
      </c>
    </row>
    <row r="845" spans="1:7">
      <c r="A845" s="11">
        <v>844</v>
      </c>
      <c r="B845" s="11" t="str">
        <f>IFERROR(INDEX('Raw Data'!$R$2:$R$50000,MATCH(844,'Raw Data'!$W$2:$W$50000,0)),"")</f>
        <v/>
      </c>
      <c r="C845" s="11" t="str">
        <f t="shared" si="13"/>
        <v/>
      </c>
      <c r="D845" s="11" t="str">
        <f>IF($B845="","",COUNTIFS('Raw Data'!$R$2:$R$50000,$B845))</f>
        <v/>
      </c>
      <c r="E845" s="11" t="str">
        <f>IF($B845="","",SUMIFS('Raw Data'!$I$2:$I$50000,'Raw Data'!$R$2:$R$50000,$B845))</f>
        <v/>
      </c>
      <c r="F845" s="11" t="str">
        <f>IF($B845="","",RANK($E845,$E$2:$E$1501)+COUNTIF($E$2:E845,$E845)-1)</f>
        <v/>
      </c>
      <c r="G845" s="11" t="str">
        <f>IF($B845="","",RANK($D845,$D$2:$D$1501)+COUNTIF($D$2:D845,$D845)-1)</f>
        <v/>
      </c>
    </row>
    <row r="846" spans="1:7">
      <c r="A846" s="11">
        <v>845</v>
      </c>
      <c r="B846" s="11" t="str">
        <f>IFERROR(INDEX('Raw Data'!$R$2:$R$50000,MATCH(845,'Raw Data'!$W$2:$W$50000,0)),"")</f>
        <v/>
      </c>
      <c r="C846" s="11" t="str">
        <f t="shared" si="13"/>
        <v/>
      </c>
      <c r="D846" s="11" t="str">
        <f>IF($B846="","",COUNTIFS('Raw Data'!$R$2:$R$50000,$B846))</f>
        <v/>
      </c>
      <c r="E846" s="11" t="str">
        <f>IF($B846="","",SUMIFS('Raw Data'!$I$2:$I$50000,'Raw Data'!$R$2:$R$50000,$B846))</f>
        <v/>
      </c>
      <c r="F846" s="11" t="str">
        <f>IF($B846="","",RANK($E846,$E$2:$E$1501)+COUNTIF($E$2:E846,$E846)-1)</f>
        <v/>
      </c>
      <c r="G846" s="11" t="str">
        <f>IF($B846="","",RANK($D846,$D$2:$D$1501)+COUNTIF($D$2:D846,$D846)-1)</f>
        <v/>
      </c>
    </row>
    <row r="847" spans="1:7">
      <c r="A847" s="11">
        <v>846</v>
      </c>
      <c r="B847" s="11" t="str">
        <f>IFERROR(INDEX('Raw Data'!$R$2:$R$50000,MATCH(846,'Raw Data'!$W$2:$W$50000,0)),"")</f>
        <v/>
      </c>
      <c r="C847" s="11" t="str">
        <f t="shared" si="13"/>
        <v/>
      </c>
      <c r="D847" s="11" t="str">
        <f>IF($B847="","",COUNTIFS('Raw Data'!$R$2:$R$50000,$B847))</f>
        <v/>
      </c>
      <c r="E847" s="11" t="str">
        <f>IF($B847="","",SUMIFS('Raw Data'!$I$2:$I$50000,'Raw Data'!$R$2:$R$50000,$B847))</f>
        <v/>
      </c>
      <c r="F847" s="11" t="str">
        <f>IF($B847="","",RANK($E847,$E$2:$E$1501)+COUNTIF($E$2:E847,$E847)-1)</f>
        <v/>
      </c>
      <c r="G847" s="11" t="str">
        <f>IF($B847="","",RANK($D847,$D$2:$D$1501)+COUNTIF($D$2:D847,$D847)-1)</f>
        <v/>
      </c>
    </row>
    <row r="848" spans="1:7">
      <c r="A848" s="11">
        <v>847</v>
      </c>
      <c r="B848" s="11" t="str">
        <f>IFERROR(INDEX('Raw Data'!$R$2:$R$50000,MATCH(847,'Raw Data'!$W$2:$W$50000,0)),"")</f>
        <v/>
      </c>
      <c r="C848" s="11" t="str">
        <f t="shared" si="13"/>
        <v/>
      </c>
      <c r="D848" s="11" t="str">
        <f>IF($B848="","",COUNTIFS('Raw Data'!$R$2:$R$50000,$B848))</f>
        <v/>
      </c>
      <c r="E848" s="11" t="str">
        <f>IF($B848="","",SUMIFS('Raw Data'!$I$2:$I$50000,'Raw Data'!$R$2:$R$50000,$B848))</f>
        <v/>
      </c>
      <c r="F848" s="11" t="str">
        <f>IF($B848="","",RANK($E848,$E$2:$E$1501)+COUNTIF($E$2:E848,$E848)-1)</f>
        <v/>
      </c>
      <c r="G848" s="11" t="str">
        <f>IF($B848="","",RANK($D848,$D$2:$D$1501)+COUNTIF($D$2:D848,$D848)-1)</f>
        <v/>
      </c>
    </row>
    <row r="849" spans="1:7">
      <c r="A849" s="11">
        <v>848</v>
      </c>
      <c r="B849" s="11" t="str">
        <f>IFERROR(INDEX('Raw Data'!$R$2:$R$50000,MATCH(848,'Raw Data'!$W$2:$W$50000,0)),"")</f>
        <v/>
      </c>
      <c r="C849" s="11" t="str">
        <f t="shared" si="13"/>
        <v/>
      </c>
      <c r="D849" s="11" t="str">
        <f>IF($B849="","",COUNTIFS('Raw Data'!$R$2:$R$50000,$B849))</f>
        <v/>
      </c>
      <c r="E849" s="11" t="str">
        <f>IF($B849="","",SUMIFS('Raw Data'!$I$2:$I$50000,'Raw Data'!$R$2:$R$50000,$B849))</f>
        <v/>
      </c>
      <c r="F849" s="11" t="str">
        <f>IF($B849="","",RANK($E849,$E$2:$E$1501)+COUNTIF($E$2:E849,$E849)-1)</f>
        <v/>
      </c>
      <c r="G849" s="11" t="str">
        <f>IF($B849="","",RANK($D849,$D$2:$D$1501)+COUNTIF($D$2:D849,$D849)-1)</f>
        <v/>
      </c>
    </row>
    <row r="850" spans="1:7">
      <c r="A850" s="11">
        <v>849</v>
      </c>
      <c r="B850" s="11" t="str">
        <f>IFERROR(INDEX('Raw Data'!$R$2:$R$50000,MATCH(849,'Raw Data'!$W$2:$W$50000,0)),"")</f>
        <v/>
      </c>
      <c r="C850" s="11" t="str">
        <f t="shared" si="13"/>
        <v/>
      </c>
      <c r="D850" s="11" t="str">
        <f>IF($B850="","",COUNTIFS('Raw Data'!$R$2:$R$50000,$B850))</f>
        <v/>
      </c>
      <c r="E850" s="11" t="str">
        <f>IF($B850="","",SUMIFS('Raw Data'!$I$2:$I$50000,'Raw Data'!$R$2:$R$50000,$B850))</f>
        <v/>
      </c>
      <c r="F850" s="11" t="str">
        <f>IF($B850="","",RANK($E850,$E$2:$E$1501)+COUNTIF($E$2:E850,$E850)-1)</f>
        <v/>
      </c>
      <c r="G850" s="11" t="str">
        <f>IF($B850="","",RANK($D850,$D$2:$D$1501)+COUNTIF($D$2:D850,$D850)-1)</f>
        <v/>
      </c>
    </row>
    <row r="851" spans="1:7">
      <c r="A851" s="11">
        <v>850</v>
      </c>
      <c r="B851" s="11" t="str">
        <f>IFERROR(INDEX('Raw Data'!$R$2:$R$50000,MATCH(850,'Raw Data'!$W$2:$W$50000,0)),"")</f>
        <v/>
      </c>
      <c r="C851" s="11" t="str">
        <f t="shared" si="13"/>
        <v/>
      </c>
      <c r="D851" s="11" t="str">
        <f>IF($B851="","",COUNTIFS('Raw Data'!$R$2:$R$50000,$B851))</f>
        <v/>
      </c>
      <c r="E851" s="11" t="str">
        <f>IF($B851="","",SUMIFS('Raw Data'!$I$2:$I$50000,'Raw Data'!$R$2:$R$50000,$B851))</f>
        <v/>
      </c>
      <c r="F851" s="11" t="str">
        <f>IF($B851="","",RANK($E851,$E$2:$E$1501)+COUNTIF($E$2:E851,$E851)-1)</f>
        <v/>
      </c>
      <c r="G851" s="11" t="str">
        <f>IF($B851="","",RANK($D851,$D$2:$D$1501)+COUNTIF($D$2:D851,$D851)-1)</f>
        <v/>
      </c>
    </row>
    <row r="852" spans="1:7">
      <c r="A852" s="11">
        <v>851</v>
      </c>
      <c r="B852" s="11" t="str">
        <f>IFERROR(INDEX('Raw Data'!$R$2:$R$50000,MATCH(851,'Raw Data'!$W$2:$W$50000,0)),"")</f>
        <v/>
      </c>
      <c r="C852" s="11" t="str">
        <f t="shared" si="13"/>
        <v/>
      </c>
      <c r="D852" s="11" t="str">
        <f>IF($B852="","",COUNTIFS('Raw Data'!$R$2:$R$50000,$B852))</f>
        <v/>
      </c>
      <c r="E852" s="11" t="str">
        <f>IF($B852="","",SUMIFS('Raw Data'!$I$2:$I$50000,'Raw Data'!$R$2:$R$50000,$B852))</f>
        <v/>
      </c>
      <c r="F852" s="11" t="str">
        <f>IF($B852="","",RANK($E852,$E$2:$E$1501)+COUNTIF($E$2:E852,$E852)-1)</f>
        <v/>
      </c>
      <c r="G852" s="11" t="str">
        <f>IF($B852="","",RANK($D852,$D$2:$D$1501)+COUNTIF($D$2:D852,$D852)-1)</f>
        <v/>
      </c>
    </row>
    <row r="853" spans="1:7">
      <c r="A853" s="11">
        <v>852</v>
      </c>
      <c r="B853" s="11" t="str">
        <f>IFERROR(INDEX('Raw Data'!$R$2:$R$50000,MATCH(852,'Raw Data'!$W$2:$W$50000,0)),"")</f>
        <v/>
      </c>
      <c r="C853" s="11" t="str">
        <f t="shared" si="13"/>
        <v/>
      </c>
      <c r="D853" s="11" t="str">
        <f>IF($B853="","",COUNTIFS('Raw Data'!$R$2:$R$50000,$B853))</f>
        <v/>
      </c>
      <c r="E853" s="11" t="str">
        <f>IF($B853="","",SUMIFS('Raw Data'!$I$2:$I$50000,'Raw Data'!$R$2:$R$50000,$B853))</f>
        <v/>
      </c>
      <c r="F853" s="11" t="str">
        <f>IF($B853="","",RANK($E853,$E$2:$E$1501)+COUNTIF($E$2:E853,$E853)-1)</f>
        <v/>
      </c>
      <c r="G853" s="11" t="str">
        <f>IF($B853="","",RANK($D853,$D$2:$D$1501)+COUNTIF($D$2:D853,$D853)-1)</f>
        <v/>
      </c>
    </row>
    <row r="854" spans="1:7">
      <c r="A854" s="11">
        <v>853</v>
      </c>
      <c r="B854" s="11" t="str">
        <f>IFERROR(INDEX('Raw Data'!$R$2:$R$50000,MATCH(853,'Raw Data'!$W$2:$W$50000,0)),"")</f>
        <v/>
      </c>
      <c r="C854" s="11" t="str">
        <f t="shared" si="13"/>
        <v/>
      </c>
      <c r="D854" s="11" t="str">
        <f>IF($B854="","",COUNTIFS('Raw Data'!$R$2:$R$50000,$B854))</f>
        <v/>
      </c>
      <c r="E854" s="11" t="str">
        <f>IF($B854="","",SUMIFS('Raw Data'!$I$2:$I$50000,'Raw Data'!$R$2:$R$50000,$B854))</f>
        <v/>
      </c>
      <c r="F854" s="11" t="str">
        <f>IF($B854="","",RANK($E854,$E$2:$E$1501)+COUNTIF($E$2:E854,$E854)-1)</f>
        <v/>
      </c>
      <c r="G854" s="11" t="str">
        <f>IF($B854="","",RANK($D854,$D$2:$D$1501)+COUNTIF($D$2:D854,$D854)-1)</f>
        <v/>
      </c>
    </row>
    <row r="855" spans="1:7">
      <c r="A855" s="11">
        <v>854</v>
      </c>
      <c r="B855" s="11" t="str">
        <f>IFERROR(INDEX('Raw Data'!$R$2:$R$50000,MATCH(854,'Raw Data'!$W$2:$W$50000,0)),"")</f>
        <v/>
      </c>
      <c r="C855" s="11" t="str">
        <f t="shared" si="13"/>
        <v/>
      </c>
      <c r="D855" s="11" t="str">
        <f>IF($B855="","",COUNTIFS('Raw Data'!$R$2:$R$50000,$B855))</f>
        <v/>
      </c>
      <c r="E855" s="11" t="str">
        <f>IF($B855="","",SUMIFS('Raw Data'!$I$2:$I$50000,'Raw Data'!$R$2:$R$50000,$B855))</f>
        <v/>
      </c>
      <c r="F855" s="11" t="str">
        <f>IF($B855="","",RANK($E855,$E$2:$E$1501)+COUNTIF($E$2:E855,$E855)-1)</f>
        <v/>
      </c>
      <c r="G855" s="11" t="str">
        <f>IF($B855="","",RANK($D855,$D$2:$D$1501)+COUNTIF($D$2:D855,$D855)-1)</f>
        <v/>
      </c>
    </row>
    <row r="856" spans="1:7">
      <c r="A856" s="11">
        <v>855</v>
      </c>
      <c r="B856" s="11" t="str">
        <f>IFERROR(INDEX('Raw Data'!$R$2:$R$50000,MATCH(855,'Raw Data'!$W$2:$W$50000,0)),"")</f>
        <v/>
      </c>
      <c r="C856" s="11" t="str">
        <f t="shared" si="13"/>
        <v/>
      </c>
      <c r="D856" s="11" t="str">
        <f>IF($B856="","",COUNTIFS('Raw Data'!$R$2:$R$50000,$B856))</f>
        <v/>
      </c>
      <c r="E856" s="11" t="str">
        <f>IF($B856="","",SUMIFS('Raw Data'!$I$2:$I$50000,'Raw Data'!$R$2:$R$50000,$B856))</f>
        <v/>
      </c>
      <c r="F856" s="11" t="str">
        <f>IF($B856="","",RANK($E856,$E$2:$E$1501)+COUNTIF($E$2:E856,$E856)-1)</f>
        <v/>
      </c>
      <c r="G856" s="11" t="str">
        <f>IF($B856="","",RANK($D856,$D$2:$D$1501)+COUNTIF($D$2:D856,$D856)-1)</f>
        <v/>
      </c>
    </row>
    <row r="857" spans="1:7">
      <c r="A857" s="11">
        <v>856</v>
      </c>
      <c r="B857" s="11" t="str">
        <f>IFERROR(INDEX('Raw Data'!$R$2:$R$50000,MATCH(856,'Raw Data'!$W$2:$W$50000,0)),"")</f>
        <v/>
      </c>
      <c r="C857" s="11" t="str">
        <f t="shared" si="13"/>
        <v/>
      </c>
      <c r="D857" s="11" t="str">
        <f>IF($B857="","",COUNTIFS('Raw Data'!$R$2:$R$50000,$B857))</f>
        <v/>
      </c>
      <c r="E857" s="11" t="str">
        <f>IF($B857="","",SUMIFS('Raw Data'!$I$2:$I$50000,'Raw Data'!$R$2:$R$50000,$B857))</f>
        <v/>
      </c>
      <c r="F857" s="11" t="str">
        <f>IF($B857="","",RANK($E857,$E$2:$E$1501)+COUNTIF($E$2:E857,$E857)-1)</f>
        <v/>
      </c>
      <c r="G857" s="11" t="str">
        <f>IF($B857="","",RANK($D857,$D$2:$D$1501)+COUNTIF($D$2:D857,$D857)-1)</f>
        <v/>
      </c>
    </row>
    <row r="858" spans="1:7">
      <c r="A858" s="11">
        <v>857</v>
      </c>
      <c r="B858" s="11" t="str">
        <f>IFERROR(INDEX('Raw Data'!$R$2:$R$50000,MATCH(857,'Raw Data'!$W$2:$W$50000,0)),"")</f>
        <v/>
      </c>
      <c r="C858" s="11" t="str">
        <f t="shared" si="13"/>
        <v/>
      </c>
      <c r="D858" s="11" t="str">
        <f>IF($B858="","",COUNTIFS('Raw Data'!$R$2:$R$50000,$B858))</f>
        <v/>
      </c>
      <c r="E858" s="11" t="str">
        <f>IF($B858="","",SUMIFS('Raw Data'!$I$2:$I$50000,'Raw Data'!$R$2:$R$50000,$B858))</f>
        <v/>
      </c>
      <c r="F858" s="11" t="str">
        <f>IF($B858="","",RANK($E858,$E$2:$E$1501)+COUNTIF($E$2:E858,$E858)-1)</f>
        <v/>
      </c>
      <c r="G858" s="11" t="str">
        <f>IF($B858="","",RANK($D858,$D$2:$D$1501)+COUNTIF($D$2:D858,$D858)-1)</f>
        <v/>
      </c>
    </row>
    <row r="859" spans="1:7">
      <c r="A859" s="11">
        <v>858</v>
      </c>
      <c r="B859" s="11" t="str">
        <f>IFERROR(INDEX('Raw Data'!$R$2:$R$50000,MATCH(858,'Raw Data'!$W$2:$W$50000,0)),"")</f>
        <v/>
      </c>
      <c r="C859" s="11" t="str">
        <f t="shared" si="13"/>
        <v/>
      </c>
      <c r="D859" s="11" t="str">
        <f>IF($B859="","",COUNTIFS('Raw Data'!$R$2:$R$50000,$B859))</f>
        <v/>
      </c>
      <c r="E859" s="11" t="str">
        <f>IF($B859="","",SUMIFS('Raw Data'!$I$2:$I$50000,'Raw Data'!$R$2:$R$50000,$B859))</f>
        <v/>
      </c>
      <c r="F859" s="11" t="str">
        <f>IF($B859="","",RANK($E859,$E$2:$E$1501)+COUNTIF($E$2:E859,$E859)-1)</f>
        <v/>
      </c>
      <c r="G859" s="11" t="str">
        <f>IF($B859="","",RANK($D859,$D$2:$D$1501)+COUNTIF($D$2:D859,$D859)-1)</f>
        <v/>
      </c>
    </row>
    <row r="860" spans="1:7">
      <c r="A860" s="11">
        <v>859</v>
      </c>
      <c r="B860" s="11" t="str">
        <f>IFERROR(INDEX('Raw Data'!$R$2:$R$50000,MATCH(859,'Raw Data'!$W$2:$W$50000,0)),"")</f>
        <v/>
      </c>
      <c r="C860" s="11" t="str">
        <f t="shared" si="13"/>
        <v/>
      </c>
      <c r="D860" s="11" t="str">
        <f>IF($B860="","",COUNTIFS('Raw Data'!$R$2:$R$50000,$B860))</f>
        <v/>
      </c>
      <c r="E860" s="11" t="str">
        <f>IF($B860="","",SUMIFS('Raw Data'!$I$2:$I$50000,'Raw Data'!$R$2:$R$50000,$B860))</f>
        <v/>
      </c>
      <c r="F860" s="11" t="str">
        <f>IF($B860="","",RANK($E860,$E$2:$E$1501)+COUNTIF($E$2:E860,$E860)-1)</f>
        <v/>
      </c>
      <c r="G860" s="11" t="str">
        <f>IF($B860="","",RANK($D860,$D$2:$D$1501)+COUNTIF($D$2:D860,$D860)-1)</f>
        <v/>
      </c>
    </row>
    <row r="861" spans="1:7">
      <c r="A861" s="11">
        <v>860</v>
      </c>
      <c r="B861" s="11" t="str">
        <f>IFERROR(INDEX('Raw Data'!$R$2:$R$50000,MATCH(860,'Raw Data'!$W$2:$W$50000,0)),"")</f>
        <v/>
      </c>
      <c r="C861" s="11" t="str">
        <f t="shared" si="13"/>
        <v/>
      </c>
      <c r="D861" s="11" t="str">
        <f>IF($B861="","",COUNTIFS('Raw Data'!$R$2:$R$50000,$B861))</f>
        <v/>
      </c>
      <c r="E861" s="11" t="str">
        <f>IF($B861="","",SUMIFS('Raw Data'!$I$2:$I$50000,'Raw Data'!$R$2:$R$50000,$B861))</f>
        <v/>
      </c>
      <c r="F861" s="11" t="str">
        <f>IF($B861="","",RANK($E861,$E$2:$E$1501)+COUNTIF($E$2:E861,$E861)-1)</f>
        <v/>
      </c>
      <c r="G861" s="11" t="str">
        <f>IF($B861="","",RANK($D861,$D$2:$D$1501)+COUNTIF($D$2:D861,$D861)-1)</f>
        <v/>
      </c>
    </row>
    <row r="862" spans="1:7">
      <c r="A862" s="11">
        <v>861</v>
      </c>
      <c r="B862" s="11" t="str">
        <f>IFERROR(INDEX('Raw Data'!$R$2:$R$50000,MATCH(861,'Raw Data'!$W$2:$W$50000,0)),"")</f>
        <v/>
      </c>
      <c r="C862" s="11" t="str">
        <f t="shared" si="13"/>
        <v/>
      </c>
      <c r="D862" s="11" t="str">
        <f>IF($B862="","",COUNTIFS('Raw Data'!$R$2:$R$50000,$B862))</f>
        <v/>
      </c>
      <c r="E862" s="11" t="str">
        <f>IF($B862="","",SUMIFS('Raw Data'!$I$2:$I$50000,'Raw Data'!$R$2:$R$50000,$B862))</f>
        <v/>
      </c>
      <c r="F862" s="11" t="str">
        <f>IF($B862="","",RANK($E862,$E$2:$E$1501)+COUNTIF($E$2:E862,$E862)-1)</f>
        <v/>
      </c>
      <c r="G862" s="11" t="str">
        <f>IF($B862="","",RANK($D862,$D$2:$D$1501)+COUNTIF($D$2:D862,$D862)-1)</f>
        <v/>
      </c>
    </row>
    <row r="863" spans="1:7">
      <c r="A863" s="11">
        <v>862</v>
      </c>
      <c r="B863" s="11" t="str">
        <f>IFERROR(INDEX('Raw Data'!$R$2:$R$50000,MATCH(862,'Raw Data'!$W$2:$W$50000,0)),"")</f>
        <v/>
      </c>
      <c r="C863" s="11" t="str">
        <f t="shared" si="13"/>
        <v/>
      </c>
      <c r="D863" s="11" t="str">
        <f>IF($B863="","",COUNTIFS('Raw Data'!$R$2:$R$50000,$B863))</f>
        <v/>
      </c>
      <c r="E863" s="11" t="str">
        <f>IF($B863="","",SUMIFS('Raw Data'!$I$2:$I$50000,'Raw Data'!$R$2:$R$50000,$B863))</f>
        <v/>
      </c>
      <c r="F863" s="11" t="str">
        <f>IF($B863="","",RANK($E863,$E$2:$E$1501)+COUNTIF($E$2:E863,$E863)-1)</f>
        <v/>
      </c>
      <c r="G863" s="11" t="str">
        <f>IF($B863="","",RANK($D863,$D$2:$D$1501)+COUNTIF($D$2:D863,$D863)-1)</f>
        <v/>
      </c>
    </row>
    <row r="864" spans="1:7">
      <c r="A864" s="11">
        <v>863</v>
      </c>
      <c r="B864" s="11" t="str">
        <f>IFERROR(INDEX('Raw Data'!$R$2:$R$50000,MATCH(863,'Raw Data'!$W$2:$W$50000,0)),"")</f>
        <v/>
      </c>
      <c r="C864" s="11" t="str">
        <f t="shared" si="13"/>
        <v/>
      </c>
      <c r="D864" s="11" t="str">
        <f>IF($B864="","",COUNTIFS('Raw Data'!$R$2:$R$50000,$B864))</f>
        <v/>
      </c>
      <c r="E864" s="11" t="str">
        <f>IF($B864="","",SUMIFS('Raw Data'!$I$2:$I$50000,'Raw Data'!$R$2:$R$50000,$B864))</f>
        <v/>
      </c>
      <c r="F864" s="11" t="str">
        <f>IF($B864="","",RANK($E864,$E$2:$E$1501)+COUNTIF($E$2:E864,$E864)-1)</f>
        <v/>
      </c>
      <c r="G864" s="11" t="str">
        <f>IF($B864="","",RANK($D864,$D$2:$D$1501)+COUNTIF($D$2:D864,$D864)-1)</f>
        <v/>
      </c>
    </row>
    <row r="865" spans="1:7">
      <c r="A865" s="11">
        <v>864</v>
      </c>
      <c r="B865" s="11" t="str">
        <f>IFERROR(INDEX('Raw Data'!$R$2:$R$50000,MATCH(864,'Raw Data'!$W$2:$W$50000,0)),"")</f>
        <v/>
      </c>
      <c r="C865" s="11" t="str">
        <f t="shared" si="13"/>
        <v/>
      </c>
      <c r="D865" s="11" t="str">
        <f>IF($B865="","",COUNTIFS('Raw Data'!$R$2:$R$50000,$B865))</f>
        <v/>
      </c>
      <c r="E865" s="11" t="str">
        <f>IF($B865="","",SUMIFS('Raw Data'!$I$2:$I$50000,'Raw Data'!$R$2:$R$50000,$B865))</f>
        <v/>
      </c>
      <c r="F865" s="11" t="str">
        <f>IF($B865="","",RANK($E865,$E$2:$E$1501)+COUNTIF($E$2:E865,$E865)-1)</f>
        <v/>
      </c>
      <c r="G865" s="11" t="str">
        <f>IF($B865="","",RANK($D865,$D$2:$D$1501)+COUNTIF($D$2:D865,$D865)-1)</f>
        <v/>
      </c>
    </row>
    <row r="866" spans="1:7">
      <c r="A866" s="11">
        <v>865</v>
      </c>
      <c r="B866" s="11" t="str">
        <f>IFERROR(INDEX('Raw Data'!$R$2:$R$50000,MATCH(865,'Raw Data'!$W$2:$W$50000,0)),"")</f>
        <v/>
      </c>
      <c r="C866" s="11" t="str">
        <f t="shared" si="13"/>
        <v/>
      </c>
      <c r="D866" s="11" t="str">
        <f>IF($B866="","",COUNTIFS('Raw Data'!$R$2:$R$50000,$B866))</f>
        <v/>
      </c>
      <c r="E866" s="11" t="str">
        <f>IF($B866="","",SUMIFS('Raw Data'!$I$2:$I$50000,'Raw Data'!$R$2:$R$50000,$B866))</f>
        <v/>
      </c>
      <c r="F866" s="11" t="str">
        <f>IF($B866="","",RANK($E866,$E$2:$E$1501)+COUNTIF($E$2:E866,$E866)-1)</f>
        <v/>
      </c>
      <c r="G866" s="11" t="str">
        <f>IF($B866="","",RANK($D866,$D$2:$D$1501)+COUNTIF($D$2:D866,$D866)-1)</f>
        <v/>
      </c>
    </row>
    <row r="867" spans="1:7">
      <c r="A867" s="11">
        <v>866</v>
      </c>
      <c r="B867" s="11" t="str">
        <f>IFERROR(INDEX('Raw Data'!$R$2:$R$50000,MATCH(866,'Raw Data'!$W$2:$W$50000,0)),"")</f>
        <v/>
      </c>
      <c r="C867" s="11" t="str">
        <f t="shared" si="13"/>
        <v/>
      </c>
      <c r="D867" s="11" t="str">
        <f>IF($B867="","",COUNTIFS('Raw Data'!$R$2:$R$50000,$B867))</f>
        <v/>
      </c>
      <c r="E867" s="11" t="str">
        <f>IF($B867="","",SUMIFS('Raw Data'!$I$2:$I$50000,'Raw Data'!$R$2:$R$50000,$B867))</f>
        <v/>
      </c>
      <c r="F867" s="11" t="str">
        <f>IF($B867="","",RANK($E867,$E$2:$E$1501)+COUNTIF($E$2:E867,$E867)-1)</f>
        <v/>
      </c>
      <c r="G867" s="11" t="str">
        <f>IF($B867="","",RANK($D867,$D$2:$D$1501)+COUNTIF($D$2:D867,$D867)-1)</f>
        <v/>
      </c>
    </row>
    <row r="868" spans="1:7">
      <c r="A868" s="11">
        <v>867</v>
      </c>
      <c r="B868" s="11" t="str">
        <f>IFERROR(INDEX('Raw Data'!$R$2:$R$50000,MATCH(867,'Raw Data'!$W$2:$W$50000,0)),"")</f>
        <v/>
      </c>
      <c r="C868" s="11" t="str">
        <f t="shared" si="13"/>
        <v/>
      </c>
      <c r="D868" s="11" t="str">
        <f>IF($B868="","",COUNTIFS('Raw Data'!$R$2:$R$50000,$B868))</f>
        <v/>
      </c>
      <c r="E868" s="11" t="str">
        <f>IF($B868="","",SUMIFS('Raw Data'!$I$2:$I$50000,'Raw Data'!$R$2:$R$50000,$B868))</f>
        <v/>
      </c>
      <c r="F868" s="11" t="str">
        <f>IF($B868="","",RANK($E868,$E$2:$E$1501)+COUNTIF($E$2:E868,$E868)-1)</f>
        <v/>
      </c>
      <c r="G868" s="11" t="str">
        <f>IF($B868="","",RANK($D868,$D$2:$D$1501)+COUNTIF($D$2:D868,$D868)-1)</f>
        <v/>
      </c>
    </row>
    <row r="869" spans="1:7">
      <c r="A869" s="11">
        <v>868</v>
      </c>
      <c r="B869" s="11" t="str">
        <f>IFERROR(INDEX('Raw Data'!$R$2:$R$50000,MATCH(868,'Raw Data'!$W$2:$W$50000,0)),"")</f>
        <v/>
      </c>
      <c r="C869" s="11" t="str">
        <f t="shared" si="13"/>
        <v/>
      </c>
      <c r="D869" s="11" t="str">
        <f>IF($B869="","",COUNTIFS('Raw Data'!$R$2:$R$50000,$B869))</f>
        <v/>
      </c>
      <c r="E869" s="11" t="str">
        <f>IF($B869="","",SUMIFS('Raw Data'!$I$2:$I$50000,'Raw Data'!$R$2:$R$50000,$B869))</f>
        <v/>
      </c>
      <c r="F869" s="11" t="str">
        <f>IF($B869="","",RANK($E869,$E$2:$E$1501)+COUNTIF($E$2:E869,$E869)-1)</f>
        <v/>
      </c>
      <c r="G869" s="11" t="str">
        <f>IF($B869="","",RANK($D869,$D$2:$D$1501)+COUNTIF($D$2:D869,$D869)-1)</f>
        <v/>
      </c>
    </row>
    <row r="870" spans="1:7">
      <c r="A870" s="11">
        <v>869</v>
      </c>
      <c r="B870" s="11" t="str">
        <f>IFERROR(INDEX('Raw Data'!$R$2:$R$50000,MATCH(869,'Raw Data'!$W$2:$W$50000,0)),"")</f>
        <v/>
      </c>
      <c r="C870" s="11" t="str">
        <f t="shared" si="13"/>
        <v/>
      </c>
      <c r="D870" s="11" t="str">
        <f>IF($B870="","",COUNTIFS('Raw Data'!$R$2:$R$50000,$B870))</f>
        <v/>
      </c>
      <c r="E870" s="11" t="str">
        <f>IF($B870="","",SUMIFS('Raw Data'!$I$2:$I$50000,'Raw Data'!$R$2:$R$50000,$B870))</f>
        <v/>
      </c>
      <c r="F870" s="11" t="str">
        <f>IF($B870="","",RANK($E870,$E$2:$E$1501)+COUNTIF($E$2:E870,$E870)-1)</f>
        <v/>
      </c>
      <c r="G870" s="11" t="str">
        <f>IF($B870="","",RANK($D870,$D$2:$D$1501)+COUNTIF($D$2:D870,$D870)-1)</f>
        <v/>
      </c>
    </row>
    <row r="871" spans="1:7">
      <c r="A871" s="11">
        <v>870</v>
      </c>
      <c r="B871" s="11" t="str">
        <f>IFERROR(INDEX('Raw Data'!$R$2:$R$50000,MATCH(870,'Raw Data'!$W$2:$W$50000,0)),"")</f>
        <v/>
      </c>
      <c r="C871" s="11" t="str">
        <f t="shared" si="13"/>
        <v/>
      </c>
      <c r="D871" s="11" t="str">
        <f>IF($B871="","",COUNTIFS('Raw Data'!$R$2:$R$50000,$B871))</f>
        <v/>
      </c>
      <c r="E871" s="11" t="str">
        <f>IF($B871="","",SUMIFS('Raw Data'!$I$2:$I$50000,'Raw Data'!$R$2:$R$50000,$B871))</f>
        <v/>
      </c>
      <c r="F871" s="11" t="str">
        <f>IF($B871="","",RANK($E871,$E$2:$E$1501)+COUNTIF($E$2:E871,$E871)-1)</f>
        <v/>
      </c>
      <c r="G871" s="11" t="str">
        <f>IF($B871="","",RANK($D871,$D$2:$D$1501)+COUNTIF($D$2:D871,$D871)-1)</f>
        <v/>
      </c>
    </row>
    <row r="872" spans="1:7">
      <c r="A872" s="11">
        <v>871</v>
      </c>
      <c r="B872" s="11" t="str">
        <f>IFERROR(INDEX('Raw Data'!$R$2:$R$50000,MATCH(871,'Raw Data'!$W$2:$W$50000,0)),"")</f>
        <v/>
      </c>
      <c r="C872" s="11" t="str">
        <f t="shared" si="13"/>
        <v/>
      </c>
      <c r="D872" s="11" t="str">
        <f>IF($B872="","",COUNTIFS('Raw Data'!$R$2:$R$50000,$B872))</f>
        <v/>
      </c>
      <c r="E872" s="11" t="str">
        <f>IF($B872="","",SUMIFS('Raw Data'!$I$2:$I$50000,'Raw Data'!$R$2:$R$50000,$B872))</f>
        <v/>
      </c>
      <c r="F872" s="11" t="str">
        <f>IF($B872="","",RANK($E872,$E$2:$E$1501)+COUNTIF($E$2:E872,$E872)-1)</f>
        <v/>
      </c>
      <c r="G872" s="11" t="str">
        <f>IF($B872="","",RANK($D872,$D$2:$D$1501)+COUNTIF($D$2:D872,$D872)-1)</f>
        <v/>
      </c>
    </row>
    <row r="873" spans="1:7">
      <c r="A873" s="11">
        <v>872</v>
      </c>
      <c r="B873" s="11" t="str">
        <f>IFERROR(INDEX('Raw Data'!$R$2:$R$50000,MATCH(872,'Raw Data'!$W$2:$W$50000,0)),"")</f>
        <v/>
      </c>
      <c r="C873" s="11" t="str">
        <f t="shared" si="13"/>
        <v/>
      </c>
      <c r="D873" s="11" t="str">
        <f>IF($B873="","",COUNTIFS('Raw Data'!$R$2:$R$50000,$B873))</f>
        <v/>
      </c>
      <c r="E873" s="11" t="str">
        <f>IF($B873="","",SUMIFS('Raw Data'!$I$2:$I$50000,'Raw Data'!$R$2:$R$50000,$B873))</f>
        <v/>
      </c>
      <c r="F873" s="11" t="str">
        <f>IF($B873="","",RANK($E873,$E$2:$E$1501)+COUNTIF($E$2:E873,$E873)-1)</f>
        <v/>
      </c>
      <c r="G873" s="11" t="str">
        <f>IF($B873="","",RANK($D873,$D$2:$D$1501)+COUNTIF($D$2:D873,$D873)-1)</f>
        <v/>
      </c>
    </row>
    <row r="874" spans="1:7">
      <c r="A874" s="11">
        <v>873</v>
      </c>
      <c r="B874" s="11" t="str">
        <f>IFERROR(INDEX('Raw Data'!$R$2:$R$50000,MATCH(873,'Raw Data'!$W$2:$W$50000,0)),"")</f>
        <v/>
      </c>
      <c r="C874" s="11" t="str">
        <f t="shared" si="13"/>
        <v/>
      </c>
      <c r="D874" s="11" t="str">
        <f>IF($B874="","",COUNTIFS('Raw Data'!$R$2:$R$50000,$B874))</f>
        <v/>
      </c>
      <c r="E874" s="11" t="str">
        <f>IF($B874="","",SUMIFS('Raw Data'!$I$2:$I$50000,'Raw Data'!$R$2:$R$50000,$B874))</f>
        <v/>
      </c>
      <c r="F874" s="11" t="str">
        <f>IF($B874="","",RANK($E874,$E$2:$E$1501)+COUNTIF($E$2:E874,$E874)-1)</f>
        <v/>
      </c>
      <c r="G874" s="11" t="str">
        <f>IF($B874="","",RANK($D874,$D$2:$D$1501)+COUNTIF($D$2:D874,$D874)-1)</f>
        <v/>
      </c>
    </row>
    <row r="875" spans="1:7">
      <c r="A875" s="11">
        <v>874</v>
      </c>
      <c r="B875" s="11" t="str">
        <f>IFERROR(INDEX('Raw Data'!$R$2:$R$50000,MATCH(874,'Raw Data'!$W$2:$W$50000,0)),"")</f>
        <v/>
      </c>
      <c r="C875" s="11" t="str">
        <f t="shared" si="13"/>
        <v/>
      </c>
      <c r="D875" s="11" t="str">
        <f>IF($B875="","",COUNTIFS('Raw Data'!$R$2:$R$50000,$B875))</f>
        <v/>
      </c>
      <c r="E875" s="11" t="str">
        <f>IF($B875="","",SUMIFS('Raw Data'!$I$2:$I$50000,'Raw Data'!$R$2:$R$50000,$B875))</f>
        <v/>
      </c>
      <c r="F875" s="11" t="str">
        <f>IF($B875="","",RANK($E875,$E$2:$E$1501)+COUNTIF($E$2:E875,$E875)-1)</f>
        <v/>
      </c>
      <c r="G875" s="11" t="str">
        <f>IF($B875="","",RANK($D875,$D$2:$D$1501)+COUNTIF($D$2:D875,$D875)-1)</f>
        <v/>
      </c>
    </row>
    <row r="876" spans="1:7">
      <c r="A876" s="11">
        <v>875</v>
      </c>
      <c r="B876" s="11" t="str">
        <f>IFERROR(INDEX('Raw Data'!$R$2:$R$50000,MATCH(875,'Raw Data'!$W$2:$W$50000,0)),"")</f>
        <v/>
      </c>
      <c r="C876" s="11" t="str">
        <f t="shared" si="13"/>
        <v/>
      </c>
      <c r="D876" s="11" t="str">
        <f>IF($B876="","",COUNTIFS('Raw Data'!$R$2:$R$50000,$B876))</f>
        <v/>
      </c>
      <c r="E876" s="11" t="str">
        <f>IF($B876="","",SUMIFS('Raw Data'!$I$2:$I$50000,'Raw Data'!$R$2:$R$50000,$B876))</f>
        <v/>
      </c>
      <c r="F876" s="11" t="str">
        <f>IF($B876="","",RANK($E876,$E$2:$E$1501)+COUNTIF($E$2:E876,$E876)-1)</f>
        <v/>
      </c>
      <c r="G876" s="11" t="str">
        <f>IF($B876="","",RANK($D876,$D$2:$D$1501)+COUNTIF($D$2:D876,$D876)-1)</f>
        <v/>
      </c>
    </row>
    <row r="877" spans="1:7">
      <c r="A877" s="11">
        <v>876</v>
      </c>
      <c r="B877" s="11" t="str">
        <f>IFERROR(INDEX('Raw Data'!$R$2:$R$50000,MATCH(876,'Raw Data'!$W$2:$W$50000,0)),"")</f>
        <v/>
      </c>
      <c r="C877" s="11" t="str">
        <f t="shared" si="13"/>
        <v/>
      </c>
      <c r="D877" s="11" t="str">
        <f>IF($B877="","",COUNTIFS('Raw Data'!$R$2:$R$50000,$B877))</f>
        <v/>
      </c>
      <c r="E877" s="11" t="str">
        <f>IF($B877="","",SUMIFS('Raw Data'!$I$2:$I$50000,'Raw Data'!$R$2:$R$50000,$B877))</f>
        <v/>
      </c>
      <c r="F877" s="11" t="str">
        <f>IF($B877="","",RANK($E877,$E$2:$E$1501)+COUNTIF($E$2:E877,$E877)-1)</f>
        <v/>
      </c>
      <c r="G877" s="11" t="str">
        <f>IF($B877="","",RANK($D877,$D$2:$D$1501)+COUNTIF($D$2:D877,$D877)-1)</f>
        <v/>
      </c>
    </row>
    <row r="878" spans="1:7">
      <c r="A878" s="11">
        <v>877</v>
      </c>
      <c r="B878" s="11" t="str">
        <f>IFERROR(INDEX('Raw Data'!$R$2:$R$50000,MATCH(877,'Raw Data'!$W$2:$W$50000,0)),"")</f>
        <v/>
      </c>
      <c r="C878" s="11" t="str">
        <f t="shared" si="13"/>
        <v/>
      </c>
      <c r="D878" s="11" t="str">
        <f>IF($B878="","",COUNTIFS('Raw Data'!$R$2:$R$50000,$B878))</f>
        <v/>
      </c>
      <c r="E878" s="11" t="str">
        <f>IF($B878="","",SUMIFS('Raw Data'!$I$2:$I$50000,'Raw Data'!$R$2:$R$50000,$B878))</f>
        <v/>
      </c>
      <c r="F878" s="11" t="str">
        <f>IF($B878="","",RANK($E878,$E$2:$E$1501)+COUNTIF($E$2:E878,$E878)-1)</f>
        <v/>
      </c>
      <c r="G878" s="11" t="str">
        <f>IF($B878="","",RANK($D878,$D$2:$D$1501)+COUNTIF($D$2:D878,$D878)-1)</f>
        <v/>
      </c>
    </row>
    <row r="879" spans="1:7">
      <c r="A879" s="11">
        <v>878</v>
      </c>
      <c r="B879" s="11" t="str">
        <f>IFERROR(INDEX('Raw Data'!$R$2:$R$50000,MATCH(878,'Raw Data'!$W$2:$W$50000,0)),"")</f>
        <v/>
      </c>
      <c r="C879" s="11" t="str">
        <f t="shared" si="13"/>
        <v/>
      </c>
      <c r="D879" s="11" t="str">
        <f>IF($B879="","",COUNTIFS('Raw Data'!$R$2:$R$50000,$B879))</f>
        <v/>
      </c>
      <c r="E879" s="11" t="str">
        <f>IF($B879="","",SUMIFS('Raw Data'!$I$2:$I$50000,'Raw Data'!$R$2:$R$50000,$B879))</f>
        <v/>
      </c>
      <c r="F879" s="11" t="str">
        <f>IF($B879="","",RANK($E879,$E$2:$E$1501)+COUNTIF($E$2:E879,$E879)-1)</f>
        <v/>
      </c>
      <c r="G879" s="11" t="str">
        <f>IF($B879="","",RANK($D879,$D$2:$D$1501)+COUNTIF($D$2:D879,$D879)-1)</f>
        <v/>
      </c>
    </row>
    <row r="880" spans="1:7">
      <c r="A880" s="11">
        <v>879</v>
      </c>
      <c r="B880" s="11" t="str">
        <f>IFERROR(INDEX('Raw Data'!$R$2:$R$50000,MATCH(879,'Raw Data'!$W$2:$W$50000,0)),"")</f>
        <v/>
      </c>
      <c r="C880" s="11" t="str">
        <f t="shared" si="13"/>
        <v/>
      </c>
      <c r="D880" s="11" t="str">
        <f>IF($B880="","",COUNTIFS('Raw Data'!$R$2:$R$50000,$B880))</f>
        <v/>
      </c>
      <c r="E880" s="11" t="str">
        <f>IF($B880="","",SUMIFS('Raw Data'!$I$2:$I$50000,'Raw Data'!$R$2:$R$50000,$B880))</f>
        <v/>
      </c>
      <c r="F880" s="11" t="str">
        <f>IF($B880="","",RANK($E880,$E$2:$E$1501)+COUNTIF($E$2:E880,$E880)-1)</f>
        <v/>
      </c>
      <c r="G880" s="11" t="str">
        <f>IF($B880="","",RANK($D880,$D$2:$D$1501)+COUNTIF($D$2:D880,$D880)-1)</f>
        <v/>
      </c>
    </row>
    <row r="881" spans="1:7">
      <c r="A881" s="11">
        <v>880</v>
      </c>
      <c r="B881" s="11" t="str">
        <f>IFERROR(INDEX('Raw Data'!$R$2:$R$50000,MATCH(880,'Raw Data'!$W$2:$W$50000,0)),"")</f>
        <v/>
      </c>
      <c r="C881" s="11" t="str">
        <f t="shared" si="13"/>
        <v/>
      </c>
      <c r="D881" s="11" t="str">
        <f>IF($B881="","",COUNTIFS('Raw Data'!$R$2:$R$50000,$B881))</f>
        <v/>
      </c>
      <c r="E881" s="11" t="str">
        <f>IF($B881="","",SUMIFS('Raw Data'!$I$2:$I$50000,'Raw Data'!$R$2:$R$50000,$B881))</f>
        <v/>
      </c>
      <c r="F881" s="11" t="str">
        <f>IF($B881="","",RANK($E881,$E$2:$E$1501)+COUNTIF($E$2:E881,$E881)-1)</f>
        <v/>
      </c>
      <c r="G881" s="11" t="str">
        <f>IF($B881="","",RANK($D881,$D$2:$D$1501)+COUNTIF($D$2:D881,$D881)-1)</f>
        <v/>
      </c>
    </row>
    <row r="882" spans="1:7">
      <c r="A882" s="11">
        <v>881</v>
      </c>
      <c r="B882" s="11" t="str">
        <f>IFERROR(INDEX('Raw Data'!$R$2:$R$50000,MATCH(881,'Raw Data'!$W$2:$W$50000,0)),"")</f>
        <v/>
      </c>
      <c r="C882" s="11" t="str">
        <f t="shared" si="13"/>
        <v/>
      </c>
      <c r="D882" s="11" t="str">
        <f>IF($B882="","",COUNTIFS('Raw Data'!$R$2:$R$50000,$B882))</f>
        <v/>
      </c>
      <c r="E882" s="11" t="str">
        <f>IF($B882="","",SUMIFS('Raw Data'!$I$2:$I$50000,'Raw Data'!$R$2:$R$50000,$B882))</f>
        <v/>
      </c>
      <c r="F882" s="11" t="str">
        <f>IF($B882="","",RANK($E882,$E$2:$E$1501)+COUNTIF($E$2:E882,$E882)-1)</f>
        <v/>
      </c>
      <c r="G882" s="11" t="str">
        <f>IF($B882="","",RANK($D882,$D$2:$D$1501)+COUNTIF($D$2:D882,$D882)-1)</f>
        <v/>
      </c>
    </row>
    <row r="883" spans="1:7">
      <c r="A883" s="11">
        <v>882</v>
      </c>
      <c r="B883" s="11" t="str">
        <f>IFERROR(INDEX('Raw Data'!$R$2:$R$50000,MATCH(882,'Raw Data'!$W$2:$W$50000,0)),"")</f>
        <v/>
      </c>
      <c r="C883" s="11" t="str">
        <f t="shared" si="13"/>
        <v/>
      </c>
      <c r="D883" s="11" t="str">
        <f>IF($B883="","",COUNTIFS('Raw Data'!$R$2:$R$50000,$B883))</f>
        <v/>
      </c>
      <c r="E883" s="11" t="str">
        <f>IF($B883="","",SUMIFS('Raw Data'!$I$2:$I$50000,'Raw Data'!$R$2:$R$50000,$B883))</f>
        <v/>
      </c>
      <c r="F883" s="11" t="str">
        <f>IF($B883="","",RANK($E883,$E$2:$E$1501)+COUNTIF($E$2:E883,$E883)-1)</f>
        <v/>
      </c>
      <c r="G883" s="11" t="str">
        <f>IF($B883="","",RANK($D883,$D$2:$D$1501)+COUNTIF($D$2:D883,$D883)-1)</f>
        <v/>
      </c>
    </row>
    <row r="884" spans="1:7">
      <c r="A884" s="11">
        <v>883</v>
      </c>
      <c r="B884" s="11" t="str">
        <f>IFERROR(INDEX('Raw Data'!$R$2:$R$50000,MATCH(883,'Raw Data'!$W$2:$W$50000,0)),"")</f>
        <v/>
      </c>
      <c r="C884" s="11" t="str">
        <f t="shared" si="13"/>
        <v/>
      </c>
      <c r="D884" s="11" t="str">
        <f>IF($B884="","",COUNTIFS('Raw Data'!$R$2:$R$50000,$B884))</f>
        <v/>
      </c>
      <c r="E884" s="11" t="str">
        <f>IF($B884="","",SUMIFS('Raw Data'!$I$2:$I$50000,'Raw Data'!$R$2:$R$50000,$B884))</f>
        <v/>
      </c>
      <c r="F884" s="11" t="str">
        <f>IF($B884="","",RANK($E884,$E$2:$E$1501)+COUNTIF($E$2:E884,$E884)-1)</f>
        <v/>
      </c>
      <c r="G884" s="11" t="str">
        <f>IF($B884="","",RANK($D884,$D$2:$D$1501)+COUNTIF($D$2:D884,$D884)-1)</f>
        <v/>
      </c>
    </row>
    <row r="885" spans="1:7">
      <c r="A885" s="11">
        <v>884</v>
      </c>
      <c r="B885" s="11" t="str">
        <f>IFERROR(INDEX('Raw Data'!$R$2:$R$50000,MATCH(884,'Raw Data'!$W$2:$W$50000,0)),"")</f>
        <v/>
      </c>
      <c r="C885" s="11" t="str">
        <f t="shared" si="13"/>
        <v/>
      </c>
      <c r="D885" s="11" t="str">
        <f>IF($B885="","",COUNTIFS('Raw Data'!$R$2:$R$50000,$B885))</f>
        <v/>
      </c>
      <c r="E885" s="11" t="str">
        <f>IF($B885="","",SUMIFS('Raw Data'!$I$2:$I$50000,'Raw Data'!$R$2:$R$50000,$B885))</f>
        <v/>
      </c>
      <c r="F885" s="11" t="str">
        <f>IF($B885="","",RANK($E885,$E$2:$E$1501)+COUNTIF($E$2:E885,$E885)-1)</f>
        <v/>
      </c>
      <c r="G885" s="11" t="str">
        <f>IF($B885="","",RANK($D885,$D$2:$D$1501)+COUNTIF($D$2:D885,$D885)-1)</f>
        <v/>
      </c>
    </row>
    <row r="886" spans="1:7">
      <c r="A886" s="11">
        <v>885</v>
      </c>
      <c r="B886" s="11" t="str">
        <f>IFERROR(INDEX('Raw Data'!$R$2:$R$50000,MATCH(885,'Raw Data'!$W$2:$W$50000,0)),"")</f>
        <v/>
      </c>
      <c r="C886" s="11" t="str">
        <f t="shared" si="13"/>
        <v/>
      </c>
      <c r="D886" s="11" t="str">
        <f>IF($B886="","",COUNTIFS('Raw Data'!$R$2:$R$50000,$B886))</f>
        <v/>
      </c>
      <c r="E886" s="11" t="str">
        <f>IF($B886="","",SUMIFS('Raw Data'!$I$2:$I$50000,'Raw Data'!$R$2:$R$50000,$B886))</f>
        <v/>
      </c>
      <c r="F886" s="11" t="str">
        <f>IF($B886="","",RANK($E886,$E$2:$E$1501)+COUNTIF($E$2:E886,$E886)-1)</f>
        <v/>
      </c>
      <c r="G886" s="11" t="str">
        <f>IF($B886="","",RANK($D886,$D$2:$D$1501)+COUNTIF($D$2:D886,$D886)-1)</f>
        <v/>
      </c>
    </row>
    <row r="887" spans="1:7">
      <c r="A887" s="11">
        <v>886</v>
      </c>
      <c r="B887" s="11" t="str">
        <f>IFERROR(INDEX('Raw Data'!$R$2:$R$50000,MATCH(886,'Raw Data'!$W$2:$W$50000,0)),"")</f>
        <v/>
      </c>
      <c r="C887" s="11" t="str">
        <f t="shared" si="13"/>
        <v/>
      </c>
      <c r="D887" s="11" t="str">
        <f>IF($B887="","",COUNTIFS('Raw Data'!$R$2:$R$50000,$B887))</f>
        <v/>
      </c>
      <c r="E887" s="11" t="str">
        <f>IF($B887="","",SUMIFS('Raw Data'!$I$2:$I$50000,'Raw Data'!$R$2:$R$50000,$B887))</f>
        <v/>
      </c>
      <c r="F887" s="11" t="str">
        <f>IF($B887="","",RANK($E887,$E$2:$E$1501)+COUNTIF($E$2:E887,$E887)-1)</f>
        <v/>
      </c>
      <c r="G887" s="11" t="str">
        <f>IF($B887="","",RANK($D887,$D$2:$D$1501)+COUNTIF($D$2:D887,$D887)-1)</f>
        <v/>
      </c>
    </row>
    <row r="888" spans="1:7">
      <c r="A888" s="11">
        <v>887</v>
      </c>
      <c r="B888" s="11" t="str">
        <f>IFERROR(INDEX('Raw Data'!$R$2:$R$50000,MATCH(887,'Raw Data'!$W$2:$W$50000,0)),"")</f>
        <v/>
      </c>
      <c r="C888" s="11" t="str">
        <f t="shared" si="13"/>
        <v/>
      </c>
      <c r="D888" s="11" t="str">
        <f>IF($B888="","",COUNTIFS('Raw Data'!$R$2:$R$50000,$B888))</f>
        <v/>
      </c>
      <c r="E888" s="11" t="str">
        <f>IF($B888="","",SUMIFS('Raw Data'!$I$2:$I$50000,'Raw Data'!$R$2:$R$50000,$B888))</f>
        <v/>
      </c>
      <c r="F888" s="11" t="str">
        <f>IF($B888="","",RANK($E888,$E$2:$E$1501)+COUNTIF($E$2:E888,$E888)-1)</f>
        <v/>
      </c>
      <c r="G888" s="11" t="str">
        <f>IF($B888="","",RANK($D888,$D$2:$D$1501)+COUNTIF($D$2:D888,$D888)-1)</f>
        <v/>
      </c>
    </row>
    <row r="889" spans="1:7">
      <c r="A889" s="11">
        <v>888</v>
      </c>
      <c r="B889" s="11" t="str">
        <f>IFERROR(INDEX('Raw Data'!$R$2:$R$50000,MATCH(888,'Raw Data'!$W$2:$W$50000,0)),"")</f>
        <v/>
      </c>
      <c r="C889" s="11" t="str">
        <f t="shared" si="13"/>
        <v/>
      </c>
      <c r="D889" s="11" t="str">
        <f>IF($B889="","",COUNTIFS('Raw Data'!$R$2:$R$50000,$B889))</f>
        <v/>
      </c>
      <c r="E889" s="11" t="str">
        <f>IF($B889="","",SUMIFS('Raw Data'!$I$2:$I$50000,'Raw Data'!$R$2:$R$50000,$B889))</f>
        <v/>
      </c>
      <c r="F889" s="11" t="str">
        <f>IF($B889="","",RANK($E889,$E$2:$E$1501)+COUNTIF($E$2:E889,$E889)-1)</f>
        <v/>
      </c>
      <c r="G889" s="11" t="str">
        <f>IF($B889="","",RANK($D889,$D$2:$D$1501)+COUNTIF($D$2:D889,$D889)-1)</f>
        <v/>
      </c>
    </row>
    <row r="890" spans="1:7">
      <c r="A890" s="11">
        <v>889</v>
      </c>
      <c r="B890" s="11" t="str">
        <f>IFERROR(INDEX('Raw Data'!$R$2:$R$50000,MATCH(889,'Raw Data'!$W$2:$W$50000,0)),"")</f>
        <v/>
      </c>
      <c r="C890" s="11" t="str">
        <f t="shared" si="13"/>
        <v/>
      </c>
      <c r="D890" s="11" t="str">
        <f>IF($B890="","",COUNTIFS('Raw Data'!$R$2:$R$50000,$B890))</f>
        <v/>
      </c>
      <c r="E890" s="11" t="str">
        <f>IF($B890="","",SUMIFS('Raw Data'!$I$2:$I$50000,'Raw Data'!$R$2:$R$50000,$B890))</f>
        <v/>
      </c>
      <c r="F890" s="11" t="str">
        <f>IF($B890="","",RANK($E890,$E$2:$E$1501)+COUNTIF($E$2:E890,$E890)-1)</f>
        <v/>
      </c>
      <c r="G890" s="11" t="str">
        <f>IF($B890="","",RANK($D890,$D$2:$D$1501)+COUNTIF($D$2:D890,$D890)-1)</f>
        <v/>
      </c>
    </row>
    <row r="891" spans="1:7">
      <c r="A891" s="11">
        <v>890</v>
      </c>
      <c r="B891" s="11" t="str">
        <f>IFERROR(INDEX('Raw Data'!$R$2:$R$50000,MATCH(890,'Raw Data'!$W$2:$W$50000,0)),"")</f>
        <v/>
      </c>
      <c r="C891" s="11" t="str">
        <f t="shared" si="13"/>
        <v/>
      </c>
      <c r="D891" s="11" t="str">
        <f>IF($B891="","",COUNTIFS('Raw Data'!$R$2:$R$50000,$B891))</f>
        <v/>
      </c>
      <c r="E891" s="11" t="str">
        <f>IF($B891="","",SUMIFS('Raw Data'!$I$2:$I$50000,'Raw Data'!$R$2:$R$50000,$B891))</f>
        <v/>
      </c>
      <c r="F891" s="11" t="str">
        <f>IF($B891="","",RANK($E891,$E$2:$E$1501)+COUNTIF($E$2:E891,$E891)-1)</f>
        <v/>
      </c>
      <c r="G891" s="11" t="str">
        <f>IF($B891="","",RANK($D891,$D$2:$D$1501)+COUNTIF($D$2:D891,$D891)-1)</f>
        <v/>
      </c>
    </row>
    <row r="892" spans="1:7">
      <c r="A892" s="11">
        <v>891</v>
      </c>
      <c r="B892" s="11" t="str">
        <f>IFERROR(INDEX('Raw Data'!$R$2:$R$50000,MATCH(891,'Raw Data'!$W$2:$W$50000,0)),"")</f>
        <v/>
      </c>
      <c r="C892" s="11" t="str">
        <f t="shared" si="13"/>
        <v/>
      </c>
      <c r="D892" s="11" t="str">
        <f>IF($B892="","",COUNTIFS('Raw Data'!$R$2:$R$50000,$B892))</f>
        <v/>
      </c>
      <c r="E892" s="11" t="str">
        <f>IF($B892="","",SUMIFS('Raw Data'!$I$2:$I$50000,'Raw Data'!$R$2:$R$50000,$B892))</f>
        <v/>
      </c>
      <c r="F892" s="11" t="str">
        <f>IF($B892="","",RANK($E892,$E$2:$E$1501)+COUNTIF($E$2:E892,$E892)-1)</f>
        <v/>
      </c>
      <c r="G892" s="11" t="str">
        <f>IF($B892="","",RANK($D892,$D$2:$D$1501)+COUNTIF($D$2:D892,$D892)-1)</f>
        <v/>
      </c>
    </row>
    <row r="893" spans="1:7">
      <c r="A893" s="11">
        <v>892</v>
      </c>
      <c r="B893" s="11" t="str">
        <f>IFERROR(INDEX('Raw Data'!$R$2:$R$50000,MATCH(892,'Raw Data'!$W$2:$W$50000,0)),"")</f>
        <v/>
      </c>
      <c r="C893" s="11" t="str">
        <f t="shared" si="13"/>
        <v/>
      </c>
      <c r="D893" s="11" t="str">
        <f>IF($B893="","",COUNTIFS('Raw Data'!$R$2:$R$50000,$B893))</f>
        <v/>
      </c>
      <c r="E893" s="11" t="str">
        <f>IF($B893="","",SUMIFS('Raw Data'!$I$2:$I$50000,'Raw Data'!$R$2:$R$50000,$B893))</f>
        <v/>
      </c>
      <c r="F893" s="11" t="str">
        <f>IF($B893="","",RANK($E893,$E$2:$E$1501)+COUNTIF($E$2:E893,$E893)-1)</f>
        <v/>
      </c>
      <c r="G893" s="11" t="str">
        <f>IF($B893="","",RANK($D893,$D$2:$D$1501)+COUNTIF($D$2:D893,$D893)-1)</f>
        <v/>
      </c>
    </row>
    <row r="894" spans="1:7">
      <c r="A894" s="11">
        <v>893</v>
      </c>
      <c r="B894" s="11" t="str">
        <f>IFERROR(INDEX('Raw Data'!$R$2:$R$50000,MATCH(893,'Raw Data'!$W$2:$W$50000,0)),"")</f>
        <v/>
      </c>
      <c r="C894" s="11" t="str">
        <f t="shared" si="13"/>
        <v/>
      </c>
      <c r="D894" s="11" t="str">
        <f>IF($B894="","",COUNTIFS('Raw Data'!$R$2:$R$50000,$B894))</f>
        <v/>
      </c>
      <c r="E894" s="11" t="str">
        <f>IF($B894="","",SUMIFS('Raw Data'!$I$2:$I$50000,'Raw Data'!$R$2:$R$50000,$B894))</f>
        <v/>
      </c>
      <c r="F894" s="11" t="str">
        <f>IF($B894="","",RANK($E894,$E$2:$E$1501)+COUNTIF($E$2:E894,$E894)-1)</f>
        <v/>
      </c>
      <c r="G894" s="11" t="str">
        <f>IF($B894="","",RANK($D894,$D$2:$D$1501)+COUNTIF($D$2:D894,$D894)-1)</f>
        <v/>
      </c>
    </row>
    <row r="895" spans="1:7">
      <c r="A895" s="11">
        <v>894</v>
      </c>
      <c r="B895" s="11" t="str">
        <f>IFERROR(INDEX('Raw Data'!$R$2:$R$50000,MATCH(894,'Raw Data'!$W$2:$W$50000,0)),"")</f>
        <v/>
      </c>
      <c r="C895" s="11" t="str">
        <f t="shared" si="13"/>
        <v/>
      </c>
      <c r="D895" s="11" t="str">
        <f>IF($B895="","",COUNTIFS('Raw Data'!$R$2:$R$50000,$B895))</f>
        <v/>
      </c>
      <c r="E895" s="11" t="str">
        <f>IF($B895="","",SUMIFS('Raw Data'!$I$2:$I$50000,'Raw Data'!$R$2:$R$50000,$B895))</f>
        <v/>
      </c>
      <c r="F895" s="11" t="str">
        <f>IF($B895="","",RANK($E895,$E$2:$E$1501)+COUNTIF($E$2:E895,$E895)-1)</f>
        <v/>
      </c>
      <c r="G895" s="11" t="str">
        <f>IF($B895="","",RANK($D895,$D$2:$D$1501)+COUNTIF($D$2:D895,$D895)-1)</f>
        <v/>
      </c>
    </row>
    <row r="896" spans="1:7">
      <c r="A896" s="11">
        <v>895</v>
      </c>
      <c r="B896" s="11" t="str">
        <f>IFERROR(INDEX('Raw Data'!$R$2:$R$50000,MATCH(895,'Raw Data'!$W$2:$W$50000,0)),"")</f>
        <v/>
      </c>
      <c r="C896" s="11" t="str">
        <f t="shared" si="13"/>
        <v/>
      </c>
      <c r="D896" s="11" t="str">
        <f>IF($B896="","",COUNTIFS('Raw Data'!$R$2:$R$50000,$B896))</f>
        <v/>
      </c>
      <c r="E896" s="11" t="str">
        <f>IF($B896="","",SUMIFS('Raw Data'!$I$2:$I$50000,'Raw Data'!$R$2:$R$50000,$B896))</f>
        <v/>
      </c>
      <c r="F896" s="11" t="str">
        <f>IF($B896="","",RANK($E896,$E$2:$E$1501)+COUNTIF($E$2:E896,$E896)-1)</f>
        <v/>
      </c>
      <c r="G896" s="11" t="str">
        <f>IF($B896="","",RANK($D896,$D$2:$D$1501)+COUNTIF($D$2:D896,$D896)-1)</f>
        <v/>
      </c>
    </row>
    <row r="897" spans="1:7">
      <c r="A897" s="11">
        <v>896</v>
      </c>
      <c r="B897" s="11" t="str">
        <f>IFERROR(INDEX('Raw Data'!$R$2:$R$50000,MATCH(896,'Raw Data'!$W$2:$W$50000,0)),"")</f>
        <v/>
      </c>
      <c r="C897" s="11" t="str">
        <f t="shared" si="13"/>
        <v/>
      </c>
      <c r="D897" s="11" t="str">
        <f>IF($B897="","",COUNTIFS('Raw Data'!$R$2:$R$50000,$B897))</f>
        <v/>
      </c>
      <c r="E897" s="11" t="str">
        <f>IF($B897="","",SUMIFS('Raw Data'!$I$2:$I$50000,'Raw Data'!$R$2:$R$50000,$B897))</f>
        <v/>
      </c>
      <c r="F897" s="11" t="str">
        <f>IF($B897="","",RANK($E897,$E$2:$E$1501)+COUNTIF($E$2:E897,$E897)-1)</f>
        <v/>
      </c>
      <c r="G897" s="11" t="str">
        <f>IF($B897="","",RANK($D897,$D$2:$D$1501)+COUNTIF($D$2:D897,$D897)-1)</f>
        <v/>
      </c>
    </row>
    <row r="898" spans="1:7">
      <c r="A898" s="11">
        <v>897</v>
      </c>
      <c r="B898" s="11" t="str">
        <f>IFERROR(INDEX('Raw Data'!$R$2:$R$50000,MATCH(897,'Raw Data'!$W$2:$W$50000,0)),"")</f>
        <v/>
      </c>
      <c r="C898" s="11" t="str">
        <f t="shared" ref="C898:C961" si="14">IF($B898="","",$B898)</f>
        <v/>
      </c>
      <c r="D898" s="11" t="str">
        <f>IF($B898="","",COUNTIFS('Raw Data'!$R$2:$R$50000,$B898))</f>
        <v/>
      </c>
      <c r="E898" s="11" t="str">
        <f>IF($B898="","",SUMIFS('Raw Data'!$I$2:$I$50000,'Raw Data'!$R$2:$R$50000,$B898))</f>
        <v/>
      </c>
      <c r="F898" s="11" t="str">
        <f>IF($B898="","",RANK($E898,$E$2:$E$1501)+COUNTIF($E$2:E898,$E898)-1)</f>
        <v/>
      </c>
      <c r="G898" s="11" t="str">
        <f>IF($B898="","",RANK($D898,$D$2:$D$1501)+COUNTIF($D$2:D898,$D898)-1)</f>
        <v/>
      </c>
    </row>
    <row r="899" spans="1:7">
      <c r="A899" s="11">
        <v>898</v>
      </c>
      <c r="B899" s="11" t="str">
        <f>IFERROR(INDEX('Raw Data'!$R$2:$R$50000,MATCH(898,'Raw Data'!$W$2:$W$50000,0)),"")</f>
        <v/>
      </c>
      <c r="C899" s="11" t="str">
        <f t="shared" si="14"/>
        <v/>
      </c>
      <c r="D899" s="11" t="str">
        <f>IF($B899="","",COUNTIFS('Raw Data'!$R$2:$R$50000,$B899))</f>
        <v/>
      </c>
      <c r="E899" s="11" t="str">
        <f>IF($B899="","",SUMIFS('Raw Data'!$I$2:$I$50000,'Raw Data'!$R$2:$R$50000,$B899))</f>
        <v/>
      </c>
      <c r="F899" s="11" t="str">
        <f>IF($B899="","",RANK($E899,$E$2:$E$1501)+COUNTIF($E$2:E899,$E899)-1)</f>
        <v/>
      </c>
      <c r="G899" s="11" t="str">
        <f>IF($B899="","",RANK($D899,$D$2:$D$1501)+COUNTIF($D$2:D899,$D899)-1)</f>
        <v/>
      </c>
    </row>
    <row r="900" spans="1:7">
      <c r="A900" s="11">
        <v>899</v>
      </c>
      <c r="B900" s="11" t="str">
        <f>IFERROR(INDEX('Raw Data'!$R$2:$R$50000,MATCH(899,'Raw Data'!$W$2:$W$50000,0)),"")</f>
        <v/>
      </c>
      <c r="C900" s="11" t="str">
        <f t="shared" si="14"/>
        <v/>
      </c>
      <c r="D900" s="11" t="str">
        <f>IF($B900="","",COUNTIFS('Raw Data'!$R$2:$R$50000,$B900))</f>
        <v/>
      </c>
      <c r="E900" s="11" t="str">
        <f>IF($B900="","",SUMIFS('Raw Data'!$I$2:$I$50000,'Raw Data'!$R$2:$R$50000,$B900))</f>
        <v/>
      </c>
      <c r="F900" s="11" t="str">
        <f>IF($B900="","",RANK($E900,$E$2:$E$1501)+COUNTIF($E$2:E900,$E900)-1)</f>
        <v/>
      </c>
      <c r="G900" s="11" t="str">
        <f>IF($B900="","",RANK($D900,$D$2:$D$1501)+COUNTIF($D$2:D900,$D900)-1)</f>
        <v/>
      </c>
    </row>
    <row r="901" spans="1:7">
      <c r="A901" s="11">
        <v>900</v>
      </c>
      <c r="B901" s="11" t="str">
        <f>IFERROR(INDEX('Raw Data'!$R$2:$R$50000,MATCH(900,'Raw Data'!$W$2:$W$50000,0)),"")</f>
        <v/>
      </c>
      <c r="C901" s="11" t="str">
        <f t="shared" si="14"/>
        <v/>
      </c>
      <c r="D901" s="11" t="str">
        <f>IF($B901="","",COUNTIFS('Raw Data'!$R$2:$R$50000,$B901))</f>
        <v/>
      </c>
      <c r="E901" s="11" t="str">
        <f>IF($B901="","",SUMIFS('Raw Data'!$I$2:$I$50000,'Raw Data'!$R$2:$R$50000,$B901))</f>
        <v/>
      </c>
      <c r="F901" s="11" t="str">
        <f>IF($B901="","",RANK($E901,$E$2:$E$1501)+COUNTIF($E$2:E901,$E901)-1)</f>
        <v/>
      </c>
      <c r="G901" s="11" t="str">
        <f>IF($B901="","",RANK($D901,$D$2:$D$1501)+COUNTIF($D$2:D901,$D901)-1)</f>
        <v/>
      </c>
    </row>
    <row r="902" spans="1:7">
      <c r="A902" s="11">
        <v>901</v>
      </c>
      <c r="B902" s="11" t="str">
        <f>IFERROR(INDEX('Raw Data'!$R$2:$R$50000,MATCH(901,'Raw Data'!$W$2:$W$50000,0)),"")</f>
        <v/>
      </c>
      <c r="C902" s="11" t="str">
        <f t="shared" si="14"/>
        <v/>
      </c>
      <c r="D902" s="11" t="str">
        <f>IF($B902="","",COUNTIFS('Raw Data'!$R$2:$R$50000,$B902))</f>
        <v/>
      </c>
      <c r="E902" s="11" t="str">
        <f>IF($B902="","",SUMIFS('Raw Data'!$I$2:$I$50000,'Raw Data'!$R$2:$R$50000,$B902))</f>
        <v/>
      </c>
      <c r="F902" s="11" t="str">
        <f>IF($B902="","",RANK($E902,$E$2:$E$1501)+COUNTIF($E$2:E902,$E902)-1)</f>
        <v/>
      </c>
      <c r="G902" s="11" t="str">
        <f>IF($B902="","",RANK($D902,$D$2:$D$1501)+COUNTIF($D$2:D902,$D902)-1)</f>
        <v/>
      </c>
    </row>
    <row r="903" spans="1:7">
      <c r="A903" s="11">
        <v>902</v>
      </c>
      <c r="B903" s="11" t="str">
        <f>IFERROR(INDEX('Raw Data'!$R$2:$R$50000,MATCH(902,'Raw Data'!$W$2:$W$50000,0)),"")</f>
        <v/>
      </c>
      <c r="C903" s="11" t="str">
        <f t="shared" si="14"/>
        <v/>
      </c>
      <c r="D903" s="11" t="str">
        <f>IF($B903="","",COUNTIFS('Raw Data'!$R$2:$R$50000,$B903))</f>
        <v/>
      </c>
      <c r="E903" s="11" t="str">
        <f>IF($B903="","",SUMIFS('Raw Data'!$I$2:$I$50000,'Raw Data'!$R$2:$R$50000,$B903))</f>
        <v/>
      </c>
      <c r="F903" s="11" t="str">
        <f>IF($B903="","",RANK($E903,$E$2:$E$1501)+COUNTIF($E$2:E903,$E903)-1)</f>
        <v/>
      </c>
      <c r="G903" s="11" t="str">
        <f>IF($B903="","",RANK($D903,$D$2:$D$1501)+COUNTIF($D$2:D903,$D903)-1)</f>
        <v/>
      </c>
    </row>
    <row r="904" spans="1:7">
      <c r="A904" s="11">
        <v>903</v>
      </c>
      <c r="B904" s="11" t="str">
        <f>IFERROR(INDEX('Raw Data'!$R$2:$R$50000,MATCH(903,'Raw Data'!$W$2:$W$50000,0)),"")</f>
        <v/>
      </c>
      <c r="C904" s="11" t="str">
        <f t="shared" si="14"/>
        <v/>
      </c>
      <c r="D904" s="11" t="str">
        <f>IF($B904="","",COUNTIFS('Raw Data'!$R$2:$R$50000,$B904))</f>
        <v/>
      </c>
      <c r="E904" s="11" t="str">
        <f>IF($B904="","",SUMIFS('Raw Data'!$I$2:$I$50000,'Raw Data'!$R$2:$R$50000,$B904))</f>
        <v/>
      </c>
      <c r="F904" s="11" t="str">
        <f>IF($B904="","",RANK($E904,$E$2:$E$1501)+COUNTIF($E$2:E904,$E904)-1)</f>
        <v/>
      </c>
      <c r="G904" s="11" t="str">
        <f>IF($B904="","",RANK($D904,$D$2:$D$1501)+COUNTIF($D$2:D904,$D904)-1)</f>
        <v/>
      </c>
    </row>
    <row r="905" spans="1:7">
      <c r="A905" s="11">
        <v>904</v>
      </c>
      <c r="B905" s="11" t="str">
        <f>IFERROR(INDEX('Raw Data'!$R$2:$R$50000,MATCH(904,'Raw Data'!$W$2:$W$50000,0)),"")</f>
        <v/>
      </c>
      <c r="C905" s="11" t="str">
        <f t="shared" si="14"/>
        <v/>
      </c>
      <c r="D905" s="11" t="str">
        <f>IF($B905="","",COUNTIFS('Raw Data'!$R$2:$R$50000,$B905))</f>
        <v/>
      </c>
      <c r="E905" s="11" t="str">
        <f>IF($B905="","",SUMIFS('Raw Data'!$I$2:$I$50000,'Raw Data'!$R$2:$R$50000,$B905))</f>
        <v/>
      </c>
      <c r="F905" s="11" t="str">
        <f>IF($B905="","",RANK($E905,$E$2:$E$1501)+COUNTIF($E$2:E905,$E905)-1)</f>
        <v/>
      </c>
      <c r="G905" s="11" t="str">
        <f>IF($B905="","",RANK($D905,$D$2:$D$1501)+COUNTIF($D$2:D905,$D905)-1)</f>
        <v/>
      </c>
    </row>
    <row r="906" spans="1:7">
      <c r="A906" s="11">
        <v>905</v>
      </c>
      <c r="B906" s="11" t="str">
        <f>IFERROR(INDEX('Raw Data'!$R$2:$R$50000,MATCH(905,'Raw Data'!$W$2:$W$50000,0)),"")</f>
        <v/>
      </c>
      <c r="C906" s="11" t="str">
        <f t="shared" si="14"/>
        <v/>
      </c>
      <c r="D906" s="11" t="str">
        <f>IF($B906="","",COUNTIFS('Raw Data'!$R$2:$R$50000,$B906))</f>
        <v/>
      </c>
      <c r="E906" s="11" t="str">
        <f>IF($B906="","",SUMIFS('Raw Data'!$I$2:$I$50000,'Raw Data'!$R$2:$R$50000,$B906))</f>
        <v/>
      </c>
      <c r="F906" s="11" t="str">
        <f>IF($B906="","",RANK($E906,$E$2:$E$1501)+COUNTIF($E$2:E906,$E906)-1)</f>
        <v/>
      </c>
      <c r="G906" s="11" t="str">
        <f>IF($B906="","",RANK($D906,$D$2:$D$1501)+COUNTIF($D$2:D906,$D906)-1)</f>
        <v/>
      </c>
    </row>
    <row r="907" spans="1:7">
      <c r="A907" s="11">
        <v>906</v>
      </c>
      <c r="B907" s="11" t="str">
        <f>IFERROR(INDEX('Raw Data'!$R$2:$R$50000,MATCH(906,'Raw Data'!$W$2:$W$50000,0)),"")</f>
        <v/>
      </c>
      <c r="C907" s="11" t="str">
        <f t="shared" si="14"/>
        <v/>
      </c>
      <c r="D907" s="11" t="str">
        <f>IF($B907="","",COUNTIFS('Raw Data'!$R$2:$R$50000,$B907))</f>
        <v/>
      </c>
      <c r="E907" s="11" t="str">
        <f>IF($B907="","",SUMIFS('Raw Data'!$I$2:$I$50000,'Raw Data'!$R$2:$R$50000,$B907))</f>
        <v/>
      </c>
      <c r="F907" s="11" t="str">
        <f>IF($B907="","",RANK($E907,$E$2:$E$1501)+COUNTIF($E$2:E907,$E907)-1)</f>
        <v/>
      </c>
      <c r="G907" s="11" t="str">
        <f>IF($B907="","",RANK($D907,$D$2:$D$1501)+COUNTIF($D$2:D907,$D907)-1)</f>
        <v/>
      </c>
    </row>
    <row r="908" spans="1:7">
      <c r="A908" s="11">
        <v>907</v>
      </c>
      <c r="B908" s="11" t="str">
        <f>IFERROR(INDEX('Raw Data'!$R$2:$R$50000,MATCH(907,'Raw Data'!$W$2:$W$50000,0)),"")</f>
        <v/>
      </c>
      <c r="C908" s="11" t="str">
        <f t="shared" si="14"/>
        <v/>
      </c>
      <c r="D908" s="11" t="str">
        <f>IF($B908="","",COUNTIFS('Raw Data'!$R$2:$R$50000,$B908))</f>
        <v/>
      </c>
      <c r="E908" s="11" t="str">
        <f>IF($B908="","",SUMIFS('Raw Data'!$I$2:$I$50000,'Raw Data'!$R$2:$R$50000,$B908))</f>
        <v/>
      </c>
      <c r="F908" s="11" t="str">
        <f>IF($B908="","",RANK($E908,$E$2:$E$1501)+COUNTIF($E$2:E908,$E908)-1)</f>
        <v/>
      </c>
      <c r="G908" s="11" t="str">
        <f>IF($B908="","",RANK($D908,$D$2:$D$1501)+COUNTIF($D$2:D908,$D908)-1)</f>
        <v/>
      </c>
    </row>
    <row r="909" spans="1:7">
      <c r="A909" s="11">
        <v>908</v>
      </c>
      <c r="B909" s="11" t="str">
        <f>IFERROR(INDEX('Raw Data'!$R$2:$R$50000,MATCH(908,'Raw Data'!$W$2:$W$50000,0)),"")</f>
        <v/>
      </c>
      <c r="C909" s="11" t="str">
        <f t="shared" si="14"/>
        <v/>
      </c>
      <c r="D909" s="11" t="str">
        <f>IF($B909="","",COUNTIFS('Raw Data'!$R$2:$R$50000,$B909))</f>
        <v/>
      </c>
      <c r="E909" s="11" t="str">
        <f>IF($B909="","",SUMIFS('Raw Data'!$I$2:$I$50000,'Raw Data'!$R$2:$R$50000,$B909))</f>
        <v/>
      </c>
      <c r="F909" s="11" t="str">
        <f>IF($B909="","",RANK($E909,$E$2:$E$1501)+COUNTIF($E$2:E909,$E909)-1)</f>
        <v/>
      </c>
      <c r="G909" s="11" t="str">
        <f>IF($B909="","",RANK($D909,$D$2:$D$1501)+COUNTIF($D$2:D909,$D909)-1)</f>
        <v/>
      </c>
    </row>
    <row r="910" spans="1:7">
      <c r="A910" s="11">
        <v>909</v>
      </c>
      <c r="B910" s="11" t="str">
        <f>IFERROR(INDEX('Raw Data'!$R$2:$R$50000,MATCH(909,'Raw Data'!$W$2:$W$50000,0)),"")</f>
        <v/>
      </c>
      <c r="C910" s="11" t="str">
        <f t="shared" si="14"/>
        <v/>
      </c>
      <c r="D910" s="11" t="str">
        <f>IF($B910="","",COUNTIFS('Raw Data'!$R$2:$R$50000,$B910))</f>
        <v/>
      </c>
      <c r="E910" s="11" t="str">
        <f>IF($B910="","",SUMIFS('Raw Data'!$I$2:$I$50000,'Raw Data'!$R$2:$R$50000,$B910))</f>
        <v/>
      </c>
      <c r="F910" s="11" t="str">
        <f>IF($B910="","",RANK($E910,$E$2:$E$1501)+COUNTIF($E$2:E910,$E910)-1)</f>
        <v/>
      </c>
      <c r="G910" s="11" t="str">
        <f>IF($B910="","",RANK($D910,$D$2:$D$1501)+COUNTIF($D$2:D910,$D910)-1)</f>
        <v/>
      </c>
    </row>
    <row r="911" spans="1:7">
      <c r="A911" s="11">
        <v>910</v>
      </c>
      <c r="B911" s="11" t="str">
        <f>IFERROR(INDEX('Raw Data'!$R$2:$R$50000,MATCH(910,'Raw Data'!$W$2:$W$50000,0)),"")</f>
        <v/>
      </c>
      <c r="C911" s="11" t="str">
        <f t="shared" si="14"/>
        <v/>
      </c>
      <c r="D911" s="11" t="str">
        <f>IF($B911="","",COUNTIFS('Raw Data'!$R$2:$R$50000,$B911))</f>
        <v/>
      </c>
      <c r="E911" s="11" t="str">
        <f>IF($B911="","",SUMIFS('Raw Data'!$I$2:$I$50000,'Raw Data'!$R$2:$R$50000,$B911))</f>
        <v/>
      </c>
      <c r="F911" s="11" t="str">
        <f>IF($B911="","",RANK($E911,$E$2:$E$1501)+COUNTIF($E$2:E911,$E911)-1)</f>
        <v/>
      </c>
      <c r="G911" s="11" t="str">
        <f>IF($B911="","",RANK($D911,$D$2:$D$1501)+COUNTIF($D$2:D911,$D911)-1)</f>
        <v/>
      </c>
    </row>
    <row r="912" spans="1:7">
      <c r="A912" s="11">
        <v>911</v>
      </c>
      <c r="B912" s="11" t="str">
        <f>IFERROR(INDEX('Raw Data'!$R$2:$R$50000,MATCH(911,'Raw Data'!$W$2:$W$50000,0)),"")</f>
        <v/>
      </c>
      <c r="C912" s="11" t="str">
        <f t="shared" si="14"/>
        <v/>
      </c>
      <c r="D912" s="11" t="str">
        <f>IF($B912="","",COUNTIFS('Raw Data'!$R$2:$R$50000,$B912))</f>
        <v/>
      </c>
      <c r="E912" s="11" t="str">
        <f>IF($B912="","",SUMIFS('Raw Data'!$I$2:$I$50000,'Raw Data'!$R$2:$R$50000,$B912))</f>
        <v/>
      </c>
      <c r="F912" s="11" t="str">
        <f>IF($B912="","",RANK($E912,$E$2:$E$1501)+COUNTIF($E$2:E912,$E912)-1)</f>
        <v/>
      </c>
      <c r="G912" s="11" t="str">
        <f>IF($B912="","",RANK($D912,$D$2:$D$1501)+COUNTIF($D$2:D912,$D912)-1)</f>
        <v/>
      </c>
    </row>
    <row r="913" spans="1:7">
      <c r="A913" s="11">
        <v>912</v>
      </c>
      <c r="B913" s="11" t="str">
        <f>IFERROR(INDEX('Raw Data'!$R$2:$R$50000,MATCH(912,'Raw Data'!$W$2:$W$50000,0)),"")</f>
        <v/>
      </c>
      <c r="C913" s="11" t="str">
        <f t="shared" si="14"/>
        <v/>
      </c>
      <c r="D913" s="11" t="str">
        <f>IF($B913="","",COUNTIFS('Raw Data'!$R$2:$R$50000,$B913))</f>
        <v/>
      </c>
      <c r="E913" s="11" t="str">
        <f>IF($B913="","",SUMIFS('Raw Data'!$I$2:$I$50000,'Raw Data'!$R$2:$R$50000,$B913))</f>
        <v/>
      </c>
      <c r="F913" s="11" t="str">
        <f>IF($B913="","",RANK($E913,$E$2:$E$1501)+COUNTIF($E$2:E913,$E913)-1)</f>
        <v/>
      </c>
      <c r="G913" s="11" t="str">
        <f>IF($B913="","",RANK($D913,$D$2:$D$1501)+COUNTIF($D$2:D913,$D913)-1)</f>
        <v/>
      </c>
    </row>
    <row r="914" spans="1:7">
      <c r="A914" s="11">
        <v>913</v>
      </c>
      <c r="B914" s="11" t="str">
        <f>IFERROR(INDEX('Raw Data'!$R$2:$R$50000,MATCH(913,'Raw Data'!$W$2:$W$50000,0)),"")</f>
        <v/>
      </c>
      <c r="C914" s="11" t="str">
        <f t="shared" si="14"/>
        <v/>
      </c>
      <c r="D914" s="11" t="str">
        <f>IF($B914="","",COUNTIFS('Raw Data'!$R$2:$R$50000,$B914))</f>
        <v/>
      </c>
      <c r="E914" s="11" t="str">
        <f>IF($B914="","",SUMIFS('Raw Data'!$I$2:$I$50000,'Raw Data'!$R$2:$R$50000,$B914))</f>
        <v/>
      </c>
      <c r="F914" s="11" t="str">
        <f>IF($B914="","",RANK($E914,$E$2:$E$1501)+COUNTIF($E$2:E914,$E914)-1)</f>
        <v/>
      </c>
      <c r="G914" s="11" t="str">
        <f>IF($B914="","",RANK($D914,$D$2:$D$1501)+COUNTIF($D$2:D914,$D914)-1)</f>
        <v/>
      </c>
    </row>
    <row r="915" spans="1:7">
      <c r="A915" s="11">
        <v>914</v>
      </c>
      <c r="B915" s="11" t="str">
        <f>IFERROR(INDEX('Raw Data'!$R$2:$R$50000,MATCH(914,'Raw Data'!$W$2:$W$50000,0)),"")</f>
        <v/>
      </c>
      <c r="C915" s="11" t="str">
        <f t="shared" si="14"/>
        <v/>
      </c>
      <c r="D915" s="11" t="str">
        <f>IF($B915="","",COUNTIFS('Raw Data'!$R$2:$R$50000,$B915))</f>
        <v/>
      </c>
      <c r="E915" s="11" t="str">
        <f>IF($B915="","",SUMIFS('Raw Data'!$I$2:$I$50000,'Raw Data'!$R$2:$R$50000,$B915))</f>
        <v/>
      </c>
      <c r="F915" s="11" t="str">
        <f>IF($B915="","",RANK($E915,$E$2:$E$1501)+COUNTIF($E$2:E915,$E915)-1)</f>
        <v/>
      </c>
      <c r="G915" s="11" t="str">
        <f>IF($B915="","",RANK($D915,$D$2:$D$1501)+COUNTIF($D$2:D915,$D915)-1)</f>
        <v/>
      </c>
    </row>
    <row r="916" spans="1:7">
      <c r="A916" s="11">
        <v>915</v>
      </c>
      <c r="B916" s="11" t="str">
        <f>IFERROR(INDEX('Raw Data'!$R$2:$R$50000,MATCH(915,'Raw Data'!$W$2:$W$50000,0)),"")</f>
        <v/>
      </c>
      <c r="C916" s="11" t="str">
        <f t="shared" si="14"/>
        <v/>
      </c>
      <c r="D916" s="11" t="str">
        <f>IF($B916="","",COUNTIFS('Raw Data'!$R$2:$R$50000,$B916))</f>
        <v/>
      </c>
      <c r="E916" s="11" t="str">
        <f>IF($B916="","",SUMIFS('Raw Data'!$I$2:$I$50000,'Raw Data'!$R$2:$R$50000,$B916))</f>
        <v/>
      </c>
      <c r="F916" s="11" t="str">
        <f>IF($B916="","",RANK($E916,$E$2:$E$1501)+COUNTIF($E$2:E916,$E916)-1)</f>
        <v/>
      </c>
      <c r="G916" s="11" t="str">
        <f>IF($B916="","",RANK($D916,$D$2:$D$1501)+COUNTIF($D$2:D916,$D916)-1)</f>
        <v/>
      </c>
    </row>
    <row r="917" spans="1:7">
      <c r="A917" s="11">
        <v>916</v>
      </c>
      <c r="B917" s="11" t="str">
        <f>IFERROR(INDEX('Raw Data'!$R$2:$R$50000,MATCH(916,'Raw Data'!$W$2:$W$50000,0)),"")</f>
        <v/>
      </c>
      <c r="C917" s="11" t="str">
        <f t="shared" si="14"/>
        <v/>
      </c>
      <c r="D917" s="11" t="str">
        <f>IF($B917="","",COUNTIFS('Raw Data'!$R$2:$R$50000,$B917))</f>
        <v/>
      </c>
      <c r="E917" s="11" t="str">
        <f>IF($B917="","",SUMIFS('Raw Data'!$I$2:$I$50000,'Raw Data'!$R$2:$R$50000,$B917))</f>
        <v/>
      </c>
      <c r="F917" s="11" t="str">
        <f>IF($B917="","",RANK($E917,$E$2:$E$1501)+COUNTIF($E$2:E917,$E917)-1)</f>
        <v/>
      </c>
      <c r="G917" s="11" t="str">
        <f>IF($B917="","",RANK($D917,$D$2:$D$1501)+COUNTIF($D$2:D917,$D917)-1)</f>
        <v/>
      </c>
    </row>
    <row r="918" spans="1:7">
      <c r="A918" s="11">
        <v>917</v>
      </c>
      <c r="B918" s="11" t="str">
        <f>IFERROR(INDEX('Raw Data'!$R$2:$R$50000,MATCH(917,'Raw Data'!$W$2:$W$50000,0)),"")</f>
        <v/>
      </c>
      <c r="C918" s="11" t="str">
        <f t="shared" si="14"/>
        <v/>
      </c>
      <c r="D918" s="11" t="str">
        <f>IF($B918="","",COUNTIFS('Raw Data'!$R$2:$R$50000,$B918))</f>
        <v/>
      </c>
      <c r="E918" s="11" t="str">
        <f>IF($B918="","",SUMIFS('Raw Data'!$I$2:$I$50000,'Raw Data'!$R$2:$R$50000,$B918))</f>
        <v/>
      </c>
      <c r="F918" s="11" t="str">
        <f>IF($B918="","",RANK($E918,$E$2:$E$1501)+COUNTIF($E$2:E918,$E918)-1)</f>
        <v/>
      </c>
      <c r="G918" s="11" t="str">
        <f>IF($B918="","",RANK($D918,$D$2:$D$1501)+COUNTIF($D$2:D918,$D918)-1)</f>
        <v/>
      </c>
    </row>
    <row r="919" spans="1:7">
      <c r="A919" s="11">
        <v>918</v>
      </c>
      <c r="B919" s="11" t="str">
        <f>IFERROR(INDEX('Raw Data'!$R$2:$R$50000,MATCH(918,'Raw Data'!$W$2:$W$50000,0)),"")</f>
        <v/>
      </c>
      <c r="C919" s="11" t="str">
        <f t="shared" si="14"/>
        <v/>
      </c>
      <c r="D919" s="11" t="str">
        <f>IF($B919="","",COUNTIFS('Raw Data'!$R$2:$R$50000,$B919))</f>
        <v/>
      </c>
      <c r="E919" s="11" t="str">
        <f>IF($B919="","",SUMIFS('Raw Data'!$I$2:$I$50000,'Raw Data'!$R$2:$R$50000,$B919))</f>
        <v/>
      </c>
      <c r="F919" s="11" t="str">
        <f>IF($B919="","",RANK($E919,$E$2:$E$1501)+COUNTIF($E$2:E919,$E919)-1)</f>
        <v/>
      </c>
      <c r="G919" s="11" t="str">
        <f>IF($B919="","",RANK($D919,$D$2:$D$1501)+COUNTIF($D$2:D919,$D919)-1)</f>
        <v/>
      </c>
    </row>
    <row r="920" spans="1:7">
      <c r="A920" s="11">
        <v>919</v>
      </c>
      <c r="B920" s="11" t="str">
        <f>IFERROR(INDEX('Raw Data'!$R$2:$R$50000,MATCH(919,'Raw Data'!$W$2:$W$50000,0)),"")</f>
        <v/>
      </c>
      <c r="C920" s="11" t="str">
        <f t="shared" si="14"/>
        <v/>
      </c>
      <c r="D920" s="11" t="str">
        <f>IF($B920="","",COUNTIFS('Raw Data'!$R$2:$R$50000,$B920))</f>
        <v/>
      </c>
      <c r="E920" s="11" t="str">
        <f>IF($B920="","",SUMIFS('Raw Data'!$I$2:$I$50000,'Raw Data'!$R$2:$R$50000,$B920))</f>
        <v/>
      </c>
      <c r="F920" s="11" t="str">
        <f>IF($B920="","",RANK($E920,$E$2:$E$1501)+COUNTIF($E$2:E920,$E920)-1)</f>
        <v/>
      </c>
      <c r="G920" s="11" t="str">
        <f>IF($B920="","",RANK($D920,$D$2:$D$1501)+COUNTIF($D$2:D920,$D920)-1)</f>
        <v/>
      </c>
    </row>
    <row r="921" spans="1:7">
      <c r="A921" s="11">
        <v>920</v>
      </c>
      <c r="B921" s="11" t="str">
        <f>IFERROR(INDEX('Raw Data'!$R$2:$R$50000,MATCH(920,'Raw Data'!$W$2:$W$50000,0)),"")</f>
        <v/>
      </c>
      <c r="C921" s="11" t="str">
        <f t="shared" si="14"/>
        <v/>
      </c>
      <c r="D921" s="11" t="str">
        <f>IF($B921="","",COUNTIFS('Raw Data'!$R$2:$R$50000,$B921))</f>
        <v/>
      </c>
      <c r="E921" s="11" t="str">
        <f>IF($B921="","",SUMIFS('Raw Data'!$I$2:$I$50000,'Raw Data'!$R$2:$R$50000,$B921))</f>
        <v/>
      </c>
      <c r="F921" s="11" t="str">
        <f>IF($B921="","",RANK($E921,$E$2:$E$1501)+COUNTIF($E$2:E921,$E921)-1)</f>
        <v/>
      </c>
      <c r="G921" s="11" t="str">
        <f>IF($B921="","",RANK($D921,$D$2:$D$1501)+COUNTIF($D$2:D921,$D921)-1)</f>
        <v/>
      </c>
    </row>
    <row r="922" spans="1:7">
      <c r="A922" s="11">
        <v>921</v>
      </c>
      <c r="B922" s="11" t="str">
        <f>IFERROR(INDEX('Raw Data'!$R$2:$R$50000,MATCH(921,'Raw Data'!$W$2:$W$50000,0)),"")</f>
        <v/>
      </c>
      <c r="C922" s="11" t="str">
        <f t="shared" si="14"/>
        <v/>
      </c>
      <c r="D922" s="11" t="str">
        <f>IF($B922="","",COUNTIFS('Raw Data'!$R$2:$R$50000,$B922))</f>
        <v/>
      </c>
      <c r="E922" s="11" t="str">
        <f>IF($B922="","",SUMIFS('Raw Data'!$I$2:$I$50000,'Raw Data'!$R$2:$R$50000,$B922))</f>
        <v/>
      </c>
      <c r="F922" s="11" t="str">
        <f>IF($B922="","",RANK($E922,$E$2:$E$1501)+COUNTIF($E$2:E922,$E922)-1)</f>
        <v/>
      </c>
      <c r="G922" s="11" t="str">
        <f>IF($B922="","",RANK($D922,$D$2:$D$1501)+COUNTIF($D$2:D922,$D922)-1)</f>
        <v/>
      </c>
    </row>
    <row r="923" spans="1:7">
      <c r="A923" s="11">
        <v>922</v>
      </c>
      <c r="B923" s="11" t="str">
        <f>IFERROR(INDEX('Raw Data'!$R$2:$R$50000,MATCH(922,'Raw Data'!$W$2:$W$50000,0)),"")</f>
        <v/>
      </c>
      <c r="C923" s="11" t="str">
        <f t="shared" si="14"/>
        <v/>
      </c>
      <c r="D923" s="11" t="str">
        <f>IF($B923="","",COUNTIFS('Raw Data'!$R$2:$R$50000,$B923))</f>
        <v/>
      </c>
      <c r="E923" s="11" t="str">
        <f>IF($B923="","",SUMIFS('Raw Data'!$I$2:$I$50000,'Raw Data'!$R$2:$R$50000,$B923))</f>
        <v/>
      </c>
      <c r="F923" s="11" t="str">
        <f>IF($B923="","",RANK($E923,$E$2:$E$1501)+COUNTIF($E$2:E923,$E923)-1)</f>
        <v/>
      </c>
      <c r="G923" s="11" t="str">
        <f>IF($B923="","",RANK($D923,$D$2:$D$1501)+COUNTIF($D$2:D923,$D923)-1)</f>
        <v/>
      </c>
    </row>
    <row r="924" spans="1:7">
      <c r="A924" s="11">
        <v>923</v>
      </c>
      <c r="B924" s="11" t="str">
        <f>IFERROR(INDEX('Raw Data'!$R$2:$R$50000,MATCH(923,'Raw Data'!$W$2:$W$50000,0)),"")</f>
        <v/>
      </c>
      <c r="C924" s="11" t="str">
        <f t="shared" si="14"/>
        <v/>
      </c>
      <c r="D924" s="11" t="str">
        <f>IF($B924="","",COUNTIFS('Raw Data'!$R$2:$R$50000,$B924))</f>
        <v/>
      </c>
      <c r="E924" s="11" t="str">
        <f>IF($B924="","",SUMIFS('Raw Data'!$I$2:$I$50000,'Raw Data'!$R$2:$R$50000,$B924))</f>
        <v/>
      </c>
      <c r="F924" s="11" t="str">
        <f>IF($B924="","",RANK($E924,$E$2:$E$1501)+COUNTIF($E$2:E924,$E924)-1)</f>
        <v/>
      </c>
      <c r="G924" s="11" t="str">
        <f>IF($B924="","",RANK($D924,$D$2:$D$1501)+COUNTIF($D$2:D924,$D924)-1)</f>
        <v/>
      </c>
    </row>
    <row r="925" spans="1:7">
      <c r="A925" s="11">
        <v>924</v>
      </c>
      <c r="B925" s="11" t="str">
        <f>IFERROR(INDEX('Raw Data'!$R$2:$R$50000,MATCH(924,'Raw Data'!$W$2:$W$50000,0)),"")</f>
        <v/>
      </c>
      <c r="C925" s="11" t="str">
        <f t="shared" si="14"/>
        <v/>
      </c>
      <c r="D925" s="11" t="str">
        <f>IF($B925="","",COUNTIFS('Raw Data'!$R$2:$R$50000,$B925))</f>
        <v/>
      </c>
      <c r="E925" s="11" t="str">
        <f>IF($B925="","",SUMIFS('Raw Data'!$I$2:$I$50000,'Raw Data'!$R$2:$R$50000,$B925))</f>
        <v/>
      </c>
      <c r="F925" s="11" t="str">
        <f>IF($B925="","",RANK($E925,$E$2:$E$1501)+COUNTIF($E$2:E925,$E925)-1)</f>
        <v/>
      </c>
      <c r="G925" s="11" t="str">
        <f>IF($B925="","",RANK($D925,$D$2:$D$1501)+COUNTIF($D$2:D925,$D925)-1)</f>
        <v/>
      </c>
    </row>
    <row r="926" spans="1:7">
      <c r="A926" s="11">
        <v>925</v>
      </c>
      <c r="B926" s="11" t="str">
        <f>IFERROR(INDEX('Raw Data'!$R$2:$R$50000,MATCH(925,'Raw Data'!$W$2:$W$50000,0)),"")</f>
        <v/>
      </c>
      <c r="C926" s="11" t="str">
        <f t="shared" si="14"/>
        <v/>
      </c>
      <c r="D926" s="11" t="str">
        <f>IF($B926="","",COUNTIFS('Raw Data'!$R$2:$R$50000,$B926))</f>
        <v/>
      </c>
      <c r="E926" s="11" t="str">
        <f>IF($B926="","",SUMIFS('Raw Data'!$I$2:$I$50000,'Raw Data'!$R$2:$R$50000,$B926))</f>
        <v/>
      </c>
      <c r="F926" s="11" t="str">
        <f>IF($B926="","",RANK($E926,$E$2:$E$1501)+COUNTIF($E$2:E926,$E926)-1)</f>
        <v/>
      </c>
      <c r="G926" s="11" t="str">
        <f>IF($B926="","",RANK($D926,$D$2:$D$1501)+COUNTIF($D$2:D926,$D926)-1)</f>
        <v/>
      </c>
    </row>
    <row r="927" spans="1:7">
      <c r="A927" s="11">
        <v>926</v>
      </c>
      <c r="B927" s="11" t="str">
        <f>IFERROR(INDEX('Raw Data'!$R$2:$R$50000,MATCH(926,'Raw Data'!$W$2:$W$50000,0)),"")</f>
        <v/>
      </c>
      <c r="C927" s="11" t="str">
        <f t="shared" si="14"/>
        <v/>
      </c>
      <c r="D927" s="11" t="str">
        <f>IF($B927="","",COUNTIFS('Raw Data'!$R$2:$R$50000,$B927))</f>
        <v/>
      </c>
      <c r="E927" s="11" t="str">
        <f>IF($B927="","",SUMIFS('Raw Data'!$I$2:$I$50000,'Raw Data'!$R$2:$R$50000,$B927))</f>
        <v/>
      </c>
      <c r="F927" s="11" t="str">
        <f>IF($B927="","",RANK($E927,$E$2:$E$1501)+COUNTIF($E$2:E927,$E927)-1)</f>
        <v/>
      </c>
      <c r="G927" s="11" t="str">
        <f>IF($B927="","",RANK($D927,$D$2:$D$1501)+COUNTIF($D$2:D927,$D927)-1)</f>
        <v/>
      </c>
    </row>
    <row r="928" spans="1:7">
      <c r="A928" s="11">
        <v>927</v>
      </c>
      <c r="B928" s="11" t="str">
        <f>IFERROR(INDEX('Raw Data'!$R$2:$R$50000,MATCH(927,'Raw Data'!$W$2:$W$50000,0)),"")</f>
        <v/>
      </c>
      <c r="C928" s="11" t="str">
        <f t="shared" si="14"/>
        <v/>
      </c>
      <c r="D928" s="11" t="str">
        <f>IF($B928="","",COUNTIFS('Raw Data'!$R$2:$R$50000,$B928))</f>
        <v/>
      </c>
      <c r="E928" s="11" t="str">
        <f>IF($B928="","",SUMIFS('Raw Data'!$I$2:$I$50000,'Raw Data'!$R$2:$R$50000,$B928))</f>
        <v/>
      </c>
      <c r="F928" s="11" t="str">
        <f>IF($B928="","",RANK($E928,$E$2:$E$1501)+COUNTIF($E$2:E928,$E928)-1)</f>
        <v/>
      </c>
      <c r="G928" s="11" t="str">
        <f>IF($B928="","",RANK($D928,$D$2:$D$1501)+COUNTIF($D$2:D928,$D928)-1)</f>
        <v/>
      </c>
    </row>
    <row r="929" spans="1:7">
      <c r="A929" s="11">
        <v>928</v>
      </c>
      <c r="B929" s="11" t="str">
        <f>IFERROR(INDEX('Raw Data'!$R$2:$R$50000,MATCH(928,'Raw Data'!$W$2:$W$50000,0)),"")</f>
        <v/>
      </c>
      <c r="C929" s="11" t="str">
        <f t="shared" si="14"/>
        <v/>
      </c>
      <c r="D929" s="11" t="str">
        <f>IF($B929="","",COUNTIFS('Raw Data'!$R$2:$R$50000,$B929))</f>
        <v/>
      </c>
      <c r="E929" s="11" t="str">
        <f>IF($B929="","",SUMIFS('Raw Data'!$I$2:$I$50000,'Raw Data'!$R$2:$R$50000,$B929))</f>
        <v/>
      </c>
      <c r="F929" s="11" t="str">
        <f>IF($B929="","",RANK($E929,$E$2:$E$1501)+COUNTIF($E$2:E929,$E929)-1)</f>
        <v/>
      </c>
      <c r="G929" s="11" t="str">
        <f>IF($B929="","",RANK($D929,$D$2:$D$1501)+COUNTIF($D$2:D929,$D929)-1)</f>
        <v/>
      </c>
    </row>
    <row r="930" spans="1:7">
      <c r="A930" s="11">
        <v>929</v>
      </c>
      <c r="B930" s="11" t="str">
        <f>IFERROR(INDEX('Raw Data'!$R$2:$R$50000,MATCH(929,'Raw Data'!$W$2:$W$50000,0)),"")</f>
        <v/>
      </c>
      <c r="C930" s="11" t="str">
        <f t="shared" si="14"/>
        <v/>
      </c>
      <c r="D930" s="11" t="str">
        <f>IF($B930="","",COUNTIFS('Raw Data'!$R$2:$R$50000,$B930))</f>
        <v/>
      </c>
      <c r="E930" s="11" t="str">
        <f>IF($B930="","",SUMIFS('Raw Data'!$I$2:$I$50000,'Raw Data'!$R$2:$R$50000,$B930))</f>
        <v/>
      </c>
      <c r="F930" s="11" t="str">
        <f>IF($B930="","",RANK($E930,$E$2:$E$1501)+COUNTIF($E$2:E930,$E930)-1)</f>
        <v/>
      </c>
      <c r="G930" s="11" t="str">
        <f>IF($B930="","",RANK($D930,$D$2:$D$1501)+COUNTIF($D$2:D930,$D930)-1)</f>
        <v/>
      </c>
    </row>
    <row r="931" spans="1:7">
      <c r="A931" s="11">
        <v>930</v>
      </c>
      <c r="B931" s="11" t="str">
        <f>IFERROR(INDEX('Raw Data'!$R$2:$R$50000,MATCH(930,'Raw Data'!$W$2:$W$50000,0)),"")</f>
        <v/>
      </c>
      <c r="C931" s="11" t="str">
        <f t="shared" si="14"/>
        <v/>
      </c>
      <c r="D931" s="11" t="str">
        <f>IF($B931="","",COUNTIFS('Raw Data'!$R$2:$R$50000,$B931))</f>
        <v/>
      </c>
      <c r="E931" s="11" t="str">
        <f>IF($B931="","",SUMIFS('Raw Data'!$I$2:$I$50000,'Raw Data'!$R$2:$R$50000,$B931))</f>
        <v/>
      </c>
      <c r="F931" s="11" t="str">
        <f>IF($B931="","",RANK($E931,$E$2:$E$1501)+COUNTIF($E$2:E931,$E931)-1)</f>
        <v/>
      </c>
      <c r="G931" s="11" t="str">
        <f>IF($B931="","",RANK($D931,$D$2:$D$1501)+COUNTIF($D$2:D931,$D931)-1)</f>
        <v/>
      </c>
    </row>
    <row r="932" spans="1:7">
      <c r="A932" s="11">
        <v>931</v>
      </c>
      <c r="B932" s="11" t="str">
        <f>IFERROR(INDEX('Raw Data'!$R$2:$R$50000,MATCH(931,'Raw Data'!$W$2:$W$50000,0)),"")</f>
        <v/>
      </c>
      <c r="C932" s="11" t="str">
        <f t="shared" si="14"/>
        <v/>
      </c>
      <c r="D932" s="11" t="str">
        <f>IF($B932="","",COUNTIFS('Raw Data'!$R$2:$R$50000,$B932))</f>
        <v/>
      </c>
      <c r="E932" s="11" t="str">
        <f>IF($B932="","",SUMIFS('Raw Data'!$I$2:$I$50000,'Raw Data'!$R$2:$R$50000,$B932))</f>
        <v/>
      </c>
      <c r="F932" s="11" t="str">
        <f>IF($B932="","",RANK($E932,$E$2:$E$1501)+COUNTIF($E$2:E932,$E932)-1)</f>
        <v/>
      </c>
      <c r="G932" s="11" t="str">
        <f>IF($B932="","",RANK($D932,$D$2:$D$1501)+COUNTIF($D$2:D932,$D932)-1)</f>
        <v/>
      </c>
    </row>
    <row r="933" spans="1:7">
      <c r="A933" s="11">
        <v>932</v>
      </c>
      <c r="B933" s="11" t="str">
        <f>IFERROR(INDEX('Raw Data'!$R$2:$R$50000,MATCH(932,'Raw Data'!$W$2:$W$50000,0)),"")</f>
        <v/>
      </c>
      <c r="C933" s="11" t="str">
        <f t="shared" si="14"/>
        <v/>
      </c>
      <c r="D933" s="11" t="str">
        <f>IF($B933="","",COUNTIFS('Raw Data'!$R$2:$R$50000,$B933))</f>
        <v/>
      </c>
      <c r="E933" s="11" t="str">
        <f>IF($B933="","",SUMIFS('Raw Data'!$I$2:$I$50000,'Raw Data'!$R$2:$R$50000,$B933))</f>
        <v/>
      </c>
      <c r="F933" s="11" t="str">
        <f>IF($B933="","",RANK($E933,$E$2:$E$1501)+COUNTIF($E$2:E933,$E933)-1)</f>
        <v/>
      </c>
      <c r="G933" s="11" t="str">
        <f>IF($B933="","",RANK($D933,$D$2:$D$1501)+COUNTIF($D$2:D933,$D933)-1)</f>
        <v/>
      </c>
    </row>
    <row r="934" spans="1:7">
      <c r="A934" s="11">
        <v>933</v>
      </c>
      <c r="B934" s="11" t="str">
        <f>IFERROR(INDEX('Raw Data'!$R$2:$R$50000,MATCH(933,'Raw Data'!$W$2:$W$50000,0)),"")</f>
        <v/>
      </c>
      <c r="C934" s="11" t="str">
        <f t="shared" si="14"/>
        <v/>
      </c>
      <c r="D934" s="11" t="str">
        <f>IF($B934="","",COUNTIFS('Raw Data'!$R$2:$R$50000,$B934))</f>
        <v/>
      </c>
      <c r="E934" s="11" t="str">
        <f>IF($B934="","",SUMIFS('Raw Data'!$I$2:$I$50000,'Raw Data'!$R$2:$R$50000,$B934))</f>
        <v/>
      </c>
      <c r="F934" s="11" t="str">
        <f>IF($B934="","",RANK($E934,$E$2:$E$1501)+COUNTIF($E$2:E934,$E934)-1)</f>
        <v/>
      </c>
      <c r="G934" s="11" t="str">
        <f>IF($B934="","",RANK($D934,$D$2:$D$1501)+COUNTIF($D$2:D934,$D934)-1)</f>
        <v/>
      </c>
    </row>
    <row r="935" spans="1:7">
      <c r="A935" s="11">
        <v>934</v>
      </c>
      <c r="B935" s="11" t="str">
        <f>IFERROR(INDEX('Raw Data'!$R$2:$R$50000,MATCH(934,'Raw Data'!$W$2:$W$50000,0)),"")</f>
        <v/>
      </c>
      <c r="C935" s="11" t="str">
        <f t="shared" si="14"/>
        <v/>
      </c>
      <c r="D935" s="11" t="str">
        <f>IF($B935="","",COUNTIFS('Raw Data'!$R$2:$R$50000,$B935))</f>
        <v/>
      </c>
      <c r="E935" s="11" t="str">
        <f>IF($B935="","",SUMIFS('Raw Data'!$I$2:$I$50000,'Raw Data'!$R$2:$R$50000,$B935))</f>
        <v/>
      </c>
      <c r="F935" s="11" t="str">
        <f>IF($B935="","",RANK($E935,$E$2:$E$1501)+COUNTIF($E$2:E935,$E935)-1)</f>
        <v/>
      </c>
      <c r="G935" s="11" t="str">
        <f>IF($B935="","",RANK($D935,$D$2:$D$1501)+COUNTIF($D$2:D935,$D935)-1)</f>
        <v/>
      </c>
    </row>
    <row r="936" spans="1:7">
      <c r="A936" s="11">
        <v>935</v>
      </c>
      <c r="B936" s="11" t="str">
        <f>IFERROR(INDEX('Raw Data'!$R$2:$R$50000,MATCH(935,'Raw Data'!$W$2:$W$50000,0)),"")</f>
        <v/>
      </c>
      <c r="C936" s="11" t="str">
        <f t="shared" si="14"/>
        <v/>
      </c>
      <c r="D936" s="11" t="str">
        <f>IF($B936="","",COUNTIFS('Raw Data'!$R$2:$R$50000,$B936))</f>
        <v/>
      </c>
      <c r="E936" s="11" t="str">
        <f>IF($B936="","",SUMIFS('Raw Data'!$I$2:$I$50000,'Raw Data'!$R$2:$R$50000,$B936))</f>
        <v/>
      </c>
      <c r="F936" s="11" t="str">
        <f>IF($B936="","",RANK($E936,$E$2:$E$1501)+COUNTIF($E$2:E936,$E936)-1)</f>
        <v/>
      </c>
      <c r="G936" s="11" t="str">
        <f>IF($B936="","",RANK($D936,$D$2:$D$1501)+COUNTIF($D$2:D936,$D936)-1)</f>
        <v/>
      </c>
    </row>
    <row r="937" spans="1:7">
      <c r="A937" s="11">
        <v>936</v>
      </c>
      <c r="B937" s="11" t="str">
        <f>IFERROR(INDEX('Raw Data'!$R$2:$R$50000,MATCH(936,'Raw Data'!$W$2:$W$50000,0)),"")</f>
        <v/>
      </c>
      <c r="C937" s="11" t="str">
        <f t="shared" si="14"/>
        <v/>
      </c>
      <c r="D937" s="11" t="str">
        <f>IF($B937="","",COUNTIFS('Raw Data'!$R$2:$R$50000,$B937))</f>
        <v/>
      </c>
      <c r="E937" s="11" t="str">
        <f>IF($B937="","",SUMIFS('Raw Data'!$I$2:$I$50000,'Raw Data'!$R$2:$R$50000,$B937))</f>
        <v/>
      </c>
      <c r="F937" s="11" t="str">
        <f>IF($B937="","",RANK($E937,$E$2:$E$1501)+COUNTIF($E$2:E937,$E937)-1)</f>
        <v/>
      </c>
      <c r="G937" s="11" t="str">
        <f>IF($B937="","",RANK($D937,$D$2:$D$1501)+COUNTIF($D$2:D937,$D937)-1)</f>
        <v/>
      </c>
    </row>
    <row r="938" spans="1:7">
      <c r="A938" s="11">
        <v>937</v>
      </c>
      <c r="B938" s="11" t="str">
        <f>IFERROR(INDEX('Raw Data'!$R$2:$R$50000,MATCH(937,'Raw Data'!$W$2:$W$50000,0)),"")</f>
        <v/>
      </c>
      <c r="C938" s="11" t="str">
        <f t="shared" si="14"/>
        <v/>
      </c>
      <c r="D938" s="11" t="str">
        <f>IF($B938="","",COUNTIFS('Raw Data'!$R$2:$R$50000,$B938))</f>
        <v/>
      </c>
      <c r="E938" s="11" t="str">
        <f>IF($B938="","",SUMIFS('Raw Data'!$I$2:$I$50000,'Raw Data'!$R$2:$R$50000,$B938))</f>
        <v/>
      </c>
      <c r="F938" s="11" t="str">
        <f>IF($B938="","",RANK($E938,$E$2:$E$1501)+COUNTIF($E$2:E938,$E938)-1)</f>
        <v/>
      </c>
      <c r="G938" s="11" t="str">
        <f>IF($B938="","",RANK($D938,$D$2:$D$1501)+COUNTIF($D$2:D938,$D938)-1)</f>
        <v/>
      </c>
    </row>
    <row r="939" spans="1:7">
      <c r="A939" s="11">
        <v>938</v>
      </c>
      <c r="B939" s="11" t="str">
        <f>IFERROR(INDEX('Raw Data'!$R$2:$R$50000,MATCH(938,'Raw Data'!$W$2:$W$50000,0)),"")</f>
        <v/>
      </c>
      <c r="C939" s="11" t="str">
        <f t="shared" si="14"/>
        <v/>
      </c>
      <c r="D939" s="11" t="str">
        <f>IF($B939="","",COUNTIFS('Raw Data'!$R$2:$R$50000,$B939))</f>
        <v/>
      </c>
      <c r="E939" s="11" t="str">
        <f>IF($B939="","",SUMIFS('Raw Data'!$I$2:$I$50000,'Raw Data'!$R$2:$R$50000,$B939))</f>
        <v/>
      </c>
      <c r="F939" s="11" t="str">
        <f>IF($B939="","",RANK($E939,$E$2:$E$1501)+COUNTIF($E$2:E939,$E939)-1)</f>
        <v/>
      </c>
      <c r="G939" s="11" t="str">
        <f>IF($B939="","",RANK($D939,$D$2:$D$1501)+COUNTIF($D$2:D939,$D939)-1)</f>
        <v/>
      </c>
    </row>
    <row r="940" spans="1:7">
      <c r="A940" s="11">
        <v>939</v>
      </c>
      <c r="B940" s="11" t="str">
        <f>IFERROR(INDEX('Raw Data'!$R$2:$R$50000,MATCH(939,'Raw Data'!$W$2:$W$50000,0)),"")</f>
        <v/>
      </c>
      <c r="C940" s="11" t="str">
        <f t="shared" si="14"/>
        <v/>
      </c>
      <c r="D940" s="11" t="str">
        <f>IF($B940="","",COUNTIFS('Raw Data'!$R$2:$R$50000,$B940))</f>
        <v/>
      </c>
      <c r="E940" s="11" t="str">
        <f>IF($B940="","",SUMIFS('Raw Data'!$I$2:$I$50000,'Raw Data'!$R$2:$R$50000,$B940))</f>
        <v/>
      </c>
      <c r="F940" s="11" t="str">
        <f>IF($B940="","",RANK($E940,$E$2:$E$1501)+COUNTIF($E$2:E940,$E940)-1)</f>
        <v/>
      </c>
      <c r="G940" s="11" t="str">
        <f>IF($B940="","",RANK($D940,$D$2:$D$1501)+COUNTIF($D$2:D940,$D940)-1)</f>
        <v/>
      </c>
    </row>
    <row r="941" spans="1:7">
      <c r="A941" s="11">
        <v>940</v>
      </c>
      <c r="B941" s="11" t="str">
        <f>IFERROR(INDEX('Raw Data'!$R$2:$R$50000,MATCH(940,'Raw Data'!$W$2:$W$50000,0)),"")</f>
        <v/>
      </c>
      <c r="C941" s="11" t="str">
        <f t="shared" si="14"/>
        <v/>
      </c>
      <c r="D941" s="11" t="str">
        <f>IF($B941="","",COUNTIFS('Raw Data'!$R$2:$R$50000,$B941))</f>
        <v/>
      </c>
      <c r="E941" s="11" t="str">
        <f>IF($B941="","",SUMIFS('Raw Data'!$I$2:$I$50000,'Raw Data'!$R$2:$R$50000,$B941))</f>
        <v/>
      </c>
      <c r="F941" s="11" t="str">
        <f>IF($B941="","",RANK($E941,$E$2:$E$1501)+COUNTIF($E$2:E941,$E941)-1)</f>
        <v/>
      </c>
      <c r="G941" s="11" t="str">
        <f>IF($B941="","",RANK($D941,$D$2:$D$1501)+COUNTIF($D$2:D941,$D941)-1)</f>
        <v/>
      </c>
    </row>
    <row r="942" spans="1:7">
      <c r="A942" s="11">
        <v>941</v>
      </c>
      <c r="B942" s="11" t="str">
        <f>IFERROR(INDEX('Raw Data'!$R$2:$R$50000,MATCH(941,'Raw Data'!$W$2:$W$50000,0)),"")</f>
        <v/>
      </c>
      <c r="C942" s="11" t="str">
        <f t="shared" si="14"/>
        <v/>
      </c>
      <c r="D942" s="11" t="str">
        <f>IF($B942="","",COUNTIFS('Raw Data'!$R$2:$R$50000,$B942))</f>
        <v/>
      </c>
      <c r="E942" s="11" t="str">
        <f>IF($B942="","",SUMIFS('Raw Data'!$I$2:$I$50000,'Raw Data'!$R$2:$R$50000,$B942))</f>
        <v/>
      </c>
      <c r="F942" s="11" t="str">
        <f>IF($B942="","",RANK($E942,$E$2:$E$1501)+COUNTIF($E$2:E942,$E942)-1)</f>
        <v/>
      </c>
      <c r="G942" s="11" t="str">
        <f>IF($B942="","",RANK($D942,$D$2:$D$1501)+COUNTIF($D$2:D942,$D942)-1)</f>
        <v/>
      </c>
    </row>
    <row r="943" spans="1:7">
      <c r="A943" s="11">
        <v>942</v>
      </c>
      <c r="B943" s="11" t="str">
        <f>IFERROR(INDEX('Raw Data'!$R$2:$R$50000,MATCH(942,'Raw Data'!$W$2:$W$50000,0)),"")</f>
        <v/>
      </c>
      <c r="C943" s="11" t="str">
        <f t="shared" si="14"/>
        <v/>
      </c>
      <c r="D943" s="11" t="str">
        <f>IF($B943="","",COUNTIFS('Raw Data'!$R$2:$R$50000,$B943))</f>
        <v/>
      </c>
      <c r="E943" s="11" t="str">
        <f>IF($B943="","",SUMIFS('Raw Data'!$I$2:$I$50000,'Raw Data'!$R$2:$R$50000,$B943))</f>
        <v/>
      </c>
      <c r="F943" s="11" t="str">
        <f>IF($B943="","",RANK($E943,$E$2:$E$1501)+COUNTIF($E$2:E943,$E943)-1)</f>
        <v/>
      </c>
      <c r="G943" s="11" t="str">
        <f>IF($B943="","",RANK($D943,$D$2:$D$1501)+COUNTIF($D$2:D943,$D943)-1)</f>
        <v/>
      </c>
    </row>
    <row r="944" spans="1:7">
      <c r="A944" s="11">
        <v>943</v>
      </c>
      <c r="B944" s="11" t="str">
        <f>IFERROR(INDEX('Raw Data'!$R$2:$R$50000,MATCH(943,'Raw Data'!$W$2:$W$50000,0)),"")</f>
        <v/>
      </c>
      <c r="C944" s="11" t="str">
        <f t="shared" si="14"/>
        <v/>
      </c>
      <c r="D944" s="11" t="str">
        <f>IF($B944="","",COUNTIFS('Raw Data'!$R$2:$R$50000,$B944))</f>
        <v/>
      </c>
      <c r="E944" s="11" t="str">
        <f>IF($B944="","",SUMIFS('Raw Data'!$I$2:$I$50000,'Raw Data'!$R$2:$R$50000,$B944))</f>
        <v/>
      </c>
      <c r="F944" s="11" t="str">
        <f>IF($B944="","",RANK($E944,$E$2:$E$1501)+COUNTIF($E$2:E944,$E944)-1)</f>
        <v/>
      </c>
      <c r="G944" s="11" t="str">
        <f>IF($B944="","",RANK($D944,$D$2:$D$1501)+COUNTIF($D$2:D944,$D944)-1)</f>
        <v/>
      </c>
    </row>
    <row r="945" spans="1:7">
      <c r="A945" s="11">
        <v>944</v>
      </c>
      <c r="B945" s="11" t="str">
        <f>IFERROR(INDEX('Raw Data'!$R$2:$R$50000,MATCH(944,'Raw Data'!$W$2:$W$50000,0)),"")</f>
        <v/>
      </c>
      <c r="C945" s="11" t="str">
        <f t="shared" si="14"/>
        <v/>
      </c>
      <c r="D945" s="11" t="str">
        <f>IF($B945="","",COUNTIFS('Raw Data'!$R$2:$R$50000,$B945))</f>
        <v/>
      </c>
      <c r="E945" s="11" t="str">
        <f>IF($B945="","",SUMIFS('Raw Data'!$I$2:$I$50000,'Raw Data'!$R$2:$R$50000,$B945))</f>
        <v/>
      </c>
      <c r="F945" s="11" t="str">
        <f>IF($B945="","",RANK($E945,$E$2:$E$1501)+COUNTIF($E$2:E945,$E945)-1)</f>
        <v/>
      </c>
      <c r="G945" s="11" t="str">
        <f>IF($B945="","",RANK($D945,$D$2:$D$1501)+COUNTIF($D$2:D945,$D945)-1)</f>
        <v/>
      </c>
    </row>
    <row r="946" spans="1:7">
      <c r="A946" s="11">
        <v>945</v>
      </c>
      <c r="B946" s="11" t="str">
        <f>IFERROR(INDEX('Raw Data'!$R$2:$R$50000,MATCH(945,'Raw Data'!$W$2:$W$50000,0)),"")</f>
        <v/>
      </c>
      <c r="C946" s="11" t="str">
        <f t="shared" si="14"/>
        <v/>
      </c>
      <c r="D946" s="11" t="str">
        <f>IF($B946="","",COUNTIFS('Raw Data'!$R$2:$R$50000,$B946))</f>
        <v/>
      </c>
      <c r="E946" s="11" t="str">
        <f>IF($B946="","",SUMIFS('Raw Data'!$I$2:$I$50000,'Raw Data'!$R$2:$R$50000,$B946))</f>
        <v/>
      </c>
      <c r="F946" s="11" t="str">
        <f>IF($B946="","",RANK($E946,$E$2:$E$1501)+COUNTIF($E$2:E946,$E946)-1)</f>
        <v/>
      </c>
      <c r="G946" s="11" t="str">
        <f>IF($B946="","",RANK($D946,$D$2:$D$1501)+COUNTIF($D$2:D946,$D946)-1)</f>
        <v/>
      </c>
    </row>
    <row r="947" spans="1:7">
      <c r="A947" s="11">
        <v>946</v>
      </c>
      <c r="B947" s="11" t="str">
        <f>IFERROR(INDEX('Raw Data'!$R$2:$R$50000,MATCH(946,'Raw Data'!$W$2:$W$50000,0)),"")</f>
        <v/>
      </c>
      <c r="C947" s="11" t="str">
        <f t="shared" si="14"/>
        <v/>
      </c>
      <c r="D947" s="11" t="str">
        <f>IF($B947="","",COUNTIFS('Raw Data'!$R$2:$R$50000,$B947))</f>
        <v/>
      </c>
      <c r="E947" s="11" t="str">
        <f>IF($B947="","",SUMIFS('Raw Data'!$I$2:$I$50000,'Raw Data'!$R$2:$R$50000,$B947))</f>
        <v/>
      </c>
      <c r="F947" s="11" t="str">
        <f>IF($B947="","",RANK($E947,$E$2:$E$1501)+COUNTIF($E$2:E947,$E947)-1)</f>
        <v/>
      </c>
      <c r="G947" s="11" t="str">
        <f>IF($B947="","",RANK($D947,$D$2:$D$1501)+COUNTIF($D$2:D947,$D947)-1)</f>
        <v/>
      </c>
    </row>
    <row r="948" spans="1:7">
      <c r="A948" s="11">
        <v>947</v>
      </c>
      <c r="B948" s="11" t="str">
        <f>IFERROR(INDEX('Raw Data'!$R$2:$R$50000,MATCH(947,'Raw Data'!$W$2:$W$50000,0)),"")</f>
        <v/>
      </c>
      <c r="C948" s="11" t="str">
        <f t="shared" si="14"/>
        <v/>
      </c>
      <c r="D948" s="11" t="str">
        <f>IF($B948="","",COUNTIFS('Raw Data'!$R$2:$R$50000,$B948))</f>
        <v/>
      </c>
      <c r="E948" s="11" t="str">
        <f>IF($B948="","",SUMIFS('Raw Data'!$I$2:$I$50000,'Raw Data'!$R$2:$R$50000,$B948))</f>
        <v/>
      </c>
      <c r="F948" s="11" t="str">
        <f>IF($B948="","",RANK($E948,$E$2:$E$1501)+COUNTIF($E$2:E948,$E948)-1)</f>
        <v/>
      </c>
      <c r="G948" s="11" t="str">
        <f>IF($B948="","",RANK($D948,$D$2:$D$1501)+COUNTIF($D$2:D948,$D948)-1)</f>
        <v/>
      </c>
    </row>
    <row r="949" spans="1:7">
      <c r="A949" s="11">
        <v>948</v>
      </c>
      <c r="B949" s="11" t="str">
        <f>IFERROR(INDEX('Raw Data'!$R$2:$R$50000,MATCH(948,'Raw Data'!$W$2:$W$50000,0)),"")</f>
        <v/>
      </c>
      <c r="C949" s="11" t="str">
        <f t="shared" si="14"/>
        <v/>
      </c>
      <c r="D949" s="11" t="str">
        <f>IF($B949="","",COUNTIFS('Raw Data'!$R$2:$R$50000,$B949))</f>
        <v/>
      </c>
      <c r="E949" s="11" t="str">
        <f>IF($B949="","",SUMIFS('Raw Data'!$I$2:$I$50000,'Raw Data'!$R$2:$R$50000,$B949))</f>
        <v/>
      </c>
      <c r="F949" s="11" t="str">
        <f>IF($B949="","",RANK($E949,$E$2:$E$1501)+COUNTIF($E$2:E949,$E949)-1)</f>
        <v/>
      </c>
      <c r="G949" s="11" t="str">
        <f>IF($B949="","",RANK($D949,$D$2:$D$1501)+COUNTIF($D$2:D949,$D949)-1)</f>
        <v/>
      </c>
    </row>
    <row r="950" spans="1:7">
      <c r="A950" s="11">
        <v>949</v>
      </c>
      <c r="B950" s="11" t="str">
        <f>IFERROR(INDEX('Raw Data'!$R$2:$R$50000,MATCH(949,'Raw Data'!$W$2:$W$50000,0)),"")</f>
        <v/>
      </c>
      <c r="C950" s="11" t="str">
        <f t="shared" si="14"/>
        <v/>
      </c>
      <c r="D950" s="11" t="str">
        <f>IF($B950="","",COUNTIFS('Raw Data'!$R$2:$R$50000,$B950))</f>
        <v/>
      </c>
      <c r="E950" s="11" t="str">
        <f>IF($B950="","",SUMIFS('Raw Data'!$I$2:$I$50000,'Raw Data'!$R$2:$R$50000,$B950))</f>
        <v/>
      </c>
      <c r="F950" s="11" t="str">
        <f>IF($B950="","",RANK($E950,$E$2:$E$1501)+COUNTIF($E$2:E950,$E950)-1)</f>
        <v/>
      </c>
      <c r="G950" s="11" t="str">
        <f>IF($B950="","",RANK($D950,$D$2:$D$1501)+COUNTIF($D$2:D950,$D950)-1)</f>
        <v/>
      </c>
    </row>
    <row r="951" spans="1:7">
      <c r="A951" s="11">
        <v>950</v>
      </c>
      <c r="B951" s="11" t="str">
        <f>IFERROR(INDEX('Raw Data'!$R$2:$R$50000,MATCH(950,'Raw Data'!$W$2:$W$50000,0)),"")</f>
        <v/>
      </c>
      <c r="C951" s="11" t="str">
        <f t="shared" si="14"/>
        <v/>
      </c>
      <c r="D951" s="11" t="str">
        <f>IF($B951="","",COUNTIFS('Raw Data'!$R$2:$R$50000,$B951))</f>
        <v/>
      </c>
      <c r="E951" s="11" t="str">
        <f>IF($B951="","",SUMIFS('Raw Data'!$I$2:$I$50000,'Raw Data'!$R$2:$R$50000,$B951))</f>
        <v/>
      </c>
      <c r="F951" s="11" t="str">
        <f>IF($B951="","",RANK($E951,$E$2:$E$1501)+COUNTIF($E$2:E951,$E951)-1)</f>
        <v/>
      </c>
      <c r="G951" s="11" t="str">
        <f>IF($B951="","",RANK($D951,$D$2:$D$1501)+COUNTIF($D$2:D951,$D951)-1)</f>
        <v/>
      </c>
    </row>
    <row r="952" spans="1:7">
      <c r="A952" s="11">
        <v>951</v>
      </c>
      <c r="B952" s="11" t="str">
        <f>IFERROR(INDEX('Raw Data'!$R$2:$R$50000,MATCH(951,'Raw Data'!$W$2:$W$50000,0)),"")</f>
        <v/>
      </c>
      <c r="C952" s="11" t="str">
        <f t="shared" si="14"/>
        <v/>
      </c>
      <c r="D952" s="11" t="str">
        <f>IF($B952="","",COUNTIFS('Raw Data'!$R$2:$R$50000,$B952))</f>
        <v/>
      </c>
      <c r="E952" s="11" t="str">
        <f>IF($B952="","",SUMIFS('Raw Data'!$I$2:$I$50000,'Raw Data'!$R$2:$R$50000,$B952))</f>
        <v/>
      </c>
      <c r="F952" s="11" t="str">
        <f>IF($B952="","",RANK($E952,$E$2:$E$1501)+COUNTIF($E$2:E952,$E952)-1)</f>
        <v/>
      </c>
      <c r="G952" s="11" t="str">
        <f>IF($B952="","",RANK($D952,$D$2:$D$1501)+COUNTIF($D$2:D952,$D952)-1)</f>
        <v/>
      </c>
    </row>
    <row r="953" spans="1:7">
      <c r="A953" s="11">
        <v>952</v>
      </c>
      <c r="B953" s="11" t="str">
        <f>IFERROR(INDEX('Raw Data'!$R$2:$R$50000,MATCH(952,'Raw Data'!$W$2:$W$50000,0)),"")</f>
        <v/>
      </c>
      <c r="C953" s="11" t="str">
        <f t="shared" si="14"/>
        <v/>
      </c>
      <c r="D953" s="11" t="str">
        <f>IF($B953="","",COUNTIFS('Raw Data'!$R$2:$R$50000,$B953))</f>
        <v/>
      </c>
      <c r="E953" s="11" t="str">
        <f>IF($B953="","",SUMIFS('Raw Data'!$I$2:$I$50000,'Raw Data'!$R$2:$R$50000,$B953))</f>
        <v/>
      </c>
      <c r="F953" s="11" t="str">
        <f>IF($B953="","",RANK($E953,$E$2:$E$1501)+COUNTIF($E$2:E953,$E953)-1)</f>
        <v/>
      </c>
      <c r="G953" s="11" t="str">
        <f>IF($B953="","",RANK($D953,$D$2:$D$1501)+COUNTIF($D$2:D953,$D953)-1)</f>
        <v/>
      </c>
    </row>
    <row r="954" spans="1:7">
      <c r="A954" s="11">
        <v>953</v>
      </c>
      <c r="B954" s="11" t="str">
        <f>IFERROR(INDEX('Raw Data'!$R$2:$R$50000,MATCH(953,'Raw Data'!$W$2:$W$50000,0)),"")</f>
        <v/>
      </c>
      <c r="C954" s="11" t="str">
        <f t="shared" si="14"/>
        <v/>
      </c>
      <c r="D954" s="11" t="str">
        <f>IF($B954="","",COUNTIFS('Raw Data'!$R$2:$R$50000,$B954))</f>
        <v/>
      </c>
      <c r="E954" s="11" t="str">
        <f>IF($B954="","",SUMIFS('Raw Data'!$I$2:$I$50000,'Raw Data'!$R$2:$R$50000,$B954))</f>
        <v/>
      </c>
      <c r="F954" s="11" t="str">
        <f>IF($B954="","",RANK($E954,$E$2:$E$1501)+COUNTIF($E$2:E954,$E954)-1)</f>
        <v/>
      </c>
      <c r="G954" s="11" t="str">
        <f>IF($B954="","",RANK($D954,$D$2:$D$1501)+COUNTIF($D$2:D954,$D954)-1)</f>
        <v/>
      </c>
    </row>
    <row r="955" spans="1:7">
      <c r="A955" s="11">
        <v>954</v>
      </c>
      <c r="B955" s="11" t="str">
        <f>IFERROR(INDEX('Raw Data'!$R$2:$R$50000,MATCH(954,'Raw Data'!$W$2:$W$50000,0)),"")</f>
        <v/>
      </c>
      <c r="C955" s="11" t="str">
        <f t="shared" si="14"/>
        <v/>
      </c>
      <c r="D955" s="11" t="str">
        <f>IF($B955="","",COUNTIFS('Raw Data'!$R$2:$R$50000,$B955))</f>
        <v/>
      </c>
      <c r="E955" s="11" t="str">
        <f>IF($B955="","",SUMIFS('Raw Data'!$I$2:$I$50000,'Raw Data'!$R$2:$R$50000,$B955))</f>
        <v/>
      </c>
      <c r="F955" s="11" t="str">
        <f>IF($B955="","",RANK($E955,$E$2:$E$1501)+COUNTIF($E$2:E955,$E955)-1)</f>
        <v/>
      </c>
      <c r="G955" s="11" t="str">
        <f>IF($B955="","",RANK($D955,$D$2:$D$1501)+COUNTIF($D$2:D955,$D955)-1)</f>
        <v/>
      </c>
    </row>
    <row r="956" spans="1:7">
      <c r="A956" s="11">
        <v>955</v>
      </c>
      <c r="B956" s="11" t="str">
        <f>IFERROR(INDEX('Raw Data'!$R$2:$R$50000,MATCH(955,'Raw Data'!$W$2:$W$50000,0)),"")</f>
        <v/>
      </c>
      <c r="C956" s="11" t="str">
        <f t="shared" si="14"/>
        <v/>
      </c>
      <c r="D956" s="11" t="str">
        <f>IF($B956="","",COUNTIFS('Raw Data'!$R$2:$R$50000,$B956))</f>
        <v/>
      </c>
      <c r="E956" s="11" t="str">
        <f>IF($B956="","",SUMIFS('Raw Data'!$I$2:$I$50000,'Raw Data'!$R$2:$R$50000,$B956))</f>
        <v/>
      </c>
      <c r="F956" s="11" t="str">
        <f>IF($B956="","",RANK($E956,$E$2:$E$1501)+COUNTIF($E$2:E956,$E956)-1)</f>
        <v/>
      </c>
      <c r="G956" s="11" t="str">
        <f>IF($B956="","",RANK($D956,$D$2:$D$1501)+COUNTIF($D$2:D956,$D956)-1)</f>
        <v/>
      </c>
    </row>
    <row r="957" spans="1:7">
      <c r="A957" s="11">
        <v>956</v>
      </c>
      <c r="B957" s="11" t="str">
        <f>IFERROR(INDEX('Raw Data'!$R$2:$R$50000,MATCH(956,'Raw Data'!$W$2:$W$50000,0)),"")</f>
        <v/>
      </c>
      <c r="C957" s="11" t="str">
        <f t="shared" si="14"/>
        <v/>
      </c>
      <c r="D957" s="11" t="str">
        <f>IF($B957="","",COUNTIFS('Raw Data'!$R$2:$R$50000,$B957))</f>
        <v/>
      </c>
      <c r="E957" s="11" t="str">
        <f>IF($B957="","",SUMIFS('Raw Data'!$I$2:$I$50000,'Raw Data'!$R$2:$R$50000,$B957))</f>
        <v/>
      </c>
      <c r="F957" s="11" t="str">
        <f>IF($B957="","",RANK($E957,$E$2:$E$1501)+COUNTIF($E$2:E957,$E957)-1)</f>
        <v/>
      </c>
      <c r="G957" s="11" t="str">
        <f>IF($B957="","",RANK($D957,$D$2:$D$1501)+COUNTIF($D$2:D957,$D957)-1)</f>
        <v/>
      </c>
    </row>
    <row r="958" spans="1:7">
      <c r="A958" s="11">
        <v>957</v>
      </c>
      <c r="B958" s="11" t="str">
        <f>IFERROR(INDEX('Raw Data'!$R$2:$R$50000,MATCH(957,'Raw Data'!$W$2:$W$50000,0)),"")</f>
        <v/>
      </c>
      <c r="C958" s="11" t="str">
        <f t="shared" si="14"/>
        <v/>
      </c>
      <c r="D958" s="11" t="str">
        <f>IF($B958="","",COUNTIFS('Raw Data'!$R$2:$R$50000,$B958))</f>
        <v/>
      </c>
      <c r="E958" s="11" t="str">
        <f>IF($B958="","",SUMIFS('Raw Data'!$I$2:$I$50000,'Raw Data'!$R$2:$R$50000,$B958))</f>
        <v/>
      </c>
      <c r="F958" s="11" t="str">
        <f>IF($B958="","",RANK($E958,$E$2:$E$1501)+COUNTIF($E$2:E958,$E958)-1)</f>
        <v/>
      </c>
      <c r="G958" s="11" t="str">
        <f>IF($B958="","",RANK($D958,$D$2:$D$1501)+COUNTIF($D$2:D958,$D958)-1)</f>
        <v/>
      </c>
    </row>
    <row r="959" spans="1:7">
      <c r="A959" s="11">
        <v>958</v>
      </c>
      <c r="B959" s="11" t="str">
        <f>IFERROR(INDEX('Raw Data'!$R$2:$R$50000,MATCH(958,'Raw Data'!$W$2:$W$50000,0)),"")</f>
        <v/>
      </c>
      <c r="C959" s="11" t="str">
        <f t="shared" si="14"/>
        <v/>
      </c>
      <c r="D959" s="11" t="str">
        <f>IF($B959="","",COUNTIFS('Raw Data'!$R$2:$R$50000,$B959))</f>
        <v/>
      </c>
      <c r="E959" s="11" t="str">
        <f>IF($B959="","",SUMIFS('Raw Data'!$I$2:$I$50000,'Raw Data'!$R$2:$R$50000,$B959))</f>
        <v/>
      </c>
      <c r="F959" s="11" t="str">
        <f>IF($B959="","",RANK($E959,$E$2:$E$1501)+COUNTIF($E$2:E959,$E959)-1)</f>
        <v/>
      </c>
      <c r="G959" s="11" t="str">
        <f>IF($B959="","",RANK($D959,$D$2:$D$1501)+COUNTIF($D$2:D959,$D959)-1)</f>
        <v/>
      </c>
    </row>
    <row r="960" spans="1:7">
      <c r="A960" s="11">
        <v>959</v>
      </c>
      <c r="B960" s="11" t="str">
        <f>IFERROR(INDEX('Raw Data'!$R$2:$R$50000,MATCH(959,'Raw Data'!$W$2:$W$50000,0)),"")</f>
        <v/>
      </c>
      <c r="C960" s="11" t="str">
        <f t="shared" si="14"/>
        <v/>
      </c>
      <c r="D960" s="11" t="str">
        <f>IF($B960="","",COUNTIFS('Raw Data'!$R$2:$R$50000,$B960))</f>
        <v/>
      </c>
      <c r="E960" s="11" t="str">
        <f>IF($B960="","",SUMIFS('Raw Data'!$I$2:$I$50000,'Raw Data'!$R$2:$R$50000,$B960))</f>
        <v/>
      </c>
      <c r="F960" s="11" t="str">
        <f>IF($B960="","",RANK($E960,$E$2:$E$1501)+COUNTIF($E$2:E960,$E960)-1)</f>
        <v/>
      </c>
      <c r="G960" s="11" t="str">
        <f>IF($B960="","",RANK($D960,$D$2:$D$1501)+COUNTIF($D$2:D960,$D960)-1)</f>
        <v/>
      </c>
    </row>
    <row r="961" spans="1:7">
      <c r="A961" s="11">
        <v>960</v>
      </c>
      <c r="B961" s="11" t="str">
        <f>IFERROR(INDEX('Raw Data'!$R$2:$R$50000,MATCH(960,'Raw Data'!$W$2:$W$50000,0)),"")</f>
        <v/>
      </c>
      <c r="C961" s="11" t="str">
        <f t="shared" si="14"/>
        <v/>
      </c>
      <c r="D961" s="11" t="str">
        <f>IF($B961="","",COUNTIFS('Raw Data'!$R$2:$R$50000,$B961))</f>
        <v/>
      </c>
      <c r="E961" s="11" t="str">
        <f>IF($B961="","",SUMIFS('Raw Data'!$I$2:$I$50000,'Raw Data'!$R$2:$R$50000,$B961))</f>
        <v/>
      </c>
      <c r="F961" s="11" t="str">
        <f>IF($B961="","",RANK($E961,$E$2:$E$1501)+COUNTIF($E$2:E961,$E961)-1)</f>
        <v/>
      </c>
      <c r="G961" s="11" t="str">
        <f>IF($B961="","",RANK($D961,$D$2:$D$1501)+COUNTIF($D$2:D961,$D961)-1)</f>
        <v/>
      </c>
    </row>
    <row r="962" spans="1:7">
      <c r="A962" s="11">
        <v>961</v>
      </c>
      <c r="B962" s="11" t="str">
        <f>IFERROR(INDEX('Raw Data'!$R$2:$R$50000,MATCH(961,'Raw Data'!$W$2:$W$50000,0)),"")</f>
        <v/>
      </c>
      <c r="C962" s="11" t="str">
        <f t="shared" ref="C962:C1025" si="15">IF($B962="","",$B962)</f>
        <v/>
      </c>
      <c r="D962" s="11" t="str">
        <f>IF($B962="","",COUNTIFS('Raw Data'!$R$2:$R$50000,$B962))</f>
        <v/>
      </c>
      <c r="E962" s="11" t="str">
        <f>IF($B962="","",SUMIFS('Raw Data'!$I$2:$I$50000,'Raw Data'!$R$2:$R$50000,$B962))</f>
        <v/>
      </c>
      <c r="F962" s="11" t="str">
        <f>IF($B962="","",RANK($E962,$E$2:$E$1501)+COUNTIF($E$2:E962,$E962)-1)</f>
        <v/>
      </c>
      <c r="G962" s="11" t="str">
        <f>IF($B962="","",RANK($D962,$D$2:$D$1501)+COUNTIF($D$2:D962,$D962)-1)</f>
        <v/>
      </c>
    </row>
    <row r="963" spans="1:7">
      <c r="A963" s="11">
        <v>962</v>
      </c>
      <c r="B963" s="11" t="str">
        <f>IFERROR(INDEX('Raw Data'!$R$2:$R$50000,MATCH(962,'Raw Data'!$W$2:$W$50000,0)),"")</f>
        <v/>
      </c>
      <c r="C963" s="11" t="str">
        <f t="shared" si="15"/>
        <v/>
      </c>
      <c r="D963" s="11" t="str">
        <f>IF($B963="","",COUNTIFS('Raw Data'!$R$2:$R$50000,$B963))</f>
        <v/>
      </c>
      <c r="E963" s="11" t="str">
        <f>IF($B963="","",SUMIFS('Raw Data'!$I$2:$I$50000,'Raw Data'!$R$2:$R$50000,$B963))</f>
        <v/>
      </c>
      <c r="F963" s="11" t="str">
        <f>IF($B963="","",RANK($E963,$E$2:$E$1501)+COUNTIF($E$2:E963,$E963)-1)</f>
        <v/>
      </c>
      <c r="G963" s="11" t="str">
        <f>IF($B963="","",RANK($D963,$D$2:$D$1501)+COUNTIF($D$2:D963,$D963)-1)</f>
        <v/>
      </c>
    </row>
    <row r="964" spans="1:7">
      <c r="A964" s="11">
        <v>963</v>
      </c>
      <c r="B964" s="11" t="str">
        <f>IFERROR(INDEX('Raw Data'!$R$2:$R$50000,MATCH(963,'Raw Data'!$W$2:$W$50000,0)),"")</f>
        <v/>
      </c>
      <c r="C964" s="11" t="str">
        <f t="shared" si="15"/>
        <v/>
      </c>
      <c r="D964" s="11" t="str">
        <f>IF($B964="","",COUNTIFS('Raw Data'!$R$2:$R$50000,$B964))</f>
        <v/>
      </c>
      <c r="E964" s="11" t="str">
        <f>IF($B964="","",SUMIFS('Raw Data'!$I$2:$I$50000,'Raw Data'!$R$2:$R$50000,$B964))</f>
        <v/>
      </c>
      <c r="F964" s="11" t="str">
        <f>IF($B964="","",RANK($E964,$E$2:$E$1501)+COUNTIF($E$2:E964,$E964)-1)</f>
        <v/>
      </c>
      <c r="G964" s="11" t="str">
        <f>IF($B964="","",RANK($D964,$D$2:$D$1501)+COUNTIF($D$2:D964,$D964)-1)</f>
        <v/>
      </c>
    </row>
    <row r="965" spans="1:7">
      <c r="A965" s="11">
        <v>964</v>
      </c>
      <c r="B965" s="11" t="str">
        <f>IFERROR(INDEX('Raw Data'!$R$2:$R$50000,MATCH(964,'Raw Data'!$W$2:$W$50000,0)),"")</f>
        <v/>
      </c>
      <c r="C965" s="11" t="str">
        <f t="shared" si="15"/>
        <v/>
      </c>
      <c r="D965" s="11" t="str">
        <f>IF($B965="","",COUNTIFS('Raw Data'!$R$2:$R$50000,$B965))</f>
        <v/>
      </c>
      <c r="E965" s="11" t="str">
        <f>IF($B965="","",SUMIFS('Raw Data'!$I$2:$I$50000,'Raw Data'!$R$2:$R$50000,$B965))</f>
        <v/>
      </c>
      <c r="F965" s="11" t="str">
        <f>IF($B965="","",RANK($E965,$E$2:$E$1501)+COUNTIF($E$2:E965,$E965)-1)</f>
        <v/>
      </c>
      <c r="G965" s="11" t="str">
        <f>IF($B965="","",RANK($D965,$D$2:$D$1501)+COUNTIF($D$2:D965,$D965)-1)</f>
        <v/>
      </c>
    </row>
    <row r="966" spans="1:7">
      <c r="A966" s="11">
        <v>965</v>
      </c>
      <c r="B966" s="11" t="str">
        <f>IFERROR(INDEX('Raw Data'!$R$2:$R$50000,MATCH(965,'Raw Data'!$W$2:$W$50000,0)),"")</f>
        <v/>
      </c>
      <c r="C966" s="11" t="str">
        <f t="shared" si="15"/>
        <v/>
      </c>
      <c r="D966" s="11" t="str">
        <f>IF($B966="","",COUNTIFS('Raw Data'!$R$2:$R$50000,$B966))</f>
        <v/>
      </c>
      <c r="E966" s="11" t="str">
        <f>IF($B966="","",SUMIFS('Raw Data'!$I$2:$I$50000,'Raw Data'!$R$2:$R$50000,$B966))</f>
        <v/>
      </c>
      <c r="F966" s="11" t="str">
        <f>IF($B966="","",RANK($E966,$E$2:$E$1501)+COUNTIF($E$2:E966,$E966)-1)</f>
        <v/>
      </c>
      <c r="G966" s="11" t="str">
        <f>IF($B966="","",RANK($D966,$D$2:$D$1501)+COUNTIF($D$2:D966,$D966)-1)</f>
        <v/>
      </c>
    </row>
    <row r="967" spans="1:7">
      <c r="A967" s="11">
        <v>966</v>
      </c>
      <c r="B967" s="11" t="str">
        <f>IFERROR(INDEX('Raw Data'!$R$2:$R$50000,MATCH(966,'Raw Data'!$W$2:$W$50000,0)),"")</f>
        <v/>
      </c>
      <c r="C967" s="11" t="str">
        <f t="shared" si="15"/>
        <v/>
      </c>
      <c r="D967" s="11" t="str">
        <f>IF($B967="","",COUNTIFS('Raw Data'!$R$2:$R$50000,$B967))</f>
        <v/>
      </c>
      <c r="E967" s="11" t="str">
        <f>IF($B967="","",SUMIFS('Raw Data'!$I$2:$I$50000,'Raw Data'!$R$2:$R$50000,$B967))</f>
        <v/>
      </c>
      <c r="F967" s="11" t="str">
        <f>IF($B967="","",RANK($E967,$E$2:$E$1501)+COUNTIF($E$2:E967,$E967)-1)</f>
        <v/>
      </c>
      <c r="G967" s="11" t="str">
        <f>IF($B967="","",RANK($D967,$D$2:$D$1501)+COUNTIF($D$2:D967,$D967)-1)</f>
        <v/>
      </c>
    </row>
    <row r="968" spans="1:7">
      <c r="A968" s="11">
        <v>967</v>
      </c>
      <c r="B968" s="11" t="str">
        <f>IFERROR(INDEX('Raw Data'!$R$2:$R$50000,MATCH(967,'Raw Data'!$W$2:$W$50000,0)),"")</f>
        <v/>
      </c>
      <c r="C968" s="11" t="str">
        <f t="shared" si="15"/>
        <v/>
      </c>
      <c r="D968" s="11" t="str">
        <f>IF($B968="","",COUNTIFS('Raw Data'!$R$2:$R$50000,$B968))</f>
        <v/>
      </c>
      <c r="E968" s="11" t="str">
        <f>IF($B968="","",SUMIFS('Raw Data'!$I$2:$I$50000,'Raw Data'!$R$2:$R$50000,$B968))</f>
        <v/>
      </c>
      <c r="F968" s="11" t="str">
        <f>IF($B968="","",RANK($E968,$E$2:$E$1501)+COUNTIF($E$2:E968,$E968)-1)</f>
        <v/>
      </c>
      <c r="G968" s="11" t="str">
        <f>IF($B968="","",RANK($D968,$D$2:$D$1501)+COUNTIF($D$2:D968,$D968)-1)</f>
        <v/>
      </c>
    </row>
    <row r="969" spans="1:7">
      <c r="A969" s="11">
        <v>968</v>
      </c>
      <c r="B969" s="11" t="str">
        <f>IFERROR(INDEX('Raw Data'!$R$2:$R$50000,MATCH(968,'Raw Data'!$W$2:$W$50000,0)),"")</f>
        <v/>
      </c>
      <c r="C969" s="11" t="str">
        <f t="shared" si="15"/>
        <v/>
      </c>
      <c r="D969" s="11" t="str">
        <f>IF($B969="","",COUNTIFS('Raw Data'!$R$2:$R$50000,$B969))</f>
        <v/>
      </c>
      <c r="E969" s="11" t="str">
        <f>IF($B969="","",SUMIFS('Raw Data'!$I$2:$I$50000,'Raw Data'!$R$2:$R$50000,$B969))</f>
        <v/>
      </c>
      <c r="F969" s="11" t="str">
        <f>IF($B969="","",RANK($E969,$E$2:$E$1501)+COUNTIF($E$2:E969,$E969)-1)</f>
        <v/>
      </c>
      <c r="G969" s="11" t="str">
        <f>IF($B969="","",RANK($D969,$D$2:$D$1501)+COUNTIF($D$2:D969,$D969)-1)</f>
        <v/>
      </c>
    </row>
    <row r="970" spans="1:7">
      <c r="A970" s="11">
        <v>969</v>
      </c>
      <c r="B970" s="11" t="str">
        <f>IFERROR(INDEX('Raw Data'!$R$2:$R$50000,MATCH(969,'Raw Data'!$W$2:$W$50000,0)),"")</f>
        <v/>
      </c>
      <c r="C970" s="11" t="str">
        <f t="shared" si="15"/>
        <v/>
      </c>
      <c r="D970" s="11" t="str">
        <f>IF($B970="","",COUNTIFS('Raw Data'!$R$2:$R$50000,$B970))</f>
        <v/>
      </c>
      <c r="E970" s="11" t="str">
        <f>IF($B970="","",SUMIFS('Raw Data'!$I$2:$I$50000,'Raw Data'!$R$2:$R$50000,$B970))</f>
        <v/>
      </c>
      <c r="F970" s="11" t="str">
        <f>IF($B970="","",RANK($E970,$E$2:$E$1501)+COUNTIF($E$2:E970,$E970)-1)</f>
        <v/>
      </c>
      <c r="G970" s="11" t="str">
        <f>IF($B970="","",RANK($D970,$D$2:$D$1501)+COUNTIF($D$2:D970,$D970)-1)</f>
        <v/>
      </c>
    </row>
    <row r="971" spans="1:7">
      <c r="A971" s="11">
        <v>970</v>
      </c>
      <c r="B971" s="11" t="str">
        <f>IFERROR(INDEX('Raw Data'!$R$2:$R$50000,MATCH(970,'Raw Data'!$W$2:$W$50000,0)),"")</f>
        <v/>
      </c>
      <c r="C971" s="11" t="str">
        <f t="shared" si="15"/>
        <v/>
      </c>
      <c r="D971" s="11" t="str">
        <f>IF($B971="","",COUNTIFS('Raw Data'!$R$2:$R$50000,$B971))</f>
        <v/>
      </c>
      <c r="E971" s="11" t="str">
        <f>IF($B971="","",SUMIFS('Raw Data'!$I$2:$I$50000,'Raw Data'!$R$2:$R$50000,$B971))</f>
        <v/>
      </c>
      <c r="F971" s="11" t="str">
        <f>IF($B971="","",RANK($E971,$E$2:$E$1501)+COUNTIF($E$2:E971,$E971)-1)</f>
        <v/>
      </c>
      <c r="G971" s="11" t="str">
        <f>IF($B971="","",RANK($D971,$D$2:$D$1501)+COUNTIF($D$2:D971,$D971)-1)</f>
        <v/>
      </c>
    </row>
    <row r="972" spans="1:7">
      <c r="A972" s="11">
        <v>971</v>
      </c>
      <c r="B972" s="11" t="str">
        <f>IFERROR(INDEX('Raw Data'!$R$2:$R$50000,MATCH(971,'Raw Data'!$W$2:$W$50000,0)),"")</f>
        <v/>
      </c>
      <c r="C972" s="11" t="str">
        <f t="shared" si="15"/>
        <v/>
      </c>
      <c r="D972" s="11" t="str">
        <f>IF($B972="","",COUNTIFS('Raw Data'!$R$2:$R$50000,$B972))</f>
        <v/>
      </c>
      <c r="E972" s="11" t="str">
        <f>IF($B972="","",SUMIFS('Raw Data'!$I$2:$I$50000,'Raw Data'!$R$2:$R$50000,$B972))</f>
        <v/>
      </c>
      <c r="F972" s="11" t="str">
        <f>IF($B972="","",RANK($E972,$E$2:$E$1501)+COUNTIF($E$2:E972,$E972)-1)</f>
        <v/>
      </c>
      <c r="G972" s="11" t="str">
        <f>IF($B972="","",RANK($D972,$D$2:$D$1501)+COUNTIF($D$2:D972,$D972)-1)</f>
        <v/>
      </c>
    </row>
    <row r="973" spans="1:7">
      <c r="A973" s="11">
        <v>972</v>
      </c>
      <c r="B973" s="11" t="str">
        <f>IFERROR(INDEX('Raw Data'!$R$2:$R$50000,MATCH(972,'Raw Data'!$W$2:$W$50000,0)),"")</f>
        <v/>
      </c>
      <c r="C973" s="11" t="str">
        <f t="shared" si="15"/>
        <v/>
      </c>
      <c r="D973" s="11" t="str">
        <f>IF($B973="","",COUNTIFS('Raw Data'!$R$2:$R$50000,$B973))</f>
        <v/>
      </c>
      <c r="E973" s="11" t="str">
        <f>IF($B973="","",SUMIFS('Raw Data'!$I$2:$I$50000,'Raw Data'!$R$2:$R$50000,$B973))</f>
        <v/>
      </c>
      <c r="F973" s="11" t="str">
        <f>IF($B973="","",RANK($E973,$E$2:$E$1501)+COUNTIF($E$2:E973,$E973)-1)</f>
        <v/>
      </c>
      <c r="G973" s="11" t="str">
        <f>IF($B973="","",RANK($D973,$D$2:$D$1501)+COUNTIF($D$2:D973,$D973)-1)</f>
        <v/>
      </c>
    </row>
    <row r="974" spans="1:7">
      <c r="A974" s="11">
        <v>973</v>
      </c>
      <c r="B974" s="11" t="str">
        <f>IFERROR(INDEX('Raw Data'!$R$2:$R$50000,MATCH(973,'Raw Data'!$W$2:$W$50000,0)),"")</f>
        <v/>
      </c>
      <c r="C974" s="11" t="str">
        <f t="shared" si="15"/>
        <v/>
      </c>
      <c r="D974" s="11" t="str">
        <f>IF($B974="","",COUNTIFS('Raw Data'!$R$2:$R$50000,$B974))</f>
        <v/>
      </c>
      <c r="E974" s="11" t="str">
        <f>IF($B974="","",SUMIFS('Raw Data'!$I$2:$I$50000,'Raw Data'!$R$2:$R$50000,$B974))</f>
        <v/>
      </c>
      <c r="F974" s="11" t="str">
        <f>IF($B974="","",RANK($E974,$E$2:$E$1501)+COUNTIF($E$2:E974,$E974)-1)</f>
        <v/>
      </c>
      <c r="G974" s="11" t="str">
        <f>IF($B974="","",RANK($D974,$D$2:$D$1501)+COUNTIF($D$2:D974,$D974)-1)</f>
        <v/>
      </c>
    </row>
    <row r="975" spans="1:7">
      <c r="A975" s="11">
        <v>974</v>
      </c>
      <c r="B975" s="11" t="str">
        <f>IFERROR(INDEX('Raw Data'!$R$2:$R$50000,MATCH(974,'Raw Data'!$W$2:$W$50000,0)),"")</f>
        <v/>
      </c>
      <c r="C975" s="11" t="str">
        <f t="shared" si="15"/>
        <v/>
      </c>
      <c r="D975" s="11" t="str">
        <f>IF($B975="","",COUNTIFS('Raw Data'!$R$2:$R$50000,$B975))</f>
        <v/>
      </c>
      <c r="E975" s="11" t="str">
        <f>IF($B975="","",SUMIFS('Raw Data'!$I$2:$I$50000,'Raw Data'!$R$2:$R$50000,$B975))</f>
        <v/>
      </c>
      <c r="F975" s="11" t="str">
        <f>IF($B975="","",RANK($E975,$E$2:$E$1501)+COUNTIF($E$2:E975,$E975)-1)</f>
        <v/>
      </c>
      <c r="G975" s="11" t="str">
        <f>IF($B975="","",RANK($D975,$D$2:$D$1501)+COUNTIF($D$2:D975,$D975)-1)</f>
        <v/>
      </c>
    </row>
    <row r="976" spans="1:7">
      <c r="A976" s="11">
        <v>975</v>
      </c>
      <c r="B976" s="11" t="str">
        <f>IFERROR(INDEX('Raw Data'!$R$2:$R$50000,MATCH(975,'Raw Data'!$W$2:$W$50000,0)),"")</f>
        <v/>
      </c>
      <c r="C976" s="11" t="str">
        <f t="shared" si="15"/>
        <v/>
      </c>
      <c r="D976" s="11" t="str">
        <f>IF($B976="","",COUNTIFS('Raw Data'!$R$2:$R$50000,$B976))</f>
        <v/>
      </c>
      <c r="E976" s="11" t="str">
        <f>IF($B976="","",SUMIFS('Raw Data'!$I$2:$I$50000,'Raw Data'!$R$2:$R$50000,$B976))</f>
        <v/>
      </c>
      <c r="F976" s="11" t="str">
        <f>IF($B976="","",RANK($E976,$E$2:$E$1501)+COUNTIF($E$2:E976,$E976)-1)</f>
        <v/>
      </c>
      <c r="G976" s="11" t="str">
        <f>IF($B976="","",RANK($D976,$D$2:$D$1501)+COUNTIF($D$2:D976,$D976)-1)</f>
        <v/>
      </c>
    </row>
    <row r="977" spans="1:7">
      <c r="A977" s="11">
        <v>976</v>
      </c>
      <c r="B977" s="11" t="str">
        <f>IFERROR(INDEX('Raw Data'!$R$2:$R$50000,MATCH(976,'Raw Data'!$W$2:$W$50000,0)),"")</f>
        <v/>
      </c>
      <c r="C977" s="11" t="str">
        <f t="shared" si="15"/>
        <v/>
      </c>
      <c r="D977" s="11" t="str">
        <f>IF($B977="","",COUNTIFS('Raw Data'!$R$2:$R$50000,$B977))</f>
        <v/>
      </c>
      <c r="E977" s="11" t="str">
        <f>IF($B977="","",SUMIFS('Raw Data'!$I$2:$I$50000,'Raw Data'!$R$2:$R$50000,$B977))</f>
        <v/>
      </c>
      <c r="F977" s="11" t="str">
        <f>IF($B977="","",RANK($E977,$E$2:$E$1501)+COUNTIF($E$2:E977,$E977)-1)</f>
        <v/>
      </c>
      <c r="G977" s="11" t="str">
        <f>IF($B977="","",RANK($D977,$D$2:$D$1501)+COUNTIF($D$2:D977,$D977)-1)</f>
        <v/>
      </c>
    </row>
    <row r="978" spans="1:7">
      <c r="A978" s="11">
        <v>977</v>
      </c>
      <c r="B978" s="11" t="str">
        <f>IFERROR(INDEX('Raw Data'!$R$2:$R$50000,MATCH(977,'Raw Data'!$W$2:$W$50000,0)),"")</f>
        <v/>
      </c>
      <c r="C978" s="11" t="str">
        <f t="shared" si="15"/>
        <v/>
      </c>
      <c r="D978" s="11" t="str">
        <f>IF($B978="","",COUNTIFS('Raw Data'!$R$2:$R$50000,$B978))</f>
        <v/>
      </c>
      <c r="E978" s="11" t="str">
        <f>IF($B978="","",SUMIFS('Raw Data'!$I$2:$I$50000,'Raw Data'!$R$2:$R$50000,$B978))</f>
        <v/>
      </c>
      <c r="F978" s="11" t="str">
        <f>IF($B978="","",RANK($E978,$E$2:$E$1501)+COUNTIF($E$2:E978,$E978)-1)</f>
        <v/>
      </c>
      <c r="G978" s="11" t="str">
        <f>IF($B978="","",RANK($D978,$D$2:$D$1501)+COUNTIF($D$2:D978,$D978)-1)</f>
        <v/>
      </c>
    </row>
    <row r="979" spans="1:7">
      <c r="A979" s="11">
        <v>978</v>
      </c>
      <c r="B979" s="11" t="str">
        <f>IFERROR(INDEX('Raw Data'!$R$2:$R$50000,MATCH(978,'Raw Data'!$W$2:$W$50000,0)),"")</f>
        <v/>
      </c>
      <c r="C979" s="11" t="str">
        <f t="shared" si="15"/>
        <v/>
      </c>
      <c r="D979" s="11" t="str">
        <f>IF($B979="","",COUNTIFS('Raw Data'!$R$2:$R$50000,$B979))</f>
        <v/>
      </c>
      <c r="E979" s="11" t="str">
        <f>IF($B979="","",SUMIFS('Raw Data'!$I$2:$I$50000,'Raw Data'!$R$2:$R$50000,$B979))</f>
        <v/>
      </c>
      <c r="F979" s="11" t="str">
        <f>IF($B979="","",RANK($E979,$E$2:$E$1501)+COUNTIF($E$2:E979,$E979)-1)</f>
        <v/>
      </c>
      <c r="G979" s="11" t="str">
        <f>IF($B979="","",RANK($D979,$D$2:$D$1501)+COUNTIF($D$2:D979,$D979)-1)</f>
        <v/>
      </c>
    </row>
    <row r="980" spans="1:7">
      <c r="A980" s="11">
        <v>979</v>
      </c>
      <c r="B980" s="11" t="str">
        <f>IFERROR(INDEX('Raw Data'!$R$2:$R$50000,MATCH(979,'Raw Data'!$W$2:$W$50000,0)),"")</f>
        <v/>
      </c>
      <c r="C980" s="11" t="str">
        <f t="shared" si="15"/>
        <v/>
      </c>
      <c r="D980" s="11" t="str">
        <f>IF($B980="","",COUNTIFS('Raw Data'!$R$2:$R$50000,$B980))</f>
        <v/>
      </c>
      <c r="E980" s="11" t="str">
        <f>IF($B980="","",SUMIFS('Raw Data'!$I$2:$I$50000,'Raw Data'!$R$2:$R$50000,$B980))</f>
        <v/>
      </c>
      <c r="F980" s="11" t="str">
        <f>IF($B980="","",RANK($E980,$E$2:$E$1501)+COUNTIF($E$2:E980,$E980)-1)</f>
        <v/>
      </c>
      <c r="G980" s="11" t="str">
        <f>IF($B980="","",RANK($D980,$D$2:$D$1501)+COUNTIF($D$2:D980,$D980)-1)</f>
        <v/>
      </c>
    </row>
    <row r="981" spans="1:7">
      <c r="A981" s="11">
        <v>980</v>
      </c>
      <c r="B981" s="11" t="str">
        <f>IFERROR(INDEX('Raw Data'!$R$2:$R$50000,MATCH(980,'Raw Data'!$W$2:$W$50000,0)),"")</f>
        <v/>
      </c>
      <c r="C981" s="11" t="str">
        <f t="shared" si="15"/>
        <v/>
      </c>
      <c r="D981" s="11" t="str">
        <f>IF($B981="","",COUNTIFS('Raw Data'!$R$2:$R$50000,$B981))</f>
        <v/>
      </c>
      <c r="E981" s="11" t="str">
        <f>IF($B981="","",SUMIFS('Raw Data'!$I$2:$I$50000,'Raw Data'!$R$2:$R$50000,$B981))</f>
        <v/>
      </c>
      <c r="F981" s="11" t="str">
        <f>IF($B981="","",RANK($E981,$E$2:$E$1501)+COUNTIF($E$2:E981,$E981)-1)</f>
        <v/>
      </c>
      <c r="G981" s="11" t="str">
        <f>IF($B981="","",RANK($D981,$D$2:$D$1501)+COUNTIF($D$2:D981,$D981)-1)</f>
        <v/>
      </c>
    </row>
    <row r="982" spans="1:7">
      <c r="A982" s="11">
        <v>981</v>
      </c>
      <c r="B982" s="11" t="str">
        <f>IFERROR(INDEX('Raw Data'!$R$2:$R$50000,MATCH(981,'Raw Data'!$W$2:$W$50000,0)),"")</f>
        <v/>
      </c>
      <c r="C982" s="11" t="str">
        <f t="shared" si="15"/>
        <v/>
      </c>
      <c r="D982" s="11" t="str">
        <f>IF($B982="","",COUNTIFS('Raw Data'!$R$2:$R$50000,$B982))</f>
        <v/>
      </c>
      <c r="E982" s="11" t="str">
        <f>IF($B982="","",SUMIFS('Raw Data'!$I$2:$I$50000,'Raw Data'!$R$2:$R$50000,$B982))</f>
        <v/>
      </c>
      <c r="F982" s="11" t="str">
        <f>IF($B982="","",RANK($E982,$E$2:$E$1501)+COUNTIF($E$2:E982,$E982)-1)</f>
        <v/>
      </c>
      <c r="G982" s="11" t="str">
        <f>IF($B982="","",RANK($D982,$D$2:$D$1501)+COUNTIF($D$2:D982,$D982)-1)</f>
        <v/>
      </c>
    </row>
    <row r="983" spans="1:7">
      <c r="A983" s="11">
        <v>982</v>
      </c>
      <c r="B983" s="11" t="str">
        <f>IFERROR(INDEX('Raw Data'!$R$2:$R$50000,MATCH(982,'Raw Data'!$W$2:$W$50000,0)),"")</f>
        <v/>
      </c>
      <c r="C983" s="11" t="str">
        <f t="shared" si="15"/>
        <v/>
      </c>
      <c r="D983" s="11" t="str">
        <f>IF($B983="","",COUNTIFS('Raw Data'!$R$2:$R$50000,$B983))</f>
        <v/>
      </c>
      <c r="E983" s="11" t="str">
        <f>IF($B983="","",SUMIFS('Raw Data'!$I$2:$I$50000,'Raw Data'!$R$2:$R$50000,$B983))</f>
        <v/>
      </c>
      <c r="F983" s="11" t="str">
        <f>IF($B983="","",RANK($E983,$E$2:$E$1501)+COUNTIF($E$2:E983,$E983)-1)</f>
        <v/>
      </c>
      <c r="G983" s="11" t="str">
        <f>IF($B983="","",RANK($D983,$D$2:$D$1501)+COUNTIF($D$2:D983,$D983)-1)</f>
        <v/>
      </c>
    </row>
    <row r="984" spans="1:7">
      <c r="A984" s="11">
        <v>983</v>
      </c>
      <c r="B984" s="11" t="str">
        <f>IFERROR(INDEX('Raw Data'!$R$2:$R$50000,MATCH(983,'Raw Data'!$W$2:$W$50000,0)),"")</f>
        <v/>
      </c>
      <c r="C984" s="11" t="str">
        <f t="shared" si="15"/>
        <v/>
      </c>
      <c r="D984" s="11" t="str">
        <f>IF($B984="","",COUNTIFS('Raw Data'!$R$2:$R$50000,$B984))</f>
        <v/>
      </c>
      <c r="E984" s="11" t="str">
        <f>IF($B984="","",SUMIFS('Raw Data'!$I$2:$I$50000,'Raw Data'!$R$2:$R$50000,$B984))</f>
        <v/>
      </c>
      <c r="F984" s="11" t="str">
        <f>IF($B984="","",RANK($E984,$E$2:$E$1501)+COUNTIF($E$2:E984,$E984)-1)</f>
        <v/>
      </c>
      <c r="G984" s="11" t="str">
        <f>IF($B984="","",RANK($D984,$D$2:$D$1501)+COUNTIF($D$2:D984,$D984)-1)</f>
        <v/>
      </c>
    </row>
    <row r="985" spans="1:7">
      <c r="A985" s="11">
        <v>984</v>
      </c>
      <c r="B985" s="11" t="str">
        <f>IFERROR(INDEX('Raw Data'!$R$2:$R$50000,MATCH(984,'Raw Data'!$W$2:$W$50000,0)),"")</f>
        <v/>
      </c>
      <c r="C985" s="11" t="str">
        <f t="shared" si="15"/>
        <v/>
      </c>
      <c r="D985" s="11" t="str">
        <f>IF($B985="","",COUNTIFS('Raw Data'!$R$2:$R$50000,$B985))</f>
        <v/>
      </c>
      <c r="E985" s="11" t="str">
        <f>IF($B985="","",SUMIFS('Raw Data'!$I$2:$I$50000,'Raw Data'!$R$2:$R$50000,$B985))</f>
        <v/>
      </c>
      <c r="F985" s="11" t="str">
        <f>IF($B985="","",RANK($E985,$E$2:$E$1501)+COUNTIF($E$2:E985,$E985)-1)</f>
        <v/>
      </c>
      <c r="G985" s="11" t="str">
        <f>IF($B985="","",RANK($D985,$D$2:$D$1501)+COUNTIF($D$2:D985,$D985)-1)</f>
        <v/>
      </c>
    </row>
    <row r="986" spans="1:7">
      <c r="A986" s="11">
        <v>985</v>
      </c>
      <c r="B986" s="11" t="str">
        <f>IFERROR(INDEX('Raw Data'!$R$2:$R$50000,MATCH(985,'Raw Data'!$W$2:$W$50000,0)),"")</f>
        <v/>
      </c>
      <c r="C986" s="11" t="str">
        <f t="shared" si="15"/>
        <v/>
      </c>
      <c r="D986" s="11" t="str">
        <f>IF($B986="","",COUNTIFS('Raw Data'!$R$2:$R$50000,$B986))</f>
        <v/>
      </c>
      <c r="E986" s="11" t="str">
        <f>IF($B986="","",SUMIFS('Raw Data'!$I$2:$I$50000,'Raw Data'!$R$2:$R$50000,$B986))</f>
        <v/>
      </c>
      <c r="F986" s="11" t="str">
        <f>IF($B986="","",RANK($E986,$E$2:$E$1501)+COUNTIF($E$2:E986,$E986)-1)</f>
        <v/>
      </c>
      <c r="G986" s="11" t="str">
        <f>IF($B986="","",RANK($D986,$D$2:$D$1501)+COUNTIF($D$2:D986,$D986)-1)</f>
        <v/>
      </c>
    </row>
    <row r="987" spans="1:7">
      <c r="A987" s="11">
        <v>986</v>
      </c>
      <c r="B987" s="11" t="str">
        <f>IFERROR(INDEX('Raw Data'!$R$2:$R$50000,MATCH(986,'Raw Data'!$W$2:$W$50000,0)),"")</f>
        <v/>
      </c>
      <c r="C987" s="11" t="str">
        <f t="shared" si="15"/>
        <v/>
      </c>
      <c r="D987" s="11" t="str">
        <f>IF($B987="","",COUNTIFS('Raw Data'!$R$2:$R$50000,$B987))</f>
        <v/>
      </c>
      <c r="E987" s="11" t="str">
        <f>IF($B987="","",SUMIFS('Raw Data'!$I$2:$I$50000,'Raw Data'!$R$2:$R$50000,$B987))</f>
        <v/>
      </c>
      <c r="F987" s="11" t="str">
        <f>IF($B987="","",RANK($E987,$E$2:$E$1501)+COUNTIF($E$2:E987,$E987)-1)</f>
        <v/>
      </c>
      <c r="G987" s="11" t="str">
        <f>IF($B987="","",RANK($D987,$D$2:$D$1501)+COUNTIF($D$2:D987,$D987)-1)</f>
        <v/>
      </c>
    </row>
    <row r="988" spans="1:7">
      <c r="A988" s="11">
        <v>987</v>
      </c>
      <c r="B988" s="11" t="str">
        <f>IFERROR(INDEX('Raw Data'!$R$2:$R$50000,MATCH(987,'Raw Data'!$W$2:$W$50000,0)),"")</f>
        <v/>
      </c>
      <c r="C988" s="11" t="str">
        <f t="shared" si="15"/>
        <v/>
      </c>
      <c r="D988" s="11" t="str">
        <f>IF($B988="","",COUNTIFS('Raw Data'!$R$2:$R$50000,$B988))</f>
        <v/>
      </c>
      <c r="E988" s="11" t="str">
        <f>IF($B988="","",SUMIFS('Raw Data'!$I$2:$I$50000,'Raw Data'!$R$2:$R$50000,$B988))</f>
        <v/>
      </c>
      <c r="F988" s="11" t="str">
        <f>IF($B988="","",RANK($E988,$E$2:$E$1501)+COUNTIF($E$2:E988,$E988)-1)</f>
        <v/>
      </c>
      <c r="G988" s="11" t="str">
        <f>IF($B988="","",RANK($D988,$D$2:$D$1501)+COUNTIF($D$2:D988,$D988)-1)</f>
        <v/>
      </c>
    </row>
    <row r="989" spans="1:7">
      <c r="A989" s="11">
        <v>988</v>
      </c>
      <c r="B989" s="11" t="str">
        <f>IFERROR(INDEX('Raw Data'!$R$2:$R$50000,MATCH(988,'Raw Data'!$W$2:$W$50000,0)),"")</f>
        <v/>
      </c>
      <c r="C989" s="11" t="str">
        <f t="shared" si="15"/>
        <v/>
      </c>
      <c r="D989" s="11" t="str">
        <f>IF($B989="","",COUNTIFS('Raw Data'!$R$2:$R$50000,$B989))</f>
        <v/>
      </c>
      <c r="E989" s="11" t="str">
        <f>IF($B989="","",SUMIFS('Raw Data'!$I$2:$I$50000,'Raw Data'!$R$2:$R$50000,$B989))</f>
        <v/>
      </c>
      <c r="F989" s="11" t="str">
        <f>IF($B989="","",RANK($E989,$E$2:$E$1501)+COUNTIF($E$2:E989,$E989)-1)</f>
        <v/>
      </c>
      <c r="G989" s="11" t="str">
        <f>IF($B989="","",RANK($D989,$D$2:$D$1501)+COUNTIF($D$2:D989,$D989)-1)</f>
        <v/>
      </c>
    </row>
    <row r="990" spans="1:7">
      <c r="A990" s="11">
        <v>989</v>
      </c>
      <c r="B990" s="11" t="str">
        <f>IFERROR(INDEX('Raw Data'!$R$2:$R$50000,MATCH(989,'Raw Data'!$W$2:$W$50000,0)),"")</f>
        <v/>
      </c>
      <c r="C990" s="11" t="str">
        <f t="shared" si="15"/>
        <v/>
      </c>
      <c r="D990" s="11" t="str">
        <f>IF($B990="","",COUNTIFS('Raw Data'!$R$2:$R$50000,$B990))</f>
        <v/>
      </c>
      <c r="E990" s="11" t="str">
        <f>IF($B990="","",SUMIFS('Raw Data'!$I$2:$I$50000,'Raw Data'!$R$2:$R$50000,$B990))</f>
        <v/>
      </c>
      <c r="F990" s="11" t="str">
        <f>IF($B990="","",RANK($E990,$E$2:$E$1501)+COUNTIF($E$2:E990,$E990)-1)</f>
        <v/>
      </c>
      <c r="G990" s="11" t="str">
        <f>IF($B990="","",RANK($D990,$D$2:$D$1501)+COUNTIF($D$2:D990,$D990)-1)</f>
        <v/>
      </c>
    </row>
    <row r="991" spans="1:7">
      <c r="A991" s="11">
        <v>990</v>
      </c>
      <c r="B991" s="11" t="str">
        <f>IFERROR(INDEX('Raw Data'!$R$2:$R$50000,MATCH(990,'Raw Data'!$W$2:$W$50000,0)),"")</f>
        <v/>
      </c>
      <c r="C991" s="11" t="str">
        <f t="shared" si="15"/>
        <v/>
      </c>
      <c r="D991" s="11" t="str">
        <f>IF($B991="","",COUNTIFS('Raw Data'!$R$2:$R$50000,$B991))</f>
        <v/>
      </c>
      <c r="E991" s="11" t="str">
        <f>IF($B991="","",SUMIFS('Raw Data'!$I$2:$I$50000,'Raw Data'!$R$2:$R$50000,$B991))</f>
        <v/>
      </c>
      <c r="F991" s="11" t="str">
        <f>IF($B991="","",RANK($E991,$E$2:$E$1501)+COUNTIF($E$2:E991,$E991)-1)</f>
        <v/>
      </c>
      <c r="G991" s="11" t="str">
        <f>IF($B991="","",RANK($D991,$D$2:$D$1501)+COUNTIF($D$2:D991,$D991)-1)</f>
        <v/>
      </c>
    </row>
    <row r="992" spans="1:7">
      <c r="A992" s="11">
        <v>991</v>
      </c>
      <c r="B992" s="11" t="str">
        <f>IFERROR(INDEX('Raw Data'!$R$2:$R$50000,MATCH(991,'Raw Data'!$W$2:$W$50000,0)),"")</f>
        <v/>
      </c>
      <c r="C992" s="11" t="str">
        <f t="shared" si="15"/>
        <v/>
      </c>
      <c r="D992" s="11" t="str">
        <f>IF($B992="","",COUNTIFS('Raw Data'!$R$2:$R$50000,$B992))</f>
        <v/>
      </c>
      <c r="E992" s="11" t="str">
        <f>IF($B992="","",SUMIFS('Raw Data'!$I$2:$I$50000,'Raw Data'!$R$2:$R$50000,$B992))</f>
        <v/>
      </c>
      <c r="F992" s="11" t="str">
        <f>IF($B992="","",RANK($E992,$E$2:$E$1501)+COUNTIF($E$2:E992,$E992)-1)</f>
        <v/>
      </c>
      <c r="G992" s="11" t="str">
        <f>IF($B992="","",RANK($D992,$D$2:$D$1501)+COUNTIF($D$2:D992,$D992)-1)</f>
        <v/>
      </c>
    </row>
    <row r="993" spans="1:7">
      <c r="A993" s="11">
        <v>992</v>
      </c>
      <c r="B993" s="11" t="str">
        <f>IFERROR(INDEX('Raw Data'!$R$2:$R$50000,MATCH(992,'Raw Data'!$W$2:$W$50000,0)),"")</f>
        <v/>
      </c>
      <c r="C993" s="11" t="str">
        <f t="shared" si="15"/>
        <v/>
      </c>
      <c r="D993" s="11" t="str">
        <f>IF($B993="","",COUNTIFS('Raw Data'!$R$2:$R$50000,$B993))</f>
        <v/>
      </c>
      <c r="E993" s="11" t="str">
        <f>IF($B993="","",SUMIFS('Raw Data'!$I$2:$I$50000,'Raw Data'!$R$2:$R$50000,$B993))</f>
        <v/>
      </c>
      <c r="F993" s="11" t="str">
        <f>IF($B993="","",RANK($E993,$E$2:$E$1501)+COUNTIF($E$2:E993,$E993)-1)</f>
        <v/>
      </c>
      <c r="G993" s="11" t="str">
        <f>IF($B993="","",RANK($D993,$D$2:$D$1501)+COUNTIF($D$2:D993,$D993)-1)</f>
        <v/>
      </c>
    </row>
    <row r="994" spans="1:7">
      <c r="A994" s="11">
        <v>993</v>
      </c>
      <c r="B994" s="11" t="str">
        <f>IFERROR(INDEX('Raw Data'!$R$2:$R$50000,MATCH(993,'Raw Data'!$W$2:$W$50000,0)),"")</f>
        <v/>
      </c>
      <c r="C994" s="11" t="str">
        <f t="shared" si="15"/>
        <v/>
      </c>
      <c r="D994" s="11" t="str">
        <f>IF($B994="","",COUNTIFS('Raw Data'!$R$2:$R$50000,$B994))</f>
        <v/>
      </c>
      <c r="E994" s="11" t="str">
        <f>IF($B994="","",SUMIFS('Raw Data'!$I$2:$I$50000,'Raw Data'!$R$2:$R$50000,$B994))</f>
        <v/>
      </c>
      <c r="F994" s="11" t="str">
        <f>IF($B994="","",RANK($E994,$E$2:$E$1501)+COUNTIF($E$2:E994,$E994)-1)</f>
        <v/>
      </c>
      <c r="G994" s="11" t="str">
        <f>IF($B994="","",RANK($D994,$D$2:$D$1501)+COUNTIF($D$2:D994,$D994)-1)</f>
        <v/>
      </c>
    </row>
    <row r="995" spans="1:7">
      <c r="A995" s="11">
        <v>994</v>
      </c>
      <c r="B995" s="11" t="str">
        <f>IFERROR(INDEX('Raw Data'!$R$2:$R$50000,MATCH(994,'Raw Data'!$W$2:$W$50000,0)),"")</f>
        <v/>
      </c>
      <c r="C995" s="11" t="str">
        <f t="shared" si="15"/>
        <v/>
      </c>
      <c r="D995" s="11" t="str">
        <f>IF($B995="","",COUNTIFS('Raw Data'!$R$2:$R$50000,$B995))</f>
        <v/>
      </c>
      <c r="E995" s="11" t="str">
        <f>IF($B995="","",SUMIFS('Raw Data'!$I$2:$I$50000,'Raw Data'!$R$2:$R$50000,$B995))</f>
        <v/>
      </c>
      <c r="F995" s="11" t="str">
        <f>IF($B995="","",RANK($E995,$E$2:$E$1501)+COUNTIF($E$2:E995,$E995)-1)</f>
        <v/>
      </c>
      <c r="G995" s="11" t="str">
        <f>IF($B995="","",RANK($D995,$D$2:$D$1501)+COUNTIF($D$2:D995,$D995)-1)</f>
        <v/>
      </c>
    </row>
    <row r="996" spans="1:7">
      <c r="A996" s="11">
        <v>995</v>
      </c>
      <c r="B996" s="11" t="str">
        <f>IFERROR(INDEX('Raw Data'!$R$2:$R$50000,MATCH(995,'Raw Data'!$W$2:$W$50000,0)),"")</f>
        <v/>
      </c>
      <c r="C996" s="11" t="str">
        <f t="shared" si="15"/>
        <v/>
      </c>
      <c r="D996" s="11" t="str">
        <f>IF($B996="","",COUNTIFS('Raw Data'!$R$2:$R$50000,$B996))</f>
        <v/>
      </c>
      <c r="E996" s="11" t="str">
        <f>IF($B996="","",SUMIFS('Raw Data'!$I$2:$I$50000,'Raw Data'!$R$2:$R$50000,$B996))</f>
        <v/>
      </c>
      <c r="F996" s="11" t="str">
        <f>IF($B996="","",RANK($E996,$E$2:$E$1501)+COUNTIF($E$2:E996,$E996)-1)</f>
        <v/>
      </c>
      <c r="G996" s="11" t="str">
        <f>IF($B996="","",RANK($D996,$D$2:$D$1501)+COUNTIF($D$2:D996,$D996)-1)</f>
        <v/>
      </c>
    </row>
    <row r="997" spans="1:7">
      <c r="A997" s="11">
        <v>996</v>
      </c>
      <c r="B997" s="11" t="str">
        <f>IFERROR(INDEX('Raw Data'!$R$2:$R$50000,MATCH(996,'Raw Data'!$W$2:$W$50000,0)),"")</f>
        <v/>
      </c>
      <c r="C997" s="11" t="str">
        <f t="shared" si="15"/>
        <v/>
      </c>
      <c r="D997" s="11" t="str">
        <f>IF($B997="","",COUNTIFS('Raw Data'!$R$2:$R$50000,$B997))</f>
        <v/>
      </c>
      <c r="E997" s="11" t="str">
        <f>IF($B997="","",SUMIFS('Raw Data'!$I$2:$I$50000,'Raw Data'!$R$2:$R$50000,$B997))</f>
        <v/>
      </c>
      <c r="F997" s="11" t="str">
        <f>IF($B997="","",RANK($E997,$E$2:$E$1501)+COUNTIF($E$2:E997,$E997)-1)</f>
        <v/>
      </c>
      <c r="G997" s="11" t="str">
        <f>IF($B997="","",RANK($D997,$D$2:$D$1501)+COUNTIF($D$2:D997,$D997)-1)</f>
        <v/>
      </c>
    </row>
    <row r="998" spans="1:7">
      <c r="A998" s="11">
        <v>997</v>
      </c>
      <c r="B998" s="11" t="str">
        <f>IFERROR(INDEX('Raw Data'!$R$2:$R$50000,MATCH(997,'Raw Data'!$W$2:$W$50000,0)),"")</f>
        <v/>
      </c>
      <c r="C998" s="11" t="str">
        <f t="shared" si="15"/>
        <v/>
      </c>
      <c r="D998" s="11" t="str">
        <f>IF($B998="","",COUNTIFS('Raw Data'!$R$2:$R$50000,$B998))</f>
        <v/>
      </c>
      <c r="E998" s="11" t="str">
        <f>IF($B998="","",SUMIFS('Raw Data'!$I$2:$I$50000,'Raw Data'!$R$2:$R$50000,$B998))</f>
        <v/>
      </c>
      <c r="F998" s="11" t="str">
        <f>IF($B998="","",RANK($E998,$E$2:$E$1501)+COUNTIF($E$2:E998,$E998)-1)</f>
        <v/>
      </c>
      <c r="G998" s="11" t="str">
        <f>IF($B998="","",RANK($D998,$D$2:$D$1501)+COUNTIF($D$2:D998,$D998)-1)</f>
        <v/>
      </c>
    </row>
    <row r="999" spans="1:7">
      <c r="A999" s="11">
        <v>998</v>
      </c>
      <c r="B999" s="11" t="str">
        <f>IFERROR(INDEX('Raw Data'!$R$2:$R$50000,MATCH(998,'Raw Data'!$W$2:$W$50000,0)),"")</f>
        <v/>
      </c>
      <c r="C999" s="11" t="str">
        <f t="shared" si="15"/>
        <v/>
      </c>
      <c r="D999" s="11" t="str">
        <f>IF($B999="","",COUNTIFS('Raw Data'!$R$2:$R$50000,$B999))</f>
        <v/>
      </c>
      <c r="E999" s="11" t="str">
        <f>IF($B999="","",SUMIFS('Raw Data'!$I$2:$I$50000,'Raw Data'!$R$2:$R$50000,$B999))</f>
        <v/>
      </c>
      <c r="F999" s="11" t="str">
        <f>IF($B999="","",RANK($E999,$E$2:$E$1501)+COUNTIF($E$2:E999,$E999)-1)</f>
        <v/>
      </c>
      <c r="G999" s="11" t="str">
        <f>IF($B999="","",RANK($D999,$D$2:$D$1501)+COUNTIF($D$2:D999,$D999)-1)</f>
        <v/>
      </c>
    </row>
    <row r="1000" spans="1:7">
      <c r="A1000" s="11">
        <v>999</v>
      </c>
      <c r="B1000" s="11" t="str">
        <f>IFERROR(INDEX('Raw Data'!$R$2:$R$50000,MATCH(999,'Raw Data'!$W$2:$W$50000,0)),"")</f>
        <v/>
      </c>
      <c r="C1000" s="11" t="str">
        <f t="shared" si="15"/>
        <v/>
      </c>
      <c r="D1000" s="11" t="str">
        <f>IF($B1000="","",COUNTIFS('Raw Data'!$R$2:$R$50000,$B1000))</f>
        <v/>
      </c>
      <c r="E1000" s="11" t="str">
        <f>IF($B1000="","",SUMIFS('Raw Data'!$I$2:$I$50000,'Raw Data'!$R$2:$R$50000,$B1000))</f>
        <v/>
      </c>
      <c r="F1000" s="11" t="str">
        <f>IF($B1000="","",RANK($E1000,$E$2:$E$1501)+COUNTIF($E$2:E1000,$E1000)-1)</f>
        <v/>
      </c>
      <c r="G1000" s="11" t="str">
        <f>IF($B1000="","",RANK($D1000,$D$2:$D$1501)+COUNTIF($D$2:D1000,$D1000)-1)</f>
        <v/>
      </c>
    </row>
    <row r="1001" spans="1:7">
      <c r="A1001" s="11">
        <v>1000</v>
      </c>
      <c r="B1001" s="11" t="str">
        <f>IFERROR(INDEX('Raw Data'!$R$2:$R$50000,MATCH(1000,'Raw Data'!$W$2:$W$50000,0)),"")</f>
        <v/>
      </c>
      <c r="C1001" s="11" t="str">
        <f t="shared" si="15"/>
        <v/>
      </c>
      <c r="D1001" s="11" t="str">
        <f>IF($B1001="","",COUNTIFS('Raw Data'!$R$2:$R$50000,$B1001))</f>
        <v/>
      </c>
      <c r="E1001" s="11" t="str">
        <f>IF($B1001="","",SUMIFS('Raw Data'!$I$2:$I$50000,'Raw Data'!$R$2:$R$50000,$B1001))</f>
        <v/>
      </c>
      <c r="F1001" s="11" t="str">
        <f>IF($B1001="","",RANK($E1001,$E$2:$E$1501)+COUNTIF($E$2:E1001,$E1001)-1)</f>
        <v/>
      </c>
      <c r="G1001" s="11" t="str">
        <f>IF($B1001="","",RANK($D1001,$D$2:$D$1501)+COUNTIF($D$2:D1001,$D1001)-1)</f>
        <v/>
      </c>
    </row>
    <row r="1002" spans="1:7">
      <c r="A1002" s="11">
        <v>1001</v>
      </c>
      <c r="B1002" s="11" t="str">
        <f>IFERROR(INDEX('Raw Data'!$R$2:$R$50000,MATCH(1001,'Raw Data'!$W$2:$W$50000,0)),"")</f>
        <v/>
      </c>
      <c r="C1002" s="11" t="str">
        <f t="shared" si="15"/>
        <v/>
      </c>
      <c r="D1002" s="11" t="str">
        <f>IF($B1002="","",COUNTIFS('Raw Data'!$R$2:$R$50000,$B1002))</f>
        <v/>
      </c>
      <c r="E1002" s="11" t="str">
        <f>IF($B1002="","",SUMIFS('Raw Data'!$I$2:$I$50000,'Raw Data'!$R$2:$R$50000,$B1002))</f>
        <v/>
      </c>
      <c r="F1002" s="11" t="str">
        <f>IF($B1002="","",RANK($E1002,$E$2:$E$1501)+COUNTIF($E$2:E1002,$E1002)-1)</f>
        <v/>
      </c>
      <c r="G1002" s="11" t="str">
        <f>IF($B1002="","",RANK($D1002,$D$2:$D$1501)+COUNTIF($D$2:D1002,$D1002)-1)</f>
        <v/>
      </c>
    </row>
    <row r="1003" spans="1:7">
      <c r="A1003" s="11">
        <v>1002</v>
      </c>
      <c r="B1003" s="11" t="str">
        <f>IFERROR(INDEX('Raw Data'!$R$2:$R$50000,MATCH(1002,'Raw Data'!$W$2:$W$50000,0)),"")</f>
        <v/>
      </c>
      <c r="C1003" s="11" t="str">
        <f t="shared" si="15"/>
        <v/>
      </c>
      <c r="D1003" s="11" t="str">
        <f>IF($B1003="","",COUNTIFS('Raw Data'!$R$2:$R$50000,$B1003))</f>
        <v/>
      </c>
      <c r="E1003" s="11" t="str">
        <f>IF($B1003="","",SUMIFS('Raw Data'!$I$2:$I$50000,'Raw Data'!$R$2:$R$50000,$B1003))</f>
        <v/>
      </c>
      <c r="F1003" s="11" t="str">
        <f>IF($B1003="","",RANK($E1003,$E$2:$E$1501)+COUNTIF($E$2:E1003,$E1003)-1)</f>
        <v/>
      </c>
      <c r="G1003" s="11" t="str">
        <f>IF($B1003="","",RANK($D1003,$D$2:$D$1501)+COUNTIF($D$2:D1003,$D1003)-1)</f>
        <v/>
      </c>
    </row>
    <row r="1004" spans="1:7">
      <c r="A1004" s="11">
        <v>1003</v>
      </c>
      <c r="B1004" s="11" t="str">
        <f>IFERROR(INDEX('Raw Data'!$R$2:$R$50000,MATCH(1003,'Raw Data'!$W$2:$W$50000,0)),"")</f>
        <v/>
      </c>
      <c r="C1004" s="11" t="str">
        <f t="shared" si="15"/>
        <v/>
      </c>
      <c r="D1004" s="11" t="str">
        <f>IF($B1004="","",COUNTIFS('Raw Data'!$R$2:$R$50000,$B1004))</f>
        <v/>
      </c>
      <c r="E1004" s="11" t="str">
        <f>IF($B1004="","",SUMIFS('Raw Data'!$I$2:$I$50000,'Raw Data'!$R$2:$R$50000,$B1004))</f>
        <v/>
      </c>
      <c r="F1004" s="11" t="str">
        <f>IF($B1004="","",RANK($E1004,$E$2:$E$1501)+COUNTIF($E$2:E1004,$E1004)-1)</f>
        <v/>
      </c>
      <c r="G1004" s="11" t="str">
        <f>IF($B1004="","",RANK($D1004,$D$2:$D$1501)+COUNTIF($D$2:D1004,$D1004)-1)</f>
        <v/>
      </c>
    </row>
    <row r="1005" spans="1:7">
      <c r="A1005" s="11">
        <v>1004</v>
      </c>
      <c r="B1005" s="11" t="str">
        <f>IFERROR(INDEX('Raw Data'!$R$2:$R$50000,MATCH(1004,'Raw Data'!$W$2:$W$50000,0)),"")</f>
        <v/>
      </c>
      <c r="C1005" s="11" t="str">
        <f t="shared" si="15"/>
        <v/>
      </c>
      <c r="D1005" s="11" t="str">
        <f>IF($B1005="","",COUNTIFS('Raw Data'!$R$2:$R$50000,$B1005))</f>
        <v/>
      </c>
      <c r="E1005" s="11" t="str">
        <f>IF($B1005="","",SUMIFS('Raw Data'!$I$2:$I$50000,'Raw Data'!$R$2:$R$50000,$B1005))</f>
        <v/>
      </c>
      <c r="F1005" s="11" t="str">
        <f>IF($B1005="","",RANK($E1005,$E$2:$E$1501)+COUNTIF($E$2:E1005,$E1005)-1)</f>
        <v/>
      </c>
      <c r="G1005" s="11" t="str">
        <f>IF($B1005="","",RANK($D1005,$D$2:$D$1501)+COUNTIF($D$2:D1005,$D1005)-1)</f>
        <v/>
      </c>
    </row>
    <row r="1006" spans="1:7">
      <c r="A1006" s="11">
        <v>1005</v>
      </c>
      <c r="B1006" s="11" t="str">
        <f>IFERROR(INDEX('Raw Data'!$R$2:$R$50000,MATCH(1005,'Raw Data'!$W$2:$W$50000,0)),"")</f>
        <v/>
      </c>
      <c r="C1006" s="11" t="str">
        <f t="shared" si="15"/>
        <v/>
      </c>
      <c r="D1006" s="11" t="str">
        <f>IF($B1006="","",COUNTIFS('Raw Data'!$R$2:$R$50000,$B1006))</f>
        <v/>
      </c>
      <c r="E1006" s="11" t="str">
        <f>IF($B1006="","",SUMIFS('Raw Data'!$I$2:$I$50000,'Raw Data'!$R$2:$R$50000,$B1006))</f>
        <v/>
      </c>
      <c r="F1006" s="11" t="str">
        <f>IF($B1006="","",RANK($E1006,$E$2:$E$1501)+COUNTIF($E$2:E1006,$E1006)-1)</f>
        <v/>
      </c>
      <c r="G1006" s="11" t="str">
        <f>IF($B1006="","",RANK($D1006,$D$2:$D$1501)+COUNTIF($D$2:D1006,$D1006)-1)</f>
        <v/>
      </c>
    </row>
    <row r="1007" spans="1:7">
      <c r="A1007" s="11">
        <v>1006</v>
      </c>
      <c r="B1007" s="11" t="str">
        <f>IFERROR(INDEX('Raw Data'!$R$2:$R$50000,MATCH(1006,'Raw Data'!$W$2:$W$50000,0)),"")</f>
        <v/>
      </c>
      <c r="C1007" s="11" t="str">
        <f t="shared" si="15"/>
        <v/>
      </c>
      <c r="D1007" s="11" t="str">
        <f>IF($B1007="","",COUNTIFS('Raw Data'!$R$2:$R$50000,$B1007))</f>
        <v/>
      </c>
      <c r="E1007" s="11" t="str">
        <f>IF($B1007="","",SUMIFS('Raw Data'!$I$2:$I$50000,'Raw Data'!$R$2:$R$50000,$B1007))</f>
        <v/>
      </c>
      <c r="F1007" s="11" t="str">
        <f>IF($B1007="","",RANK($E1007,$E$2:$E$1501)+COUNTIF($E$2:E1007,$E1007)-1)</f>
        <v/>
      </c>
      <c r="G1007" s="11" t="str">
        <f>IF($B1007="","",RANK($D1007,$D$2:$D$1501)+COUNTIF($D$2:D1007,$D1007)-1)</f>
        <v/>
      </c>
    </row>
    <row r="1008" spans="1:7">
      <c r="A1008" s="11">
        <v>1007</v>
      </c>
      <c r="B1008" s="11" t="str">
        <f>IFERROR(INDEX('Raw Data'!$R$2:$R$50000,MATCH(1007,'Raw Data'!$W$2:$W$50000,0)),"")</f>
        <v/>
      </c>
      <c r="C1008" s="11" t="str">
        <f t="shared" si="15"/>
        <v/>
      </c>
      <c r="D1008" s="11" t="str">
        <f>IF($B1008="","",COUNTIFS('Raw Data'!$R$2:$R$50000,$B1008))</f>
        <v/>
      </c>
      <c r="E1008" s="11" t="str">
        <f>IF($B1008="","",SUMIFS('Raw Data'!$I$2:$I$50000,'Raw Data'!$R$2:$R$50000,$B1008))</f>
        <v/>
      </c>
      <c r="F1008" s="11" t="str">
        <f>IF($B1008="","",RANK($E1008,$E$2:$E$1501)+COUNTIF($E$2:E1008,$E1008)-1)</f>
        <v/>
      </c>
      <c r="G1008" s="11" t="str">
        <f>IF($B1008="","",RANK($D1008,$D$2:$D$1501)+COUNTIF($D$2:D1008,$D1008)-1)</f>
        <v/>
      </c>
    </row>
    <row r="1009" spans="1:7">
      <c r="A1009" s="11">
        <v>1008</v>
      </c>
      <c r="B1009" s="11" t="str">
        <f>IFERROR(INDEX('Raw Data'!$R$2:$R$50000,MATCH(1008,'Raw Data'!$W$2:$W$50000,0)),"")</f>
        <v/>
      </c>
      <c r="C1009" s="11" t="str">
        <f t="shared" si="15"/>
        <v/>
      </c>
      <c r="D1009" s="11" t="str">
        <f>IF($B1009="","",COUNTIFS('Raw Data'!$R$2:$R$50000,$B1009))</f>
        <v/>
      </c>
      <c r="E1009" s="11" t="str">
        <f>IF($B1009="","",SUMIFS('Raw Data'!$I$2:$I$50000,'Raw Data'!$R$2:$R$50000,$B1009))</f>
        <v/>
      </c>
      <c r="F1009" s="11" t="str">
        <f>IF($B1009="","",RANK($E1009,$E$2:$E$1501)+COUNTIF($E$2:E1009,$E1009)-1)</f>
        <v/>
      </c>
      <c r="G1009" s="11" t="str">
        <f>IF($B1009="","",RANK($D1009,$D$2:$D$1501)+COUNTIF($D$2:D1009,$D1009)-1)</f>
        <v/>
      </c>
    </row>
    <row r="1010" spans="1:7">
      <c r="A1010" s="11">
        <v>1009</v>
      </c>
      <c r="B1010" s="11" t="str">
        <f>IFERROR(INDEX('Raw Data'!$R$2:$R$50000,MATCH(1009,'Raw Data'!$W$2:$W$50000,0)),"")</f>
        <v/>
      </c>
      <c r="C1010" s="11" t="str">
        <f t="shared" si="15"/>
        <v/>
      </c>
      <c r="D1010" s="11" t="str">
        <f>IF($B1010="","",COUNTIFS('Raw Data'!$R$2:$R$50000,$B1010))</f>
        <v/>
      </c>
      <c r="E1010" s="11" t="str">
        <f>IF($B1010="","",SUMIFS('Raw Data'!$I$2:$I$50000,'Raw Data'!$R$2:$R$50000,$B1010))</f>
        <v/>
      </c>
      <c r="F1010" s="11" t="str">
        <f>IF($B1010="","",RANK($E1010,$E$2:$E$1501)+COUNTIF($E$2:E1010,$E1010)-1)</f>
        <v/>
      </c>
      <c r="G1010" s="11" t="str">
        <f>IF($B1010="","",RANK($D1010,$D$2:$D$1501)+COUNTIF($D$2:D1010,$D1010)-1)</f>
        <v/>
      </c>
    </row>
    <row r="1011" spans="1:7">
      <c r="A1011" s="11">
        <v>1010</v>
      </c>
      <c r="B1011" s="11" t="str">
        <f>IFERROR(INDEX('Raw Data'!$R$2:$R$50000,MATCH(1010,'Raw Data'!$W$2:$W$50000,0)),"")</f>
        <v/>
      </c>
      <c r="C1011" s="11" t="str">
        <f t="shared" si="15"/>
        <v/>
      </c>
      <c r="D1011" s="11" t="str">
        <f>IF($B1011="","",COUNTIFS('Raw Data'!$R$2:$R$50000,$B1011))</f>
        <v/>
      </c>
      <c r="E1011" s="11" t="str">
        <f>IF($B1011="","",SUMIFS('Raw Data'!$I$2:$I$50000,'Raw Data'!$R$2:$R$50000,$B1011))</f>
        <v/>
      </c>
      <c r="F1011" s="11" t="str">
        <f>IF($B1011="","",RANK($E1011,$E$2:$E$1501)+COUNTIF($E$2:E1011,$E1011)-1)</f>
        <v/>
      </c>
      <c r="G1011" s="11" t="str">
        <f>IF($B1011="","",RANK($D1011,$D$2:$D$1501)+COUNTIF($D$2:D1011,$D1011)-1)</f>
        <v/>
      </c>
    </row>
    <row r="1012" spans="1:7">
      <c r="A1012" s="11">
        <v>1011</v>
      </c>
      <c r="B1012" s="11" t="str">
        <f>IFERROR(INDEX('Raw Data'!$R$2:$R$50000,MATCH(1011,'Raw Data'!$W$2:$W$50000,0)),"")</f>
        <v/>
      </c>
      <c r="C1012" s="11" t="str">
        <f t="shared" si="15"/>
        <v/>
      </c>
      <c r="D1012" s="11" t="str">
        <f>IF($B1012="","",COUNTIFS('Raw Data'!$R$2:$R$50000,$B1012))</f>
        <v/>
      </c>
      <c r="E1012" s="11" t="str">
        <f>IF($B1012="","",SUMIFS('Raw Data'!$I$2:$I$50000,'Raw Data'!$R$2:$R$50000,$B1012))</f>
        <v/>
      </c>
      <c r="F1012" s="11" t="str">
        <f>IF($B1012="","",RANK($E1012,$E$2:$E$1501)+COUNTIF($E$2:E1012,$E1012)-1)</f>
        <v/>
      </c>
      <c r="G1012" s="11" t="str">
        <f>IF($B1012="","",RANK($D1012,$D$2:$D$1501)+COUNTIF($D$2:D1012,$D1012)-1)</f>
        <v/>
      </c>
    </row>
    <row r="1013" spans="1:7">
      <c r="A1013" s="11">
        <v>1012</v>
      </c>
      <c r="B1013" s="11" t="str">
        <f>IFERROR(INDEX('Raw Data'!$R$2:$R$50000,MATCH(1012,'Raw Data'!$W$2:$W$50000,0)),"")</f>
        <v/>
      </c>
      <c r="C1013" s="11" t="str">
        <f t="shared" si="15"/>
        <v/>
      </c>
      <c r="D1013" s="11" t="str">
        <f>IF($B1013="","",COUNTIFS('Raw Data'!$R$2:$R$50000,$B1013))</f>
        <v/>
      </c>
      <c r="E1013" s="11" t="str">
        <f>IF($B1013="","",SUMIFS('Raw Data'!$I$2:$I$50000,'Raw Data'!$R$2:$R$50000,$B1013))</f>
        <v/>
      </c>
      <c r="F1013" s="11" t="str">
        <f>IF($B1013="","",RANK($E1013,$E$2:$E$1501)+COUNTIF($E$2:E1013,$E1013)-1)</f>
        <v/>
      </c>
      <c r="G1013" s="11" t="str">
        <f>IF($B1013="","",RANK($D1013,$D$2:$D$1501)+COUNTIF($D$2:D1013,$D1013)-1)</f>
        <v/>
      </c>
    </row>
    <row r="1014" spans="1:7">
      <c r="A1014" s="11">
        <v>1013</v>
      </c>
      <c r="B1014" s="11" t="str">
        <f>IFERROR(INDEX('Raw Data'!$R$2:$R$50000,MATCH(1013,'Raw Data'!$W$2:$W$50000,0)),"")</f>
        <v/>
      </c>
      <c r="C1014" s="11" t="str">
        <f t="shared" si="15"/>
        <v/>
      </c>
      <c r="D1014" s="11" t="str">
        <f>IF($B1014="","",COUNTIFS('Raw Data'!$R$2:$R$50000,$B1014))</f>
        <v/>
      </c>
      <c r="E1014" s="11" t="str">
        <f>IF($B1014="","",SUMIFS('Raw Data'!$I$2:$I$50000,'Raw Data'!$R$2:$R$50000,$B1014))</f>
        <v/>
      </c>
      <c r="F1014" s="11" t="str">
        <f>IF($B1014="","",RANK($E1014,$E$2:$E$1501)+COUNTIF($E$2:E1014,$E1014)-1)</f>
        <v/>
      </c>
      <c r="G1014" s="11" t="str">
        <f>IF($B1014="","",RANK($D1014,$D$2:$D$1501)+COUNTIF($D$2:D1014,$D1014)-1)</f>
        <v/>
      </c>
    </row>
    <row r="1015" spans="1:7">
      <c r="A1015" s="11">
        <v>1014</v>
      </c>
      <c r="B1015" s="11" t="str">
        <f>IFERROR(INDEX('Raw Data'!$R$2:$R$50000,MATCH(1014,'Raw Data'!$W$2:$W$50000,0)),"")</f>
        <v/>
      </c>
      <c r="C1015" s="11" t="str">
        <f t="shared" si="15"/>
        <v/>
      </c>
      <c r="D1015" s="11" t="str">
        <f>IF($B1015="","",COUNTIFS('Raw Data'!$R$2:$R$50000,$B1015))</f>
        <v/>
      </c>
      <c r="E1015" s="11" t="str">
        <f>IF($B1015="","",SUMIFS('Raw Data'!$I$2:$I$50000,'Raw Data'!$R$2:$R$50000,$B1015))</f>
        <v/>
      </c>
      <c r="F1015" s="11" t="str">
        <f>IF($B1015="","",RANK($E1015,$E$2:$E$1501)+COUNTIF($E$2:E1015,$E1015)-1)</f>
        <v/>
      </c>
      <c r="G1015" s="11" t="str">
        <f>IF($B1015="","",RANK($D1015,$D$2:$D$1501)+COUNTIF($D$2:D1015,$D1015)-1)</f>
        <v/>
      </c>
    </row>
    <row r="1016" spans="1:7">
      <c r="A1016" s="11">
        <v>1015</v>
      </c>
      <c r="B1016" s="11" t="str">
        <f>IFERROR(INDEX('Raw Data'!$R$2:$R$50000,MATCH(1015,'Raw Data'!$W$2:$W$50000,0)),"")</f>
        <v/>
      </c>
      <c r="C1016" s="11" t="str">
        <f t="shared" si="15"/>
        <v/>
      </c>
      <c r="D1016" s="11" t="str">
        <f>IF($B1016="","",COUNTIFS('Raw Data'!$R$2:$R$50000,$B1016))</f>
        <v/>
      </c>
      <c r="E1016" s="11" t="str">
        <f>IF($B1016="","",SUMIFS('Raw Data'!$I$2:$I$50000,'Raw Data'!$R$2:$R$50000,$B1016))</f>
        <v/>
      </c>
      <c r="F1016" s="11" t="str">
        <f>IF($B1016="","",RANK($E1016,$E$2:$E$1501)+COUNTIF($E$2:E1016,$E1016)-1)</f>
        <v/>
      </c>
      <c r="G1016" s="11" t="str">
        <f>IF($B1016="","",RANK($D1016,$D$2:$D$1501)+COUNTIF($D$2:D1016,$D1016)-1)</f>
        <v/>
      </c>
    </row>
    <row r="1017" spans="1:7">
      <c r="A1017" s="11">
        <v>1016</v>
      </c>
      <c r="B1017" s="11" t="str">
        <f>IFERROR(INDEX('Raw Data'!$R$2:$R$50000,MATCH(1016,'Raw Data'!$W$2:$W$50000,0)),"")</f>
        <v/>
      </c>
      <c r="C1017" s="11" t="str">
        <f t="shared" si="15"/>
        <v/>
      </c>
      <c r="D1017" s="11" t="str">
        <f>IF($B1017="","",COUNTIFS('Raw Data'!$R$2:$R$50000,$B1017))</f>
        <v/>
      </c>
      <c r="E1017" s="11" t="str">
        <f>IF($B1017="","",SUMIFS('Raw Data'!$I$2:$I$50000,'Raw Data'!$R$2:$R$50000,$B1017))</f>
        <v/>
      </c>
      <c r="F1017" s="11" t="str">
        <f>IF($B1017="","",RANK($E1017,$E$2:$E$1501)+COUNTIF($E$2:E1017,$E1017)-1)</f>
        <v/>
      </c>
      <c r="G1017" s="11" t="str">
        <f>IF($B1017="","",RANK($D1017,$D$2:$D$1501)+COUNTIF($D$2:D1017,$D1017)-1)</f>
        <v/>
      </c>
    </row>
    <row r="1018" spans="1:7">
      <c r="A1018" s="11">
        <v>1017</v>
      </c>
      <c r="B1018" s="11" t="str">
        <f>IFERROR(INDEX('Raw Data'!$R$2:$R$50000,MATCH(1017,'Raw Data'!$W$2:$W$50000,0)),"")</f>
        <v/>
      </c>
      <c r="C1018" s="11" t="str">
        <f t="shared" si="15"/>
        <v/>
      </c>
      <c r="D1018" s="11" t="str">
        <f>IF($B1018="","",COUNTIFS('Raw Data'!$R$2:$R$50000,$B1018))</f>
        <v/>
      </c>
      <c r="E1018" s="11" t="str">
        <f>IF($B1018="","",SUMIFS('Raw Data'!$I$2:$I$50000,'Raw Data'!$R$2:$R$50000,$B1018))</f>
        <v/>
      </c>
      <c r="F1018" s="11" t="str">
        <f>IF($B1018="","",RANK($E1018,$E$2:$E$1501)+COUNTIF($E$2:E1018,$E1018)-1)</f>
        <v/>
      </c>
      <c r="G1018" s="11" t="str">
        <f>IF($B1018="","",RANK($D1018,$D$2:$D$1501)+COUNTIF($D$2:D1018,$D1018)-1)</f>
        <v/>
      </c>
    </row>
    <row r="1019" spans="1:7">
      <c r="A1019" s="11">
        <v>1018</v>
      </c>
      <c r="B1019" s="11" t="str">
        <f>IFERROR(INDEX('Raw Data'!$R$2:$R$50000,MATCH(1018,'Raw Data'!$W$2:$W$50000,0)),"")</f>
        <v/>
      </c>
      <c r="C1019" s="11" t="str">
        <f t="shared" si="15"/>
        <v/>
      </c>
      <c r="D1019" s="11" t="str">
        <f>IF($B1019="","",COUNTIFS('Raw Data'!$R$2:$R$50000,$B1019))</f>
        <v/>
      </c>
      <c r="E1019" s="11" t="str">
        <f>IF($B1019="","",SUMIFS('Raw Data'!$I$2:$I$50000,'Raw Data'!$R$2:$R$50000,$B1019))</f>
        <v/>
      </c>
      <c r="F1019" s="11" t="str">
        <f>IF($B1019="","",RANK($E1019,$E$2:$E$1501)+COUNTIF($E$2:E1019,$E1019)-1)</f>
        <v/>
      </c>
      <c r="G1019" s="11" t="str">
        <f>IF($B1019="","",RANK($D1019,$D$2:$D$1501)+COUNTIF($D$2:D1019,$D1019)-1)</f>
        <v/>
      </c>
    </row>
    <row r="1020" spans="1:7">
      <c r="A1020" s="11">
        <v>1019</v>
      </c>
      <c r="B1020" s="11" t="str">
        <f>IFERROR(INDEX('Raw Data'!$R$2:$R$50000,MATCH(1019,'Raw Data'!$W$2:$W$50000,0)),"")</f>
        <v/>
      </c>
      <c r="C1020" s="11" t="str">
        <f t="shared" si="15"/>
        <v/>
      </c>
      <c r="D1020" s="11" t="str">
        <f>IF($B1020="","",COUNTIFS('Raw Data'!$R$2:$R$50000,$B1020))</f>
        <v/>
      </c>
      <c r="E1020" s="11" t="str">
        <f>IF($B1020="","",SUMIFS('Raw Data'!$I$2:$I$50000,'Raw Data'!$R$2:$R$50000,$B1020))</f>
        <v/>
      </c>
      <c r="F1020" s="11" t="str">
        <f>IF($B1020="","",RANK($E1020,$E$2:$E$1501)+COUNTIF($E$2:E1020,$E1020)-1)</f>
        <v/>
      </c>
      <c r="G1020" s="11" t="str">
        <f>IF($B1020="","",RANK($D1020,$D$2:$D$1501)+COUNTIF($D$2:D1020,$D1020)-1)</f>
        <v/>
      </c>
    </row>
    <row r="1021" spans="1:7">
      <c r="A1021" s="11">
        <v>1020</v>
      </c>
      <c r="B1021" s="11" t="str">
        <f>IFERROR(INDEX('Raw Data'!$R$2:$R$50000,MATCH(1020,'Raw Data'!$W$2:$W$50000,0)),"")</f>
        <v/>
      </c>
      <c r="C1021" s="11" t="str">
        <f t="shared" si="15"/>
        <v/>
      </c>
      <c r="D1021" s="11" t="str">
        <f>IF($B1021="","",COUNTIFS('Raw Data'!$R$2:$R$50000,$B1021))</f>
        <v/>
      </c>
      <c r="E1021" s="11" t="str">
        <f>IF($B1021="","",SUMIFS('Raw Data'!$I$2:$I$50000,'Raw Data'!$R$2:$R$50000,$B1021))</f>
        <v/>
      </c>
      <c r="F1021" s="11" t="str">
        <f>IF($B1021="","",RANK($E1021,$E$2:$E$1501)+COUNTIF($E$2:E1021,$E1021)-1)</f>
        <v/>
      </c>
      <c r="G1021" s="11" t="str">
        <f>IF($B1021="","",RANK($D1021,$D$2:$D$1501)+COUNTIF($D$2:D1021,$D1021)-1)</f>
        <v/>
      </c>
    </row>
    <row r="1022" spans="1:7">
      <c r="A1022" s="11">
        <v>1021</v>
      </c>
      <c r="B1022" s="11" t="str">
        <f>IFERROR(INDEX('Raw Data'!$R$2:$R$50000,MATCH(1021,'Raw Data'!$W$2:$W$50000,0)),"")</f>
        <v/>
      </c>
      <c r="C1022" s="11" t="str">
        <f t="shared" si="15"/>
        <v/>
      </c>
      <c r="D1022" s="11" t="str">
        <f>IF($B1022="","",COUNTIFS('Raw Data'!$R$2:$R$50000,$B1022))</f>
        <v/>
      </c>
      <c r="E1022" s="11" t="str">
        <f>IF($B1022="","",SUMIFS('Raw Data'!$I$2:$I$50000,'Raw Data'!$R$2:$R$50000,$B1022))</f>
        <v/>
      </c>
      <c r="F1022" s="11" t="str">
        <f>IF($B1022="","",RANK($E1022,$E$2:$E$1501)+COUNTIF($E$2:E1022,$E1022)-1)</f>
        <v/>
      </c>
      <c r="G1022" s="11" t="str">
        <f>IF($B1022="","",RANK($D1022,$D$2:$D$1501)+COUNTIF($D$2:D1022,$D1022)-1)</f>
        <v/>
      </c>
    </row>
    <row r="1023" spans="1:7">
      <c r="A1023" s="11">
        <v>1022</v>
      </c>
      <c r="B1023" s="11" t="str">
        <f>IFERROR(INDEX('Raw Data'!$R$2:$R$50000,MATCH(1022,'Raw Data'!$W$2:$W$50000,0)),"")</f>
        <v/>
      </c>
      <c r="C1023" s="11" t="str">
        <f t="shared" si="15"/>
        <v/>
      </c>
      <c r="D1023" s="11" t="str">
        <f>IF($B1023="","",COUNTIFS('Raw Data'!$R$2:$R$50000,$B1023))</f>
        <v/>
      </c>
      <c r="E1023" s="11" t="str">
        <f>IF($B1023="","",SUMIFS('Raw Data'!$I$2:$I$50000,'Raw Data'!$R$2:$R$50000,$B1023))</f>
        <v/>
      </c>
      <c r="F1023" s="11" t="str">
        <f>IF($B1023="","",RANK($E1023,$E$2:$E$1501)+COUNTIF($E$2:E1023,$E1023)-1)</f>
        <v/>
      </c>
      <c r="G1023" s="11" t="str">
        <f>IF($B1023="","",RANK($D1023,$D$2:$D$1501)+COUNTIF($D$2:D1023,$D1023)-1)</f>
        <v/>
      </c>
    </row>
    <row r="1024" spans="1:7">
      <c r="A1024" s="11">
        <v>1023</v>
      </c>
      <c r="B1024" s="11" t="str">
        <f>IFERROR(INDEX('Raw Data'!$R$2:$R$50000,MATCH(1023,'Raw Data'!$W$2:$W$50000,0)),"")</f>
        <v/>
      </c>
      <c r="C1024" s="11" t="str">
        <f t="shared" si="15"/>
        <v/>
      </c>
      <c r="D1024" s="11" t="str">
        <f>IF($B1024="","",COUNTIFS('Raw Data'!$R$2:$R$50000,$B1024))</f>
        <v/>
      </c>
      <c r="E1024" s="11" t="str">
        <f>IF($B1024="","",SUMIFS('Raw Data'!$I$2:$I$50000,'Raw Data'!$R$2:$R$50000,$B1024))</f>
        <v/>
      </c>
      <c r="F1024" s="11" t="str">
        <f>IF($B1024="","",RANK($E1024,$E$2:$E$1501)+COUNTIF($E$2:E1024,$E1024)-1)</f>
        <v/>
      </c>
      <c r="G1024" s="11" t="str">
        <f>IF($B1024="","",RANK($D1024,$D$2:$D$1501)+COUNTIF($D$2:D1024,$D1024)-1)</f>
        <v/>
      </c>
    </row>
    <row r="1025" spans="1:7">
      <c r="A1025" s="11">
        <v>1024</v>
      </c>
      <c r="B1025" s="11" t="str">
        <f>IFERROR(INDEX('Raw Data'!$R$2:$R$50000,MATCH(1024,'Raw Data'!$W$2:$W$50000,0)),"")</f>
        <v/>
      </c>
      <c r="C1025" s="11" t="str">
        <f t="shared" si="15"/>
        <v/>
      </c>
      <c r="D1025" s="11" t="str">
        <f>IF($B1025="","",COUNTIFS('Raw Data'!$R$2:$R$50000,$B1025))</f>
        <v/>
      </c>
      <c r="E1025" s="11" t="str">
        <f>IF($B1025="","",SUMIFS('Raw Data'!$I$2:$I$50000,'Raw Data'!$R$2:$R$50000,$B1025))</f>
        <v/>
      </c>
      <c r="F1025" s="11" t="str">
        <f>IF($B1025="","",RANK($E1025,$E$2:$E$1501)+COUNTIF($E$2:E1025,$E1025)-1)</f>
        <v/>
      </c>
      <c r="G1025" s="11" t="str">
        <f>IF($B1025="","",RANK($D1025,$D$2:$D$1501)+COUNTIF($D$2:D1025,$D1025)-1)</f>
        <v/>
      </c>
    </row>
    <row r="1026" spans="1:7">
      <c r="A1026" s="11">
        <v>1025</v>
      </c>
      <c r="B1026" s="11" t="str">
        <f>IFERROR(INDEX('Raw Data'!$R$2:$R$50000,MATCH(1025,'Raw Data'!$W$2:$W$50000,0)),"")</f>
        <v/>
      </c>
      <c r="C1026" s="11" t="str">
        <f t="shared" ref="C1026:C1089" si="16">IF($B1026="","",$B1026)</f>
        <v/>
      </c>
      <c r="D1026" s="11" t="str">
        <f>IF($B1026="","",COUNTIFS('Raw Data'!$R$2:$R$50000,$B1026))</f>
        <v/>
      </c>
      <c r="E1026" s="11" t="str">
        <f>IF($B1026="","",SUMIFS('Raw Data'!$I$2:$I$50000,'Raw Data'!$R$2:$R$50000,$B1026))</f>
        <v/>
      </c>
      <c r="F1026" s="11" t="str">
        <f>IF($B1026="","",RANK($E1026,$E$2:$E$1501)+COUNTIF($E$2:E1026,$E1026)-1)</f>
        <v/>
      </c>
      <c r="G1026" s="11" t="str">
        <f>IF($B1026="","",RANK($D1026,$D$2:$D$1501)+COUNTIF($D$2:D1026,$D1026)-1)</f>
        <v/>
      </c>
    </row>
    <row r="1027" spans="1:7">
      <c r="A1027" s="11">
        <v>1026</v>
      </c>
      <c r="B1027" s="11" t="str">
        <f>IFERROR(INDEX('Raw Data'!$R$2:$R$50000,MATCH(1026,'Raw Data'!$W$2:$W$50000,0)),"")</f>
        <v/>
      </c>
      <c r="C1027" s="11" t="str">
        <f t="shared" si="16"/>
        <v/>
      </c>
      <c r="D1027" s="11" t="str">
        <f>IF($B1027="","",COUNTIFS('Raw Data'!$R$2:$R$50000,$B1027))</f>
        <v/>
      </c>
      <c r="E1027" s="11" t="str">
        <f>IF($B1027="","",SUMIFS('Raw Data'!$I$2:$I$50000,'Raw Data'!$R$2:$R$50000,$B1027))</f>
        <v/>
      </c>
      <c r="F1027" s="11" t="str">
        <f>IF($B1027="","",RANK($E1027,$E$2:$E$1501)+COUNTIF($E$2:E1027,$E1027)-1)</f>
        <v/>
      </c>
      <c r="G1027" s="11" t="str">
        <f>IF($B1027="","",RANK($D1027,$D$2:$D$1501)+COUNTIF($D$2:D1027,$D1027)-1)</f>
        <v/>
      </c>
    </row>
    <row r="1028" spans="1:7">
      <c r="A1028" s="11">
        <v>1027</v>
      </c>
      <c r="B1028" s="11" t="str">
        <f>IFERROR(INDEX('Raw Data'!$R$2:$R$50000,MATCH(1027,'Raw Data'!$W$2:$W$50000,0)),"")</f>
        <v/>
      </c>
      <c r="C1028" s="11" t="str">
        <f t="shared" si="16"/>
        <v/>
      </c>
      <c r="D1028" s="11" t="str">
        <f>IF($B1028="","",COUNTIFS('Raw Data'!$R$2:$R$50000,$B1028))</f>
        <v/>
      </c>
      <c r="E1028" s="11" t="str">
        <f>IF($B1028="","",SUMIFS('Raw Data'!$I$2:$I$50000,'Raw Data'!$R$2:$R$50000,$B1028))</f>
        <v/>
      </c>
      <c r="F1028" s="11" t="str">
        <f>IF($B1028="","",RANK($E1028,$E$2:$E$1501)+COUNTIF($E$2:E1028,$E1028)-1)</f>
        <v/>
      </c>
      <c r="G1028" s="11" t="str">
        <f>IF($B1028="","",RANK($D1028,$D$2:$D$1501)+COUNTIF($D$2:D1028,$D1028)-1)</f>
        <v/>
      </c>
    </row>
    <row r="1029" spans="1:7">
      <c r="A1029" s="11">
        <v>1028</v>
      </c>
      <c r="B1029" s="11" t="str">
        <f>IFERROR(INDEX('Raw Data'!$R$2:$R$50000,MATCH(1028,'Raw Data'!$W$2:$W$50000,0)),"")</f>
        <v/>
      </c>
      <c r="C1029" s="11" t="str">
        <f t="shared" si="16"/>
        <v/>
      </c>
      <c r="D1029" s="11" t="str">
        <f>IF($B1029="","",COUNTIFS('Raw Data'!$R$2:$R$50000,$B1029))</f>
        <v/>
      </c>
      <c r="E1029" s="11" t="str">
        <f>IF($B1029="","",SUMIFS('Raw Data'!$I$2:$I$50000,'Raw Data'!$R$2:$R$50000,$B1029))</f>
        <v/>
      </c>
      <c r="F1029" s="11" t="str">
        <f>IF($B1029="","",RANK($E1029,$E$2:$E$1501)+COUNTIF($E$2:E1029,$E1029)-1)</f>
        <v/>
      </c>
      <c r="G1029" s="11" t="str">
        <f>IF($B1029="","",RANK($D1029,$D$2:$D$1501)+COUNTIF($D$2:D1029,$D1029)-1)</f>
        <v/>
      </c>
    </row>
    <row r="1030" spans="1:7">
      <c r="A1030" s="11">
        <v>1029</v>
      </c>
      <c r="B1030" s="11" t="str">
        <f>IFERROR(INDEX('Raw Data'!$R$2:$R$50000,MATCH(1029,'Raw Data'!$W$2:$W$50000,0)),"")</f>
        <v/>
      </c>
      <c r="C1030" s="11" t="str">
        <f t="shared" si="16"/>
        <v/>
      </c>
      <c r="D1030" s="11" t="str">
        <f>IF($B1030="","",COUNTIFS('Raw Data'!$R$2:$R$50000,$B1030))</f>
        <v/>
      </c>
      <c r="E1030" s="11" t="str">
        <f>IF($B1030="","",SUMIFS('Raw Data'!$I$2:$I$50000,'Raw Data'!$R$2:$R$50000,$B1030))</f>
        <v/>
      </c>
      <c r="F1030" s="11" t="str">
        <f>IF($B1030="","",RANK($E1030,$E$2:$E$1501)+COUNTIF($E$2:E1030,$E1030)-1)</f>
        <v/>
      </c>
      <c r="G1030" s="11" t="str">
        <f>IF($B1030="","",RANK($D1030,$D$2:$D$1501)+COUNTIF($D$2:D1030,$D1030)-1)</f>
        <v/>
      </c>
    </row>
    <row r="1031" spans="1:7">
      <c r="A1031" s="11">
        <v>1030</v>
      </c>
      <c r="B1031" s="11" t="str">
        <f>IFERROR(INDEX('Raw Data'!$R$2:$R$50000,MATCH(1030,'Raw Data'!$W$2:$W$50000,0)),"")</f>
        <v/>
      </c>
      <c r="C1031" s="11" t="str">
        <f t="shared" si="16"/>
        <v/>
      </c>
      <c r="D1031" s="11" t="str">
        <f>IF($B1031="","",COUNTIFS('Raw Data'!$R$2:$R$50000,$B1031))</f>
        <v/>
      </c>
      <c r="E1031" s="11" t="str">
        <f>IF($B1031="","",SUMIFS('Raw Data'!$I$2:$I$50000,'Raw Data'!$R$2:$R$50000,$B1031))</f>
        <v/>
      </c>
      <c r="F1031" s="11" t="str">
        <f>IF($B1031="","",RANK($E1031,$E$2:$E$1501)+COUNTIF($E$2:E1031,$E1031)-1)</f>
        <v/>
      </c>
      <c r="G1031" s="11" t="str">
        <f>IF($B1031="","",RANK($D1031,$D$2:$D$1501)+COUNTIF($D$2:D1031,$D1031)-1)</f>
        <v/>
      </c>
    </row>
    <row r="1032" spans="1:7">
      <c r="A1032" s="11">
        <v>1031</v>
      </c>
      <c r="B1032" s="11" t="str">
        <f>IFERROR(INDEX('Raw Data'!$R$2:$R$50000,MATCH(1031,'Raw Data'!$W$2:$W$50000,0)),"")</f>
        <v/>
      </c>
      <c r="C1032" s="11" t="str">
        <f t="shared" si="16"/>
        <v/>
      </c>
      <c r="D1032" s="11" t="str">
        <f>IF($B1032="","",COUNTIFS('Raw Data'!$R$2:$R$50000,$B1032))</f>
        <v/>
      </c>
      <c r="E1032" s="11" t="str">
        <f>IF($B1032="","",SUMIFS('Raw Data'!$I$2:$I$50000,'Raw Data'!$R$2:$R$50000,$B1032))</f>
        <v/>
      </c>
      <c r="F1032" s="11" t="str">
        <f>IF($B1032="","",RANK($E1032,$E$2:$E$1501)+COUNTIF($E$2:E1032,$E1032)-1)</f>
        <v/>
      </c>
      <c r="G1032" s="11" t="str">
        <f>IF($B1032="","",RANK($D1032,$D$2:$D$1501)+COUNTIF($D$2:D1032,$D1032)-1)</f>
        <v/>
      </c>
    </row>
    <row r="1033" spans="1:7">
      <c r="A1033" s="11">
        <v>1032</v>
      </c>
      <c r="B1033" s="11" t="str">
        <f>IFERROR(INDEX('Raw Data'!$R$2:$R$50000,MATCH(1032,'Raw Data'!$W$2:$W$50000,0)),"")</f>
        <v/>
      </c>
      <c r="C1033" s="11" t="str">
        <f t="shared" si="16"/>
        <v/>
      </c>
      <c r="D1033" s="11" t="str">
        <f>IF($B1033="","",COUNTIFS('Raw Data'!$R$2:$R$50000,$B1033))</f>
        <v/>
      </c>
      <c r="E1033" s="11" t="str">
        <f>IF($B1033="","",SUMIFS('Raw Data'!$I$2:$I$50000,'Raw Data'!$R$2:$R$50000,$B1033))</f>
        <v/>
      </c>
      <c r="F1033" s="11" t="str">
        <f>IF($B1033="","",RANK($E1033,$E$2:$E$1501)+COUNTIF($E$2:E1033,$E1033)-1)</f>
        <v/>
      </c>
      <c r="G1033" s="11" t="str">
        <f>IF($B1033="","",RANK($D1033,$D$2:$D$1501)+COUNTIF($D$2:D1033,$D1033)-1)</f>
        <v/>
      </c>
    </row>
    <row r="1034" spans="1:7">
      <c r="A1034" s="11">
        <v>1033</v>
      </c>
      <c r="B1034" s="11" t="str">
        <f>IFERROR(INDEX('Raw Data'!$R$2:$R$50000,MATCH(1033,'Raw Data'!$W$2:$W$50000,0)),"")</f>
        <v/>
      </c>
      <c r="C1034" s="11" t="str">
        <f t="shared" si="16"/>
        <v/>
      </c>
      <c r="D1034" s="11" t="str">
        <f>IF($B1034="","",COUNTIFS('Raw Data'!$R$2:$R$50000,$B1034))</f>
        <v/>
      </c>
      <c r="E1034" s="11" t="str">
        <f>IF($B1034="","",SUMIFS('Raw Data'!$I$2:$I$50000,'Raw Data'!$R$2:$R$50000,$B1034))</f>
        <v/>
      </c>
      <c r="F1034" s="11" t="str">
        <f>IF($B1034="","",RANK($E1034,$E$2:$E$1501)+COUNTIF($E$2:E1034,$E1034)-1)</f>
        <v/>
      </c>
      <c r="G1034" s="11" t="str">
        <f>IF($B1034="","",RANK($D1034,$D$2:$D$1501)+COUNTIF($D$2:D1034,$D1034)-1)</f>
        <v/>
      </c>
    </row>
    <row r="1035" spans="1:7">
      <c r="A1035" s="11">
        <v>1034</v>
      </c>
      <c r="B1035" s="11" t="str">
        <f>IFERROR(INDEX('Raw Data'!$R$2:$R$50000,MATCH(1034,'Raw Data'!$W$2:$W$50000,0)),"")</f>
        <v/>
      </c>
      <c r="C1035" s="11" t="str">
        <f t="shared" si="16"/>
        <v/>
      </c>
      <c r="D1035" s="11" t="str">
        <f>IF($B1035="","",COUNTIFS('Raw Data'!$R$2:$R$50000,$B1035))</f>
        <v/>
      </c>
      <c r="E1035" s="11" t="str">
        <f>IF($B1035="","",SUMIFS('Raw Data'!$I$2:$I$50000,'Raw Data'!$R$2:$R$50000,$B1035))</f>
        <v/>
      </c>
      <c r="F1035" s="11" t="str">
        <f>IF($B1035="","",RANK($E1035,$E$2:$E$1501)+COUNTIF($E$2:E1035,$E1035)-1)</f>
        <v/>
      </c>
      <c r="G1035" s="11" t="str">
        <f>IF($B1035="","",RANK($D1035,$D$2:$D$1501)+COUNTIF($D$2:D1035,$D1035)-1)</f>
        <v/>
      </c>
    </row>
    <row r="1036" spans="1:7">
      <c r="A1036" s="11">
        <v>1035</v>
      </c>
      <c r="B1036" s="11" t="str">
        <f>IFERROR(INDEX('Raw Data'!$R$2:$R$50000,MATCH(1035,'Raw Data'!$W$2:$W$50000,0)),"")</f>
        <v/>
      </c>
      <c r="C1036" s="11" t="str">
        <f t="shared" si="16"/>
        <v/>
      </c>
      <c r="D1036" s="11" t="str">
        <f>IF($B1036="","",COUNTIFS('Raw Data'!$R$2:$R$50000,$B1036))</f>
        <v/>
      </c>
      <c r="E1036" s="11" t="str">
        <f>IF($B1036="","",SUMIFS('Raw Data'!$I$2:$I$50000,'Raw Data'!$R$2:$R$50000,$B1036))</f>
        <v/>
      </c>
      <c r="F1036" s="11" t="str">
        <f>IF($B1036="","",RANK($E1036,$E$2:$E$1501)+COUNTIF($E$2:E1036,$E1036)-1)</f>
        <v/>
      </c>
      <c r="G1036" s="11" t="str">
        <f>IF($B1036="","",RANK($D1036,$D$2:$D$1501)+COUNTIF($D$2:D1036,$D1036)-1)</f>
        <v/>
      </c>
    </row>
    <row r="1037" spans="1:7">
      <c r="A1037" s="11">
        <v>1036</v>
      </c>
      <c r="B1037" s="11" t="str">
        <f>IFERROR(INDEX('Raw Data'!$R$2:$R$50000,MATCH(1036,'Raw Data'!$W$2:$W$50000,0)),"")</f>
        <v/>
      </c>
      <c r="C1037" s="11" t="str">
        <f t="shared" si="16"/>
        <v/>
      </c>
      <c r="D1037" s="11" t="str">
        <f>IF($B1037="","",COUNTIFS('Raw Data'!$R$2:$R$50000,$B1037))</f>
        <v/>
      </c>
      <c r="E1037" s="11" t="str">
        <f>IF($B1037="","",SUMIFS('Raw Data'!$I$2:$I$50000,'Raw Data'!$R$2:$R$50000,$B1037))</f>
        <v/>
      </c>
      <c r="F1037" s="11" t="str">
        <f>IF($B1037="","",RANK($E1037,$E$2:$E$1501)+COUNTIF($E$2:E1037,$E1037)-1)</f>
        <v/>
      </c>
      <c r="G1037" s="11" t="str">
        <f>IF($B1037="","",RANK($D1037,$D$2:$D$1501)+COUNTIF($D$2:D1037,$D1037)-1)</f>
        <v/>
      </c>
    </row>
    <row r="1038" spans="1:7">
      <c r="A1038" s="11">
        <v>1037</v>
      </c>
      <c r="B1038" s="11" t="str">
        <f>IFERROR(INDEX('Raw Data'!$R$2:$R$50000,MATCH(1037,'Raw Data'!$W$2:$W$50000,0)),"")</f>
        <v/>
      </c>
      <c r="C1038" s="11" t="str">
        <f t="shared" si="16"/>
        <v/>
      </c>
      <c r="D1038" s="11" t="str">
        <f>IF($B1038="","",COUNTIFS('Raw Data'!$R$2:$R$50000,$B1038))</f>
        <v/>
      </c>
      <c r="E1038" s="11" t="str">
        <f>IF($B1038="","",SUMIFS('Raw Data'!$I$2:$I$50000,'Raw Data'!$R$2:$R$50000,$B1038))</f>
        <v/>
      </c>
      <c r="F1038" s="11" t="str">
        <f>IF($B1038="","",RANK($E1038,$E$2:$E$1501)+COUNTIF($E$2:E1038,$E1038)-1)</f>
        <v/>
      </c>
      <c r="G1038" s="11" t="str">
        <f>IF($B1038="","",RANK($D1038,$D$2:$D$1501)+COUNTIF($D$2:D1038,$D1038)-1)</f>
        <v/>
      </c>
    </row>
    <row r="1039" spans="1:7">
      <c r="A1039" s="11">
        <v>1038</v>
      </c>
      <c r="B1039" s="11" t="str">
        <f>IFERROR(INDEX('Raw Data'!$R$2:$R$50000,MATCH(1038,'Raw Data'!$W$2:$W$50000,0)),"")</f>
        <v/>
      </c>
      <c r="C1039" s="11" t="str">
        <f t="shared" si="16"/>
        <v/>
      </c>
      <c r="D1039" s="11" t="str">
        <f>IF($B1039="","",COUNTIFS('Raw Data'!$R$2:$R$50000,$B1039))</f>
        <v/>
      </c>
      <c r="E1039" s="11" t="str">
        <f>IF($B1039="","",SUMIFS('Raw Data'!$I$2:$I$50000,'Raw Data'!$R$2:$R$50000,$B1039))</f>
        <v/>
      </c>
      <c r="F1039" s="11" t="str">
        <f>IF($B1039="","",RANK($E1039,$E$2:$E$1501)+COUNTIF($E$2:E1039,$E1039)-1)</f>
        <v/>
      </c>
      <c r="G1039" s="11" t="str">
        <f>IF($B1039="","",RANK($D1039,$D$2:$D$1501)+COUNTIF($D$2:D1039,$D1039)-1)</f>
        <v/>
      </c>
    </row>
    <row r="1040" spans="1:7">
      <c r="A1040" s="11">
        <v>1039</v>
      </c>
      <c r="B1040" s="11" t="str">
        <f>IFERROR(INDEX('Raw Data'!$R$2:$R$50000,MATCH(1039,'Raw Data'!$W$2:$W$50000,0)),"")</f>
        <v/>
      </c>
      <c r="C1040" s="11" t="str">
        <f t="shared" si="16"/>
        <v/>
      </c>
      <c r="D1040" s="11" t="str">
        <f>IF($B1040="","",COUNTIFS('Raw Data'!$R$2:$R$50000,$B1040))</f>
        <v/>
      </c>
      <c r="E1040" s="11" t="str">
        <f>IF($B1040="","",SUMIFS('Raw Data'!$I$2:$I$50000,'Raw Data'!$R$2:$R$50000,$B1040))</f>
        <v/>
      </c>
      <c r="F1040" s="11" t="str">
        <f>IF($B1040="","",RANK($E1040,$E$2:$E$1501)+COUNTIF($E$2:E1040,$E1040)-1)</f>
        <v/>
      </c>
      <c r="G1040" s="11" t="str">
        <f>IF($B1040="","",RANK($D1040,$D$2:$D$1501)+COUNTIF($D$2:D1040,$D1040)-1)</f>
        <v/>
      </c>
    </row>
    <row r="1041" spans="1:7">
      <c r="A1041" s="11">
        <v>1040</v>
      </c>
      <c r="B1041" s="11" t="str">
        <f>IFERROR(INDEX('Raw Data'!$R$2:$R$50000,MATCH(1040,'Raw Data'!$W$2:$W$50000,0)),"")</f>
        <v/>
      </c>
      <c r="C1041" s="11" t="str">
        <f t="shared" si="16"/>
        <v/>
      </c>
      <c r="D1041" s="11" t="str">
        <f>IF($B1041="","",COUNTIFS('Raw Data'!$R$2:$R$50000,$B1041))</f>
        <v/>
      </c>
      <c r="E1041" s="11" t="str">
        <f>IF($B1041="","",SUMIFS('Raw Data'!$I$2:$I$50000,'Raw Data'!$R$2:$R$50000,$B1041))</f>
        <v/>
      </c>
      <c r="F1041" s="11" t="str">
        <f>IF($B1041="","",RANK($E1041,$E$2:$E$1501)+COUNTIF($E$2:E1041,$E1041)-1)</f>
        <v/>
      </c>
      <c r="G1041" s="11" t="str">
        <f>IF($B1041="","",RANK($D1041,$D$2:$D$1501)+COUNTIF($D$2:D1041,$D1041)-1)</f>
        <v/>
      </c>
    </row>
    <row r="1042" spans="1:7">
      <c r="A1042" s="11">
        <v>1041</v>
      </c>
      <c r="B1042" s="11" t="str">
        <f>IFERROR(INDEX('Raw Data'!$R$2:$R$50000,MATCH(1041,'Raw Data'!$W$2:$W$50000,0)),"")</f>
        <v/>
      </c>
      <c r="C1042" s="11" t="str">
        <f t="shared" si="16"/>
        <v/>
      </c>
      <c r="D1042" s="11" t="str">
        <f>IF($B1042="","",COUNTIFS('Raw Data'!$R$2:$R$50000,$B1042))</f>
        <v/>
      </c>
      <c r="E1042" s="11" t="str">
        <f>IF($B1042="","",SUMIFS('Raw Data'!$I$2:$I$50000,'Raw Data'!$R$2:$R$50000,$B1042))</f>
        <v/>
      </c>
      <c r="F1042" s="11" t="str">
        <f>IF($B1042="","",RANK($E1042,$E$2:$E$1501)+COUNTIF($E$2:E1042,$E1042)-1)</f>
        <v/>
      </c>
      <c r="G1042" s="11" t="str">
        <f>IF($B1042="","",RANK($D1042,$D$2:$D$1501)+COUNTIF($D$2:D1042,$D1042)-1)</f>
        <v/>
      </c>
    </row>
    <row r="1043" spans="1:7">
      <c r="A1043" s="11">
        <v>1042</v>
      </c>
      <c r="B1043" s="11" t="str">
        <f>IFERROR(INDEX('Raw Data'!$R$2:$R$50000,MATCH(1042,'Raw Data'!$W$2:$W$50000,0)),"")</f>
        <v/>
      </c>
      <c r="C1043" s="11" t="str">
        <f t="shared" si="16"/>
        <v/>
      </c>
      <c r="D1043" s="11" t="str">
        <f>IF($B1043="","",COUNTIFS('Raw Data'!$R$2:$R$50000,$B1043))</f>
        <v/>
      </c>
      <c r="E1043" s="11" t="str">
        <f>IF($B1043="","",SUMIFS('Raw Data'!$I$2:$I$50000,'Raw Data'!$R$2:$R$50000,$B1043))</f>
        <v/>
      </c>
      <c r="F1043" s="11" t="str">
        <f>IF($B1043="","",RANK($E1043,$E$2:$E$1501)+COUNTIF($E$2:E1043,$E1043)-1)</f>
        <v/>
      </c>
      <c r="G1043" s="11" t="str">
        <f>IF($B1043="","",RANK($D1043,$D$2:$D$1501)+COUNTIF($D$2:D1043,$D1043)-1)</f>
        <v/>
      </c>
    </row>
    <row r="1044" spans="1:7">
      <c r="A1044" s="11">
        <v>1043</v>
      </c>
      <c r="B1044" s="11" t="str">
        <f>IFERROR(INDEX('Raw Data'!$R$2:$R$50000,MATCH(1043,'Raw Data'!$W$2:$W$50000,0)),"")</f>
        <v/>
      </c>
      <c r="C1044" s="11" t="str">
        <f t="shared" si="16"/>
        <v/>
      </c>
      <c r="D1044" s="11" t="str">
        <f>IF($B1044="","",COUNTIFS('Raw Data'!$R$2:$R$50000,$B1044))</f>
        <v/>
      </c>
      <c r="E1044" s="11" t="str">
        <f>IF($B1044="","",SUMIFS('Raw Data'!$I$2:$I$50000,'Raw Data'!$R$2:$R$50000,$B1044))</f>
        <v/>
      </c>
      <c r="F1044" s="11" t="str">
        <f>IF($B1044="","",RANK($E1044,$E$2:$E$1501)+COUNTIF($E$2:E1044,$E1044)-1)</f>
        <v/>
      </c>
      <c r="G1044" s="11" t="str">
        <f>IF($B1044="","",RANK($D1044,$D$2:$D$1501)+COUNTIF($D$2:D1044,$D1044)-1)</f>
        <v/>
      </c>
    </row>
    <row r="1045" spans="1:7">
      <c r="A1045" s="11">
        <v>1044</v>
      </c>
      <c r="B1045" s="11" t="str">
        <f>IFERROR(INDEX('Raw Data'!$R$2:$R$50000,MATCH(1044,'Raw Data'!$W$2:$W$50000,0)),"")</f>
        <v/>
      </c>
      <c r="C1045" s="11" t="str">
        <f t="shared" si="16"/>
        <v/>
      </c>
      <c r="D1045" s="11" t="str">
        <f>IF($B1045="","",COUNTIFS('Raw Data'!$R$2:$R$50000,$B1045))</f>
        <v/>
      </c>
      <c r="E1045" s="11" t="str">
        <f>IF($B1045="","",SUMIFS('Raw Data'!$I$2:$I$50000,'Raw Data'!$R$2:$R$50000,$B1045))</f>
        <v/>
      </c>
      <c r="F1045" s="11" t="str">
        <f>IF($B1045="","",RANK($E1045,$E$2:$E$1501)+COUNTIF($E$2:E1045,$E1045)-1)</f>
        <v/>
      </c>
      <c r="G1045" s="11" t="str">
        <f>IF($B1045="","",RANK($D1045,$D$2:$D$1501)+COUNTIF($D$2:D1045,$D1045)-1)</f>
        <v/>
      </c>
    </row>
    <row r="1046" spans="1:7">
      <c r="A1046" s="11">
        <v>1045</v>
      </c>
      <c r="B1046" s="11" t="str">
        <f>IFERROR(INDEX('Raw Data'!$R$2:$R$50000,MATCH(1045,'Raw Data'!$W$2:$W$50000,0)),"")</f>
        <v/>
      </c>
      <c r="C1046" s="11" t="str">
        <f t="shared" si="16"/>
        <v/>
      </c>
      <c r="D1046" s="11" t="str">
        <f>IF($B1046="","",COUNTIFS('Raw Data'!$R$2:$R$50000,$B1046))</f>
        <v/>
      </c>
      <c r="E1046" s="11" t="str">
        <f>IF($B1046="","",SUMIFS('Raw Data'!$I$2:$I$50000,'Raw Data'!$R$2:$R$50000,$B1046))</f>
        <v/>
      </c>
      <c r="F1046" s="11" t="str">
        <f>IF($B1046="","",RANK($E1046,$E$2:$E$1501)+COUNTIF($E$2:E1046,$E1046)-1)</f>
        <v/>
      </c>
      <c r="G1046" s="11" t="str">
        <f>IF($B1046="","",RANK($D1046,$D$2:$D$1501)+COUNTIF($D$2:D1046,$D1046)-1)</f>
        <v/>
      </c>
    </row>
    <row r="1047" spans="1:7">
      <c r="A1047" s="11">
        <v>1046</v>
      </c>
      <c r="B1047" s="11" t="str">
        <f>IFERROR(INDEX('Raw Data'!$R$2:$R$50000,MATCH(1046,'Raw Data'!$W$2:$W$50000,0)),"")</f>
        <v/>
      </c>
      <c r="C1047" s="11" t="str">
        <f t="shared" si="16"/>
        <v/>
      </c>
      <c r="D1047" s="11" t="str">
        <f>IF($B1047="","",COUNTIFS('Raw Data'!$R$2:$R$50000,$B1047))</f>
        <v/>
      </c>
      <c r="E1047" s="11" t="str">
        <f>IF($B1047="","",SUMIFS('Raw Data'!$I$2:$I$50000,'Raw Data'!$R$2:$R$50000,$B1047))</f>
        <v/>
      </c>
      <c r="F1047" s="11" t="str">
        <f>IF($B1047="","",RANK($E1047,$E$2:$E$1501)+COUNTIF($E$2:E1047,$E1047)-1)</f>
        <v/>
      </c>
      <c r="G1047" s="11" t="str">
        <f>IF($B1047="","",RANK($D1047,$D$2:$D$1501)+COUNTIF($D$2:D1047,$D1047)-1)</f>
        <v/>
      </c>
    </row>
    <row r="1048" spans="1:7">
      <c r="A1048" s="11">
        <v>1047</v>
      </c>
      <c r="B1048" s="11" t="str">
        <f>IFERROR(INDEX('Raw Data'!$R$2:$R$50000,MATCH(1047,'Raw Data'!$W$2:$W$50000,0)),"")</f>
        <v/>
      </c>
      <c r="C1048" s="11" t="str">
        <f t="shared" si="16"/>
        <v/>
      </c>
      <c r="D1048" s="11" t="str">
        <f>IF($B1048="","",COUNTIFS('Raw Data'!$R$2:$R$50000,$B1048))</f>
        <v/>
      </c>
      <c r="E1048" s="11" t="str">
        <f>IF($B1048="","",SUMIFS('Raw Data'!$I$2:$I$50000,'Raw Data'!$R$2:$R$50000,$B1048))</f>
        <v/>
      </c>
      <c r="F1048" s="11" t="str">
        <f>IF($B1048="","",RANK($E1048,$E$2:$E$1501)+COUNTIF($E$2:E1048,$E1048)-1)</f>
        <v/>
      </c>
      <c r="G1048" s="11" t="str">
        <f>IF($B1048="","",RANK($D1048,$D$2:$D$1501)+COUNTIF($D$2:D1048,$D1048)-1)</f>
        <v/>
      </c>
    </row>
    <row r="1049" spans="1:7">
      <c r="A1049" s="11">
        <v>1048</v>
      </c>
      <c r="B1049" s="11" t="str">
        <f>IFERROR(INDEX('Raw Data'!$R$2:$R$50000,MATCH(1048,'Raw Data'!$W$2:$W$50000,0)),"")</f>
        <v/>
      </c>
      <c r="C1049" s="11" t="str">
        <f t="shared" si="16"/>
        <v/>
      </c>
      <c r="D1049" s="11" t="str">
        <f>IF($B1049="","",COUNTIFS('Raw Data'!$R$2:$R$50000,$B1049))</f>
        <v/>
      </c>
      <c r="E1049" s="11" t="str">
        <f>IF($B1049="","",SUMIFS('Raw Data'!$I$2:$I$50000,'Raw Data'!$R$2:$R$50000,$B1049))</f>
        <v/>
      </c>
      <c r="F1049" s="11" t="str">
        <f>IF($B1049="","",RANK($E1049,$E$2:$E$1501)+COUNTIF($E$2:E1049,$E1049)-1)</f>
        <v/>
      </c>
      <c r="G1049" s="11" t="str">
        <f>IF($B1049="","",RANK($D1049,$D$2:$D$1501)+COUNTIF($D$2:D1049,$D1049)-1)</f>
        <v/>
      </c>
    </row>
    <row r="1050" spans="1:7">
      <c r="A1050" s="11">
        <v>1049</v>
      </c>
      <c r="B1050" s="11" t="str">
        <f>IFERROR(INDEX('Raw Data'!$R$2:$R$50000,MATCH(1049,'Raw Data'!$W$2:$W$50000,0)),"")</f>
        <v/>
      </c>
      <c r="C1050" s="11" t="str">
        <f t="shared" si="16"/>
        <v/>
      </c>
      <c r="D1050" s="11" t="str">
        <f>IF($B1050="","",COUNTIFS('Raw Data'!$R$2:$R$50000,$B1050))</f>
        <v/>
      </c>
      <c r="E1050" s="11" t="str">
        <f>IF($B1050="","",SUMIFS('Raw Data'!$I$2:$I$50000,'Raw Data'!$R$2:$R$50000,$B1050))</f>
        <v/>
      </c>
      <c r="F1050" s="11" t="str">
        <f>IF($B1050="","",RANK($E1050,$E$2:$E$1501)+COUNTIF($E$2:E1050,$E1050)-1)</f>
        <v/>
      </c>
      <c r="G1050" s="11" t="str">
        <f>IF($B1050="","",RANK($D1050,$D$2:$D$1501)+COUNTIF($D$2:D1050,$D1050)-1)</f>
        <v/>
      </c>
    </row>
    <row r="1051" spans="1:7">
      <c r="A1051" s="11">
        <v>1050</v>
      </c>
      <c r="B1051" s="11" t="str">
        <f>IFERROR(INDEX('Raw Data'!$R$2:$R$50000,MATCH(1050,'Raw Data'!$W$2:$W$50000,0)),"")</f>
        <v/>
      </c>
      <c r="C1051" s="11" t="str">
        <f t="shared" si="16"/>
        <v/>
      </c>
      <c r="D1051" s="11" t="str">
        <f>IF($B1051="","",COUNTIFS('Raw Data'!$R$2:$R$50000,$B1051))</f>
        <v/>
      </c>
      <c r="E1051" s="11" t="str">
        <f>IF($B1051="","",SUMIFS('Raw Data'!$I$2:$I$50000,'Raw Data'!$R$2:$R$50000,$B1051))</f>
        <v/>
      </c>
      <c r="F1051" s="11" t="str">
        <f>IF($B1051="","",RANK($E1051,$E$2:$E$1501)+COUNTIF($E$2:E1051,$E1051)-1)</f>
        <v/>
      </c>
      <c r="G1051" s="11" t="str">
        <f>IF($B1051="","",RANK($D1051,$D$2:$D$1501)+COUNTIF($D$2:D1051,$D1051)-1)</f>
        <v/>
      </c>
    </row>
    <row r="1052" spans="1:7">
      <c r="A1052" s="11">
        <v>1051</v>
      </c>
      <c r="B1052" s="11" t="str">
        <f>IFERROR(INDEX('Raw Data'!$R$2:$R$50000,MATCH(1051,'Raw Data'!$W$2:$W$50000,0)),"")</f>
        <v/>
      </c>
      <c r="C1052" s="11" t="str">
        <f t="shared" si="16"/>
        <v/>
      </c>
      <c r="D1052" s="11" t="str">
        <f>IF($B1052="","",COUNTIFS('Raw Data'!$R$2:$R$50000,$B1052))</f>
        <v/>
      </c>
      <c r="E1052" s="11" t="str">
        <f>IF($B1052="","",SUMIFS('Raw Data'!$I$2:$I$50000,'Raw Data'!$R$2:$R$50000,$B1052))</f>
        <v/>
      </c>
      <c r="F1052" s="11" t="str">
        <f>IF($B1052="","",RANK($E1052,$E$2:$E$1501)+COUNTIF($E$2:E1052,$E1052)-1)</f>
        <v/>
      </c>
      <c r="G1052" s="11" t="str">
        <f>IF($B1052="","",RANK($D1052,$D$2:$D$1501)+COUNTIF($D$2:D1052,$D1052)-1)</f>
        <v/>
      </c>
    </row>
    <row r="1053" spans="1:7">
      <c r="A1053" s="11">
        <v>1052</v>
      </c>
      <c r="B1053" s="11" t="str">
        <f>IFERROR(INDEX('Raw Data'!$R$2:$R$50000,MATCH(1052,'Raw Data'!$W$2:$W$50000,0)),"")</f>
        <v/>
      </c>
      <c r="C1053" s="11" t="str">
        <f t="shared" si="16"/>
        <v/>
      </c>
      <c r="D1053" s="11" t="str">
        <f>IF($B1053="","",COUNTIFS('Raw Data'!$R$2:$R$50000,$B1053))</f>
        <v/>
      </c>
      <c r="E1053" s="11" t="str">
        <f>IF($B1053="","",SUMIFS('Raw Data'!$I$2:$I$50000,'Raw Data'!$R$2:$R$50000,$B1053))</f>
        <v/>
      </c>
      <c r="F1053" s="11" t="str">
        <f>IF($B1053="","",RANK($E1053,$E$2:$E$1501)+COUNTIF($E$2:E1053,$E1053)-1)</f>
        <v/>
      </c>
      <c r="G1053" s="11" t="str">
        <f>IF($B1053="","",RANK($D1053,$D$2:$D$1501)+COUNTIF($D$2:D1053,$D1053)-1)</f>
        <v/>
      </c>
    </row>
    <row r="1054" spans="1:7">
      <c r="A1054" s="11">
        <v>1053</v>
      </c>
      <c r="B1054" s="11" t="str">
        <f>IFERROR(INDEX('Raw Data'!$R$2:$R$50000,MATCH(1053,'Raw Data'!$W$2:$W$50000,0)),"")</f>
        <v/>
      </c>
      <c r="C1054" s="11" t="str">
        <f t="shared" si="16"/>
        <v/>
      </c>
      <c r="D1054" s="11" t="str">
        <f>IF($B1054="","",COUNTIFS('Raw Data'!$R$2:$R$50000,$B1054))</f>
        <v/>
      </c>
      <c r="E1054" s="11" t="str">
        <f>IF($B1054="","",SUMIFS('Raw Data'!$I$2:$I$50000,'Raw Data'!$R$2:$R$50000,$B1054))</f>
        <v/>
      </c>
      <c r="F1054" s="11" t="str">
        <f>IF($B1054="","",RANK($E1054,$E$2:$E$1501)+COUNTIF($E$2:E1054,$E1054)-1)</f>
        <v/>
      </c>
      <c r="G1054" s="11" t="str">
        <f>IF($B1054="","",RANK($D1054,$D$2:$D$1501)+COUNTIF($D$2:D1054,$D1054)-1)</f>
        <v/>
      </c>
    </row>
    <row r="1055" spans="1:7">
      <c r="A1055" s="11">
        <v>1054</v>
      </c>
      <c r="B1055" s="11" t="str">
        <f>IFERROR(INDEX('Raw Data'!$R$2:$R$50000,MATCH(1054,'Raw Data'!$W$2:$W$50000,0)),"")</f>
        <v/>
      </c>
      <c r="C1055" s="11" t="str">
        <f t="shared" si="16"/>
        <v/>
      </c>
      <c r="D1055" s="11" t="str">
        <f>IF($B1055="","",COUNTIFS('Raw Data'!$R$2:$R$50000,$B1055))</f>
        <v/>
      </c>
      <c r="E1055" s="11" t="str">
        <f>IF($B1055="","",SUMIFS('Raw Data'!$I$2:$I$50000,'Raw Data'!$R$2:$R$50000,$B1055))</f>
        <v/>
      </c>
      <c r="F1055" s="11" t="str">
        <f>IF($B1055="","",RANK($E1055,$E$2:$E$1501)+COUNTIF($E$2:E1055,$E1055)-1)</f>
        <v/>
      </c>
      <c r="G1055" s="11" t="str">
        <f>IF($B1055="","",RANK($D1055,$D$2:$D$1501)+COUNTIF($D$2:D1055,$D1055)-1)</f>
        <v/>
      </c>
    </row>
    <row r="1056" spans="1:7">
      <c r="A1056" s="11">
        <v>1055</v>
      </c>
      <c r="B1056" s="11" t="str">
        <f>IFERROR(INDEX('Raw Data'!$R$2:$R$50000,MATCH(1055,'Raw Data'!$W$2:$W$50000,0)),"")</f>
        <v/>
      </c>
      <c r="C1056" s="11" t="str">
        <f t="shared" si="16"/>
        <v/>
      </c>
      <c r="D1056" s="11" t="str">
        <f>IF($B1056="","",COUNTIFS('Raw Data'!$R$2:$R$50000,$B1056))</f>
        <v/>
      </c>
      <c r="E1056" s="11" t="str">
        <f>IF($B1056="","",SUMIFS('Raw Data'!$I$2:$I$50000,'Raw Data'!$R$2:$R$50000,$B1056))</f>
        <v/>
      </c>
      <c r="F1056" s="11" t="str">
        <f>IF($B1056="","",RANK($E1056,$E$2:$E$1501)+COUNTIF($E$2:E1056,$E1056)-1)</f>
        <v/>
      </c>
      <c r="G1056" s="11" t="str">
        <f>IF($B1056="","",RANK($D1056,$D$2:$D$1501)+COUNTIF($D$2:D1056,$D1056)-1)</f>
        <v/>
      </c>
    </row>
    <row r="1057" spans="1:7">
      <c r="A1057" s="11">
        <v>1056</v>
      </c>
      <c r="B1057" s="11" t="str">
        <f>IFERROR(INDEX('Raw Data'!$R$2:$R$50000,MATCH(1056,'Raw Data'!$W$2:$W$50000,0)),"")</f>
        <v/>
      </c>
      <c r="C1057" s="11" t="str">
        <f t="shared" si="16"/>
        <v/>
      </c>
      <c r="D1057" s="11" t="str">
        <f>IF($B1057="","",COUNTIFS('Raw Data'!$R$2:$R$50000,$B1057))</f>
        <v/>
      </c>
      <c r="E1057" s="11" t="str">
        <f>IF($B1057="","",SUMIFS('Raw Data'!$I$2:$I$50000,'Raw Data'!$R$2:$R$50000,$B1057))</f>
        <v/>
      </c>
      <c r="F1057" s="11" t="str">
        <f>IF($B1057="","",RANK($E1057,$E$2:$E$1501)+COUNTIF($E$2:E1057,$E1057)-1)</f>
        <v/>
      </c>
      <c r="G1057" s="11" t="str">
        <f>IF($B1057="","",RANK($D1057,$D$2:$D$1501)+COUNTIF($D$2:D1057,$D1057)-1)</f>
        <v/>
      </c>
    </row>
    <row r="1058" spans="1:7">
      <c r="A1058" s="11">
        <v>1057</v>
      </c>
      <c r="B1058" s="11" t="str">
        <f>IFERROR(INDEX('Raw Data'!$R$2:$R$50000,MATCH(1057,'Raw Data'!$W$2:$W$50000,0)),"")</f>
        <v/>
      </c>
      <c r="C1058" s="11" t="str">
        <f t="shared" si="16"/>
        <v/>
      </c>
      <c r="D1058" s="11" t="str">
        <f>IF($B1058="","",COUNTIFS('Raw Data'!$R$2:$R$50000,$B1058))</f>
        <v/>
      </c>
      <c r="E1058" s="11" t="str">
        <f>IF($B1058="","",SUMIFS('Raw Data'!$I$2:$I$50000,'Raw Data'!$R$2:$R$50000,$B1058))</f>
        <v/>
      </c>
      <c r="F1058" s="11" t="str">
        <f>IF($B1058="","",RANK($E1058,$E$2:$E$1501)+COUNTIF($E$2:E1058,$E1058)-1)</f>
        <v/>
      </c>
      <c r="G1058" s="11" t="str">
        <f>IF($B1058="","",RANK($D1058,$D$2:$D$1501)+COUNTIF($D$2:D1058,$D1058)-1)</f>
        <v/>
      </c>
    </row>
    <row r="1059" spans="1:7">
      <c r="A1059" s="11">
        <v>1058</v>
      </c>
      <c r="B1059" s="11" t="str">
        <f>IFERROR(INDEX('Raw Data'!$R$2:$R$50000,MATCH(1058,'Raw Data'!$W$2:$W$50000,0)),"")</f>
        <v/>
      </c>
      <c r="C1059" s="11" t="str">
        <f t="shared" si="16"/>
        <v/>
      </c>
      <c r="D1059" s="11" t="str">
        <f>IF($B1059="","",COUNTIFS('Raw Data'!$R$2:$R$50000,$B1059))</f>
        <v/>
      </c>
      <c r="E1059" s="11" t="str">
        <f>IF($B1059="","",SUMIFS('Raw Data'!$I$2:$I$50000,'Raw Data'!$R$2:$R$50000,$B1059))</f>
        <v/>
      </c>
      <c r="F1059" s="11" t="str">
        <f>IF($B1059="","",RANK($E1059,$E$2:$E$1501)+COUNTIF($E$2:E1059,$E1059)-1)</f>
        <v/>
      </c>
      <c r="G1059" s="11" t="str">
        <f>IF($B1059="","",RANK($D1059,$D$2:$D$1501)+COUNTIF($D$2:D1059,$D1059)-1)</f>
        <v/>
      </c>
    </row>
    <row r="1060" spans="1:7">
      <c r="A1060" s="11">
        <v>1059</v>
      </c>
      <c r="B1060" s="11" t="str">
        <f>IFERROR(INDEX('Raw Data'!$R$2:$R$50000,MATCH(1059,'Raw Data'!$W$2:$W$50000,0)),"")</f>
        <v/>
      </c>
      <c r="C1060" s="11" t="str">
        <f t="shared" si="16"/>
        <v/>
      </c>
      <c r="D1060" s="11" t="str">
        <f>IF($B1060="","",COUNTIFS('Raw Data'!$R$2:$R$50000,$B1060))</f>
        <v/>
      </c>
      <c r="E1060" s="11" t="str">
        <f>IF($B1060="","",SUMIFS('Raw Data'!$I$2:$I$50000,'Raw Data'!$R$2:$R$50000,$B1060))</f>
        <v/>
      </c>
      <c r="F1060" s="11" t="str">
        <f>IF($B1060="","",RANK($E1060,$E$2:$E$1501)+COUNTIF($E$2:E1060,$E1060)-1)</f>
        <v/>
      </c>
      <c r="G1060" s="11" t="str">
        <f>IF($B1060="","",RANK($D1060,$D$2:$D$1501)+COUNTIF($D$2:D1060,$D1060)-1)</f>
        <v/>
      </c>
    </row>
    <row r="1061" spans="1:7">
      <c r="A1061" s="11">
        <v>1060</v>
      </c>
      <c r="B1061" s="11" t="str">
        <f>IFERROR(INDEX('Raw Data'!$R$2:$R$50000,MATCH(1060,'Raw Data'!$W$2:$W$50000,0)),"")</f>
        <v/>
      </c>
      <c r="C1061" s="11" t="str">
        <f t="shared" si="16"/>
        <v/>
      </c>
      <c r="D1061" s="11" t="str">
        <f>IF($B1061="","",COUNTIFS('Raw Data'!$R$2:$R$50000,$B1061))</f>
        <v/>
      </c>
      <c r="E1061" s="11" t="str">
        <f>IF($B1061="","",SUMIFS('Raw Data'!$I$2:$I$50000,'Raw Data'!$R$2:$R$50000,$B1061))</f>
        <v/>
      </c>
      <c r="F1061" s="11" t="str">
        <f>IF($B1061="","",RANK($E1061,$E$2:$E$1501)+COUNTIF($E$2:E1061,$E1061)-1)</f>
        <v/>
      </c>
      <c r="G1061" s="11" t="str">
        <f>IF($B1061="","",RANK($D1061,$D$2:$D$1501)+COUNTIF($D$2:D1061,$D1061)-1)</f>
        <v/>
      </c>
    </row>
    <row r="1062" spans="1:7">
      <c r="A1062" s="11">
        <v>1061</v>
      </c>
      <c r="B1062" s="11" t="str">
        <f>IFERROR(INDEX('Raw Data'!$R$2:$R$50000,MATCH(1061,'Raw Data'!$W$2:$W$50000,0)),"")</f>
        <v/>
      </c>
      <c r="C1062" s="11" t="str">
        <f t="shared" si="16"/>
        <v/>
      </c>
      <c r="D1062" s="11" t="str">
        <f>IF($B1062="","",COUNTIFS('Raw Data'!$R$2:$R$50000,$B1062))</f>
        <v/>
      </c>
      <c r="E1062" s="11" t="str">
        <f>IF($B1062="","",SUMIFS('Raw Data'!$I$2:$I$50000,'Raw Data'!$R$2:$R$50000,$B1062))</f>
        <v/>
      </c>
      <c r="F1062" s="11" t="str">
        <f>IF($B1062="","",RANK($E1062,$E$2:$E$1501)+COUNTIF($E$2:E1062,$E1062)-1)</f>
        <v/>
      </c>
      <c r="G1062" s="11" t="str">
        <f>IF($B1062="","",RANK($D1062,$D$2:$D$1501)+COUNTIF($D$2:D1062,$D1062)-1)</f>
        <v/>
      </c>
    </row>
    <row r="1063" spans="1:7">
      <c r="A1063" s="11">
        <v>1062</v>
      </c>
      <c r="B1063" s="11" t="str">
        <f>IFERROR(INDEX('Raw Data'!$R$2:$R$50000,MATCH(1062,'Raw Data'!$W$2:$W$50000,0)),"")</f>
        <v/>
      </c>
      <c r="C1063" s="11" t="str">
        <f t="shared" si="16"/>
        <v/>
      </c>
      <c r="D1063" s="11" t="str">
        <f>IF($B1063="","",COUNTIFS('Raw Data'!$R$2:$R$50000,$B1063))</f>
        <v/>
      </c>
      <c r="E1063" s="11" t="str">
        <f>IF($B1063="","",SUMIFS('Raw Data'!$I$2:$I$50000,'Raw Data'!$R$2:$R$50000,$B1063))</f>
        <v/>
      </c>
      <c r="F1063" s="11" t="str">
        <f>IF($B1063="","",RANK($E1063,$E$2:$E$1501)+COUNTIF($E$2:E1063,$E1063)-1)</f>
        <v/>
      </c>
      <c r="G1063" s="11" t="str">
        <f>IF($B1063="","",RANK($D1063,$D$2:$D$1501)+COUNTIF($D$2:D1063,$D1063)-1)</f>
        <v/>
      </c>
    </row>
    <row r="1064" spans="1:7">
      <c r="A1064" s="11">
        <v>1063</v>
      </c>
      <c r="B1064" s="11" t="str">
        <f>IFERROR(INDEX('Raw Data'!$R$2:$R$50000,MATCH(1063,'Raw Data'!$W$2:$W$50000,0)),"")</f>
        <v/>
      </c>
      <c r="C1064" s="11" t="str">
        <f t="shared" si="16"/>
        <v/>
      </c>
      <c r="D1064" s="11" t="str">
        <f>IF($B1064="","",COUNTIFS('Raw Data'!$R$2:$R$50000,$B1064))</f>
        <v/>
      </c>
      <c r="E1064" s="11" t="str">
        <f>IF($B1064="","",SUMIFS('Raw Data'!$I$2:$I$50000,'Raw Data'!$R$2:$R$50000,$B1064))</f>
        <v/>
      </c>
      <c r="F1064" s="11" t="str">
        <f>IF($B1064="","",RANK($E1064,$E$2:$E$1501)+COUNTIF($E$2:E1064,$E1064)-1)</f>
        <v/>
      </c>
      <c r="G1064" s="11" t="str">
        <f>IF($B1064="","",RANK($D1064,$D$2:$D$1501)+COUNTIF($D$2:D1064,$D1064)-1)</f>
        <v/>
      </c>
    </row>
    <row r="1065" spans="1:7">
      <c r="A1065" s="11">
        <v>1064</v>
      </c>
      <c r="B1065" s="11" t="str">
        <f>IFERROR(INDEX('Raw Data'!$R$2:$R$50000,MATCH(1064,'Raw Data'!$W$2:$W$50000,0)),"")</f>
        <v/>
      </c>
      <c r="C1065" s="11" t="str">
        <f t="shared" si="16"/>
        <v/>
      </c>
      <c r="D1065" s="11" t="str">
        <f>IF($B1065="","",COUNTIFS('Raw Data'!$R$2:$R$50000,$B1065))</f>
        <v/>
      </c>
      <c r="E1065" s="11" t="str">
        <f>IF($B1065="","",SUMIFS('Raw Data'!$I$2:$I$50000,'Raw Data'!$R$2:$R$50000,$B1065))</f>
        <v/>
      </c>
      <c r="F1065" s="11" t="str">
        <f>IF($B1065="","",RANK($E1065,$E$2:$E$1501)+COUNTIF($E$2:E1065,$E1065)-1)</f>
        <v/>
      </c>
      <c r="G1065" s="11" t="str">
        <f>IF($B1065="","",RANK($D1065,$D$2:$D$1501)+COUNTIF($D$2:D1065,$D1065)-1)</f>
        <v/>
      </c>
    </row>
    <row r="1066" spans="1:7">
      <c r="A1066" s="11">
        <v>1065</v>
      </c>
      <c r="B1066" s="11" t="str">
        <f>IFERROR(INDEX('Raw Data'!$R$2:$R$50000,MATCH(1065,'Raw Data'!$W$2:$W$50000,0)),"")</f>
        <v/>
      </c>
      <c r="C1066" s="11" t="str">
        <f t="shared" si="16"/>
        <v/>
      </c>
      <c r="D1066" s="11" t="str">
        <f>IF($B1066="","",COUNTIFS('Raw Data'!$R$2:$R$50000,$B1066))</f>
        <v/>
      </c>
      <c r="E1066" s="11" t="str">
        <f>IF($B1066="","",SUMIFS('Raw Data'!$I$2:$I$50000,'Raw Data'!$R$2:$R$50000,$B1066))</f>
        <v/>
      </c>
      <c r="F1066" s="11" t="str">
        <f>IF($B1066="","",RANK($E1066,$E$2:$E$1501)+COUNTIF($E$2:E1066,$E1066)-1)</f>
        <v/>
      </c>
      <c r="G1066" s="11" t="str">
        <f>IF($B1066="","",RANK($D1066,$D$2:$D$1501)+COUNTIF($D$2:D1066,$D1066)-1)</f>
        <v/>
      </c>
    </row>
    <row r="1067" spans="1:7">
      <c r="A1067" s="11">
        <v>1066</v>
      </c>
      <c r="B1067" s="11" t="str">
        <f>IFERROR(INDEX('Raw Data'!$R$2:$R$50000,MATCH(1066,'Raw Data'!$W$2:$W$50000,0)),"")</f>
        <v/>
      </c>
      <c r="C1067" s="11" t="str">
        <f t="shared" si="16"/>
        <v/>
      </c>
      <c r="D1067" s="11" t="str">
        <f>IF($B1067="","",COUNTIFS('Raw Data'!$R$2:$R$50000,$B1067))</f>
        <v/>
      </c>
      <c r="E1067" s="11" t="str">
        <f>IF($B1067="","",SUMIFS('Raw Data'!$I$2:$I$50000,'Raw Data'!$R$2:$R$50000,$B1067))</f>
        <v/>
      </c>
      <c r="F1067" s="11" t="str">
        <f>IF($B1067="","",RANK($E1067,$E$2:$E$1501)+COUNTIF($E$2:E1067,$E1067)-1)</f>
        <v/>
      </c>
      <c r="G1067" s="11" t="str">
        <f>IF($B1067="","",RANK($D1067,$D$2:$D$1501)+COUNTIF($D$2:D1067,$D1067)-1)</f>
        <v/>
      </c>
    </row>
    <row r="1068" spans="1:7">
      <c r="A1068" s="11">
        <v>1067</v>
      </c>
      <c r="B1068" s="11" t="str">
        <f>IFERROR(INDEX('Raw Data'!$R$2:$R$50000,MATCH(1067,'Raw Data'!$W$2:$W$50000,0)),"")</f>
        <v/>
      </c>
      <c r="C1068" s="11" t="str">
        <f t="shared" si="16"/>
        <v/>
      </c>
      <c r="D1068" s="11" t="str">
        <f>IF($B1068="","",COUNTIFS('Raw Data'!$R$2:$R$50000,$B1068))</f>
        <v/>
      </c>
      <c r="E1068" s="11" t="str">
        <f>IF($B1068="","",SUMIFS('Raw Data'!$I$2:$I$50000,'Raw Data'!$R$2:$R$50000,$B1068))</f>
        <v/>
      </c>
      <c r="F1068" s="11" t="str">
        <f>IF($B1068="","",RANK($E1068,$E$2:$E$1501)+COUNTIF($E$2:E1068,$E1068)-1)</f>
        <v/>
      </c>
      <c r="G1068" s="11" t="str">
        <f>IF($B1068="","",RANK($D1068,$D$2:$D$1501)+COUNTIF($D$2:D1068,$D1068)-1)</f>
        <v/>
      </c>
    </row>
    <row r="1069" spans="1:7">
      <c r="A1069" s="11">
        <v>1068</v>
      </c>
      <c r="B1069" s="11" t="str">
        <f>IFERROR(INDEX('Raw Data'!$R$2:$R$50000,MATCH(1068,'Raw Data'!$W$2:$W$50000,0)),"")</f>
        <v/>
      </c>
      <c r="C1069" s="11" t="str">
        <f t="shared" si="16"/>
        <v/>
      </c>
      <c r="D1069" s="11" t="str">
        <f>IF($B1069="","",COUNTIFS('Raw Data'!$R$2:$R$50000,$B1069))</f>
        <v/>
      </c>
      <c r="E1069" s="11" t="str">
        <f>IF($B1069="","",SUMIFS('Raw Data'!$I$2:$I$50000,'Raw Data'!$R$2:$R$50000,$B1069))</f>
        <v/>
      </c>
      <c r="F1069" s="11" t="str">
        <f>IF($B1069="","",RANK($E1069,$E$2:$E$1501)+COUNTIF($E$2:E1069,$E1069)-1)</f>
        <v/>
      </c>
      <c r="G1069" s="11" t="str">
        <f>IF($B1069="","",RANK($D1069,$D$2:$D$1501)+COUNTIF($D$2:D1069,$D1069)-1)</f>
        <v/>
      </c>
    </row>
    <row r="1070" spans="1:7">
      <c r="A1070" s="11">
        <v>1069</v>
      </c>
      <c r="B1070" s="11" t="str">
        <f>IFERROR(INDEX('Raw Data'!$R$2:$R$50000,MATCH(1069,'Raw Data'!$W$2:$W$50000,0)),"")</f>
        <v/>
      </c>
      <c r="C1070" s="11" t="str">
        <f t="shared" si="16"/>
        <v/>
      </c>
      <c r="D1070" s="11" t="str">
        <f>IF($B1070="","",COUNTIFS('Raw Data'!$R$2:$R$50000,$B1070))</f>
        <v/>
      </c>
      <c r="E1070" s="11" t="str">
        <f>IF($B1070="","",SUMIFS('Raw Data'!$I$2:$I$50000,'Raw Data'!$R$2:$R$50000,$B1070))</f>
        <v/>
      </c>
      <c r="F1070" s="11" t="str">
        <f>IF($B1070="","",RANK($E1070,$E$2:$E$1501)+COUNTIF($E$2:E1070,$E1070)-1)</f>
        <v/>
      </c>
      <c r="G1070" s="11" t="str">
        <f>IF($B1070="","",RANK($D1070,$D$2:$D$1501)+COUNTIF($D$2:D1070,$D1070)-1)</f>
        <v/>
      </c>
    </row>
    <row r="1071" spans="1:7">
      <c r="A1071" s="11">
        <v>1070</v>
      </c>
      <c r="B1071" s="11" t="str">
        <f>IFERROR(INDEX('Raw Data'!$R$2:$R$50000,MATCH(1070,'Raw Data'!$W$2:$W$50000,0)),"")</f>
        <v/>
      </c>
      <c r="C1071" s="11" t="str">
        <f t="shared" si="16"/>
        <v/>
      </c>
      <c r="D1071" s="11" t="str">
        <f>IF($B1071="","",COUNTIFS('Raw Data'!$R$2:$R$50000,$B1071))</f>
        <v/>
      </c>
      <c r="E1071" s="11" t="str">
        <f>IF($B1071="","",SUMIFS('Raw Data'!$I$2:$I$50000,'Raw Data'!$R$2:$R$50000,$B1071))</f>
        <v/>
      </c>
      <c r="F1071" s="11" t="str">
        <f>IF($B1071="","",RANK($E1071,$E$2:$E$1501)+COUNTIF($E$2:E1071,$E1071)-1)</f>
        <v/>
      </c>
      <c r="G1071" s="11" t="str">
        <f>IF($B1071="","",RANK($D1071,$D$2:$D$1501)+COUNTIF($D$2:D1071,$D1071)-1)</f>
        <v/>
      </c>
    </row>
    <row r="1072" spans="1:7">
      <c r="A1072" s="11">
        <v>1071</v>
      </c>
      <c r="B1072" s="11" t="str">
        <f>IFERROR(INDEX('Raw Data'!$R$2:$R$50000,MATCH(1071,'Raw Data'!$W$2:$W$50000,0)),"")</f>
        <v/>
      </c>
      <c r="C1072" s="11" t="str">
        <f t="shared" si="16"/>
        <v/>
      </c>
      <c r="D1072" s="11" t="str">
        <f>IF($B1072="","",COUNTIFS('Raw Data'!$R$2:$R$50000,$B1072))</f>
        <v/>
      </c>
      <c r="E1072" s="11" t="str">
        <f>IF($B1072="","",SUMIFS('Raw Data'!$I$2:$I$50000,'Raw Data'!$R$2:$R$50000,$B1072))</f>
        <v/>
      </c>
      <c r="F1072" s="11" t="str">
        <f>IF($B1072="","",RANK($E1072,$E$2:$E$1501)+COUNTIF($E$2:E1072,$E1072)-1)</f>
        <v/>
      </c>
      <c r="G1072" s="11" t="str">
        <f>IF($B1072="","",RANK($D1072,$D$2:$D$1501)+COUNTIF($D$2:D1072,$D1072)-1)</f>
        <v/>
      </c>
    </row>
    <row r="1073" spans="1:7">
      <c r="A1073" s="11">
        <v>1072</v>
      </c>
      <c r="B1073" s="11" t="str">
        <f>IFERROR(INDEX('Raw Data'!$R$2:$R$50000,MATCH(1072,'Raw Data'!$W$2:$W$50000,0)),"")</f>
        <v/>
      </c>
      <c r="C1073" s="11" t="str">
        <f t="shared" si="16"/>
        <v/>
      </c>
      <c r="D1073" s="11" t="str">
        <f>IF($B1073="","",COUNTIFS('Raw Data'!$R$2:$R$50000,$B1073))</f>
        <v/>
      </c>
      <c r="E1073" s="11" t="str">
        <f>IF($B1073="","",SUMIFS('Raw Data'!$I$2:$I$50000,'Raw Data'!$R$2:$R$50000,$B1073))</f>
        <v/>
      </c>
      <c r="F1073" s="11" t="str">
        <f>IF($B1073="","",RANK($E1073,$E$2:$E$1501)+COUNTIF($E$2:E1073,$E1073)-1)</f>
        <v/>
      </c>
      <c r="G1073" s="11" t="str">
        <f>IF($B1073="","",RANK($D1073,$D$2:$D$1501)+COUNTIF($D$2:D1073,$D1073)-1)</f>
        <v/>
      </c>
    </row>
    <row r="1074" spans="1:7">
      <c r="A1074" s="11">
        <v>1073</v>
      </c>
      <c r="B1074" s="11" t="str">
        <f>IFERROR(INDEX('Raw Data'!$R$2:$R$50000,MATCH(1073,'Raw Data'!$W$2:$W$50000,0)),"")</f>
        <v/>
      </c>
      <c r="C1074" s="11" t="str">
        <f t="shared" si="16"/>
        <v/>
      </c>
      <c r="D1074" s="11" t="str">
        <f>IF($B1074="","",COUNTIFS('Raw Data'!$R$2:$R$50000,$B1074))</f>
        <v/>
      </c>
      <c r="E1074" s="11" t="str">
        <f>IF($B1074="","",SUMIFS('Raw Data'!$I$2:$I$50000,'Raw Data'!$R$2:$R$50000,$B1074))</f>
        <v/>
      </c>
      <c r="F1074" s="11" t="str">
        <f>IF($B1074="","",RANK($E1074,$E$2:$E$1501)+COUNTIF($E$2:E1074,$E1074)-1)</f>
        <v/>
      </c>
      <c r="G1074" s="11" t="str">
        <f>IF($B1074="","",RANK($D1074,$D$2:$D$1501)+COUNTIF($D$2:D1074,$D1074)-1)</f>
        <v/>
      </c>
    </row>
    <row r="1075" spans="1:7">
      <c r="A1075" s="11">
        <v>1074</v>
      </c>
      <c r="B1075" s="11" t="str">
        <f>IFERROR(INDEX('Raw Data'!$R$2:$R$50000,MATCH(1074,'Raw Data'!$W$2:$W$50000,0)),"")</f>
        <v/>
      </c>
      <c r="C1075" s="11" t="str">
        <f t="shared" si="16"/>
        <v/>
      </c>
      <c r="D1075" s="11" t="str">
        <f>IF($B1075="","",COUNTIFS('Raw Data'!$R$2:$R$50000,$B1075))</f>
        <v/>
      </c>
      <c r="E1075" s="11" t="str">
        <f>IF($B1075="","",SUMIFS('Raw Data'!$I$2:$I$50000,'Raw Data'!$R$2:$R$50000,$B1075))</f>
        <v/>
      </c>
      <c r="F1075" s="11" t="str">
        <f>IF($B1075="","",RANK($E1075,$E$2:$E$1501)+COUNTIF($E$2:E1075,$E1075)-1)</f>
        <v/>
      </c>
      <c r="G1075" s="11" t="str">
        <f>IF($B1075="","",RANK($D1075,$D$2:$D$1501)+COUNTIF($D$2:D1075,$D1075)-1)</f>
        <v/>
      </c>
    </row>
    <row r="1076" spans="1:7">
      <c r="A1076" s="11">
        <v>1075</v>
      </c>
      <c r="B1076" s="11" t="str">
        <f>IFERROR(INDEX('Raw Data'!$R$2:$R$50000,MATCH(1075,'Raw Data'!$W$2:$W$50000,0)),"")</f>
        <v/>
      </c>
      <c r="C1076" s="11" t="str">
        <f t="shared" si="16"/>
        <v/>
      </c>
      <c r="D1076" s="11" t="str">
        <f>IF($B1076="","",COUNTIFS('Raw Data'!$R$2:$R$50000,$B1076))</f>
        <v/>
      </c>
      <c r="E1076" s="11" t="str">
        <f>IF($B1076="","",SUMIFS('Raw Data'!$I$2:$I$50000,'Raw Data'!$R$2:$R$50000,$B1076))</f>
        <v/>
      </c>
      <c r="F1076" s="11" t="str">
        <f>IF($B1076="","",RANK($E1076,$E$2:$E$1501)+COUNTIF($E$2:E1076,$E1076)-1)</f>
        <v/>
      </c>
      <c r="G1076" s="11" t="str">
        <f>IF($B1076="","",RANK($D1076,$D$2:$D$1501)+COUNTIF($D$2:D1076,$D1076)-1)</f>
        <v/>
      </c>
    </row>
    <row r="1077" spans="1:7">
      <c r="A1077" s="11">
        <v>1076</v>
      </c>
      <c r="B1077" s="11" t="str">
        <f>IFERROR(INDEX('Raw Data'!$R$2:$R$50000,MATCH(1076,'Raw Data'!$W$2:$W$50000,0)),"")</f>
        <v/>
      </c>
      <c r="C1077" s="11" t="str">
        <f t="shared" si="16"/>
        <v/>
      </c>
      <c r="D1077" s="11" t="str">
        <f>IF($B1077="","",COUNTIFS('Raw Data'!$R$2:$R$50000,$B1077))</f>
        <v/>
      </c>
      <c r="E1077" s="11" t="str">
        <f>IF($B1077="","",SUMIFS('Raw Data'!$I$2:$I$50000,'Raw Data'!$R$2:$R$50000,$B1077))</f>
        <v/>
      </c>
      <c r="F1077" s="11" t="str">
        <f>IF($B1077="","",RANK($E1077,$E$2:$E$1501)+COUNTIF($E$2:E1077,$E1077)-1)</f>
        <v/>
      </c>
      <c r="G1077" s="11" t="str">
        <f>IF($B1077="","",RANK($D1077,$D$2:$D$1501)+COUNTIF($D$2:D1077,$D1077)-1)</f>
        <v/>
      </c>
    </row>
    <row r="1078" spans="1:7">
      <c r="A1078" s="11">
        <v>1077</v>
      </c>
      <c r="B1078" s="11" t="str">
        <f>IFERROR(INDEX('Raw Data'!$R$2:$R$50000,MATCH(1077,'Raw Data'!$W$2:$W$50000,0)),"")</f>
        <v/>
      </c>
      <c r="C1078" s="11" t="str">
        <f t="shared" si="16"/>
        <v/>
      </c>
      <c r="D1078" s="11" t="str">
        <f>IF($B1078="","",COUNTIFS('Raw Data'!$R$2:$R$50000,$B1078))</f>
        <v/>
      </c>
      <c r="E1078" s="11" t="str">
        <f>IF($B1078="","",SUMIFS('Raw Data'!$I$2:$I$50000,'Raw Data'!$R$2:$R$50000,$B1078))</f>
        <v/>
      </c>
      <c r="F1078" s="11" t="str">
        <f>IF($B1078="","",RANK($E1078,$E$2:$E$1501)+COUNTIF($E$2:E1078,$E1078)-1)</f>
        <v/>
      </c>
      <c r="G1078" s="11" t="str">
        <f>IF($B1078="","",RANK($D1078,$D$2:$D$1501)+COUNTIF($D$2:D1078,$D1078)-1)</f>
        <v/>
      </c>
    </row>
    <row r="1079" spans="1:7">
      <c r="A1079" s="11">
        <v>1078</v>
      </c>
      <c r="B1079" s="11" t="str">
        <f>IFERROR(INDEX('Raw Data'!$R$2:$R$50000,MATCH(1078,'Raw Data'!$W$2:$W$50000,0)),"")</f>
        <v/>
      </c>
      <c r="C1079" s="11" t="str">
        <f t="shared" si="16"/>
        <v/>
      </c>
      <c r="D1079" s="11" t="str">
        <f>IF($B1079="","",COUNTIFS('Raw Data'!$R$2:$R$50000,$B1079))</f>
        <v/>
      </c>
      <c r="E1079" s="11" t="str">
        <f>IF($B1079="","",SUMIFS('Raw Data'!$I$2:$I$50000,'Raw Data'!$R$2:$R$50000,$B1079))</f>
        <v/>
      </c>
      <c r="F1079" s="11" t="str">
        <f>IF($B1079="","",RANK($E1079,$E$2:$E$1501)+COUNTIF($E$2:E1079,$E1079)-1)</f>
        <v/>
      </c>
      <c r="G1079" s="11" t="str">
        <f>IF($B1079="","",RANK($D1079,$D$2:$D$1501)+COUNTIF($D$2:D1079,$D1079)-1)</f>
        <v/>
      </c>
    </row>
    <row r="1080" spans="1:7">
      <c r="A1080" s="11">
        <v>1079</v>
      </c>
      <c r="B1080" s="11" t="str">
        <f>IFERROR(INDEX('Raw Data'!$R$2:$R$50000,MATCH(1079,'Raw Data'!$W$2:$W$50000,0)),"")</f>
        <v/>
      </c>
      <c r="C1080" s="11" t="str">
        <f t="shared" si="16"/>
        <v/>
      </c>
      <c r="D1080" s="11" t="str">
        <f>IF($B1080="","",COUNTIFS('Raw Data'!$R$2:$R$50000,$B1080))</f>
        <v/>
      </c>
      <c r="E1080" s="11" t="str">
        <f>IF($B1080="","",SUMIFS('Raw Data'!$I$2:$I$50000,'Raw Data'!$R$2:$R$50000,$B1080))</f>
        <v/>
      </c>
      <c r="F1080" s="11" t="str">
        <f>IF($B1080="","",RANK($E1080,$E$2:$E$1501)+COUNTIF($E$2:E1080,$E1080)-1)</f>
        <v/>
      </c>
      <c r="G1080" s="11" t="str">
        <f>IF($B1080="","",RANK($D1080,$D$2:$D$1501)+COUNTIF($D$2:D1080,$D1080)-1)</f>
        <v/>
      </c>
    </row>
    <row r="1081" spans="1:7">
      <c r="A1081" s="11">
        <v>1080</v>
      </c>
      <c r="B1081" s="11" t="str">
        <f>IFERROR(INDEX('Raw Data'!$R$2:$R$50000,MATCH(1080,'Raw Data'!$W$2:$W$50000,0)),"")</f>
        <v/>
      </c>
      <c r="C1081" s="11" t="str">
        <f t="shared" si="16"/>
        <v/>
      </c>
      <c r="D1081" s="11" t="str">
        <f>IF($B1081="","",COUNTIFS('Raw Data'!$R$2:$R$50000,$B1081))</f>
        <v/>
      </c>
      <c r="E1081" s="11" t="str">
        <f>IF($B1081="","",SUMIFS('Raw Data'!$I$2:$I$50000,'Raw Data'!$R$2:$R$50000,$B1081))</f>
        <v/>
      </c>
      <c r="F1081" s="11" t="str">
        <f>IF($B1081="","",RANK($E1081,$E$2:$E$1501)+COUNTIF($E$2:E1081,$E1081)-1)</f>
        <v/>
      </c>
      <c r="G1081" s="11" t="str">
        <f>IF($B1081="","",RANK($D1081,$D$2:$D$1501)+COUNTIF($D$2:D1081,$D1081)-1)</f>
        <v/>
      </c>
    </row>
    <row r="1082" spans="1:7">
      <c r="A1082" s="11">
        <v>1081</v>
      </c>
      <c r="B1082" s="11" t="str">
        <f>IFERROR(INDEX('Raw Data'!$R$2:$R$50000,MATCH(1081,'Raw Data'!$W$2:$W$50000,0)),"")</f>
        <v/>
      </c>
      <c r="C1082" s="11" t="str">
        <f t="shared" si="16"/>
        <v/>
      </c>
      <c r="D1082" s="11" t="str">
        <f>IF($B1082="","",COUNTIFS('Raw Data'!$R$2:$R$50000,$B1082))</f>
        <v/>
      </c>
      <c r="E1082" s="11" t="str">
        <f>IF($B1082="","",SUMIFS('Raw Data'!$I$2:$I$50000,'Raw Data'!$R$2:$R$50000,$B1082))</f>
        <v/>
      </c>
      <c r="F1082" s="11" t="str">
        <f>IF($B1082="","",RANK($E1082,$E$2:$E$1501)+COUNTIF($E$2:E1082,$E1082)-1)</f>
        <v/>
      </c>
      <c r="G1082" s="11" t="str">
        <f>IF($B1082="","",RANK($D1082,$D$2:$D$1501)+COUNTIF($D$2:D1082,$D1082)-1)</f>
        <v/>
      </c>
    </row>
    <row r="1083" spans="1:7">
      <c r="A1083" s="11">
        <v>1082</v>
      </c>
      <c r="B1083" s="11" t="str">
        <f>IFERROR(INDEX('Raw Data'!$R$2:$R$50000,MATCH(1082,'Raw Data'!$W$2:$W$50000,0)),"")</f>
        <v/>
      </c>
      <c r="C1083" s="11" t="str">
        <f t="shared" si="16"/>
        <v/>
      </c>
      <c r="D1083" s="11" t="str">
        <f>IF($B1083="","",COUNTIFS('Raw Data'!$R$2:$R$50000,$B1083))</f>
        <v/>
      </c>
      <c r="E1083" s="11" t="str">
        <f>IF($B1083="","",SUMIFS('Raw Data'!$I$2:$I$50000,'Raw Data'!$R$2:$R$50000,$B1083))</f>
        <v/>
      </c>
      <c r="F1083" s="11" t="str">
        <f>IF($B1083="","",RANK($E1083,$E$2:$E$1501)+COUNTIF($E$2:E1083,$E1083)-1)</f>
        <v/>
      </c>
      <c r="G1083" s="11" t="str">
        <f>IF($B1083="","",RANK($D1083,$D$2:$D$1501)+COUNTIF($D$2:D1083,$D1083)-1)</f>
        <v/>
      </c>
    </row>
    <row r="1084" spans="1:7">
      <c r="A1084" s="11">
        <v>1083</v>
      </c>
      <c r="B1084" s="11" t="str">
        <f>IFERROR(INDEX('Raw Data'!$R$2:$R$50000,MATCH(1083,'Raw Data'!$W$2:$W$50000,0)),"")</f>
        <v/>
      </c>
      <c r="C1084" s="11" t="str">
        <f t="shared" si="16"/>
        <v/>
      </c>
      <c r="D1084" s="11" t="str">
        <f>IF($B1084="","",COUNTIFS('Raw Data'!$R$2:$R$50000,$B1084))</f>
        <v/>
      </c>
      <c r="E1084" s="11" t="str">
        <f>IF($B1084="","",SUMIFS('Raw Data'!$I$2:$I$50000,'Raw Data'!$R$2:$R$50000,$B1084))</f>
        <v/>
      </c>
      <c r="F1084" s="11" t="str">
        <f>IF($B1084="","",RANK($E1084,$E$2:$E$1501)+COUNTIF($E$2:E1084,$E1084)-1)</f>
        <v/>
      </c>
      <c r="G1084" s="11" t="str">
        <f>IF($B1084="","",RANK($D1084,$D$2:$D$1501)+COUNTIF($D$2:D1084,$D1084)-1)</f>
        <v/>
      </c>
    </row>
    <row r="1085" spans="1:7">
      <c r="A1085" s="11">
        <v>1084</v>
      </c>
      <c r="B1085" s="11" t="str">
        <f>IFERROR(INDEX('Raw Data'!$R$2:$R$50000,MATCH(1084,'Raw Data'!$W$2:$W$50000,0)),"")</f>
        <v/>
      </c>
      <c r="C1085" s="11" t="str">
        <f t="shared" si="16"/>
        <v/>
      </c>
      <c r="D1085" s="11" t="str">
        <f>IF($B1085="","",COUNTIFS('Raw Data'!$R$2:$R$50000,$B1085))</f>
        <v/>
      </c>
      <c r="E1085" s="11" t="str">
        <f>IF($B1085="","",SUMIFS('Raw Data'!$I$2:$I$50000,'Raw Data'!$R$2:$R$50000,$B1085))</f>
        <v/>
      </c>
      <c r="F1085" s="11" t="str">
        <f>IF($B1085="","",RANK($E1085,$E$2:$E$1501)+COUNTIF($E$2:E1085,$E1085)-1)</f>
        <v/>
      </c>
      <c r="G1085" s="11" t="str">
        <f>IF($B1085="","",RANK($D1085,$D$2:$D$1501)+COUNTIF($D$2:D1085,$D1085)-1)</f>
        <v/>
      </c>
    </row>
    <row r="1086" spans="1:7">
      <c r="A1086" s="11">
        <v>1085</v>
      </c>
      <c r="B1086" s="11" t="str">
        <f>IFERROR(INDEX('Raw Data'!$R$2:$R$50000,MATCH(1085,'Raw Data'!$W$2:$W$50000,0)),"")</f>
        <v/>
      </c>
      <c r="C1086" s="11" t="str">
        <f t="shared" si="16"/>
        <v/>
      </c>
      <c r="D1086" s="11" t="str">
        <f>IF($B1086="","",COUNTIFS('Raw Data'!$R$2:$R$50000,$B1086))</f>
        <v/>
      </c>
      <c r="E1086" s="11" t="str">
        <f>IF($B1086="","",SUMIFS('Raw Data'!$I$2:$I$50000,'Raw Data'!$R$2:$R$50000,$B1086))</f>
        <v/>
      </c>
      <c r="F1086" s="11" t="str">
        <f>IF($B1086="","",RANK($E1086,$E$2:$E$1501)+COUNTIF($E$2:E1086,$E1086)-1)</f>
        <v/>
      </c>
      <c r="G1086" s="11" t="str">
        <f>IF($B1086="","",RANK($D1086,$D$2:$D$1501)+COUNTIF($D$2:D1086,$D1086)-1)</f>
        <v/>
      </c>
    </row>
    <row r="1087" spans="1:7">
      <c r="A1087" s="11">
        <v>1086</v>
      </c>
      <c r="B1087" s="11" t="str">
        <f>IFERROR(INDEX('Raw Data'!$R$2:$R$50000,MATCH(1086,'Raw Data'!$W$2:$W$50000,0)),"")</f>
        <v/>
      </c>
      <c r="C1087" s="11" t="str">
        <f t="shared" si="16"/>
        <v/>
      </c>
      <c r="D1087" s="11" t="str">
        <f>IF($B1087="","",COUNTIFS('Raw Data'!$R$2:$R$50000,$B1087))</f>
        <v/>
      </c>
      <c r="E1087" s="11" t="str">
        <f>IF($B1087="","",SUMIFS('Raw Data'!$I$2:$I$50000,'Raw Data'!$R$2:$R$50000,$B1087))</f>
        <v/>
      </c>
      <c r="F1087" s="11" t="str">
        <f>IF($B1087="","",RANK($E1087,$E$2:$E$1501)+COUNTIF($E$2:E1087,$E1087)-1)</f>
        <v/>
      </c>
      <c r="G1087" s="11" t="str">
        <f>IF($B1087="","",RANK($D1087,$D$2:$D$1501)+COUNTIF($D$2:D1087,$D1087)-1)</f>
        <v/>
      </c>
    </row>
    <row r="1088" spans="1:7">
      <c r="A1088" s="11">
        <v>1087</v>
      </c>
      <c r="B1088" s="11" t="str">
        <f>IFERROR(INDEX('Raw Data'!$R$2:$R$50000,MATCH(1087,'Raw Data'!$W$2:$W$50000,0)),"")</f>
        <v/>
      </c>
      <c r="C1088" s="11" t="str">
        <f t="shared" si="16"/>
        <v/>
      </c>
      <c r="D1088" s="11" t="str">
        <f>IF($B1088="","",COUNTIFS('Raw Data'!$R$2:$R$50000,$B1088))</f>
        <v/>
      </c>
      <c r="E1088" s="11" t="str">
        <f>IF($B1088="","",SUMIFS('Raw Data'!$I$2:$I$50000,'Raw Data'!$R$2:$R$50000,$B1088))</f>
        <v/>
      </c>
      <c r="F1088" s="11" t="str">
        <f>IF($B1088="","",RANK($E1088,$E$2:$E$1501)+COUNTIF($E$2:E1088,$E1088)-1)</f>
        <v/>
      </c>
      <c r="G1088" s="11" t="str">
        <f>IF($B1088="","",RANK($D1088,$D$2:$D$1501)+COUNTIF($D$2:D1088,$D1088)-1)</f>
        <v/>
      </c>
    </row>
    <row r="1089" spans="1:7">
      <c r="A1089" s="11">
        <v>1088</v>
      </c>
      <c r="B1089" s="11" t="str">
        <f>IFERROR(INDEX('Raw Data'!$R$2:$R$50000,MATCH(1088,'Raw Data'!$W$2:$W$50000,0)),"")</f>
        <v/>
      </c>
      <c r="C1089" s="11" t="str">
        <f t="shared" si="16"/>
        <v/>
      </c>
      <c r="D1089" s="11" t="str">
        <f>IF($B1089="","",COUNTIFS('Raw Data'!$R$2:$R$50000,$B1089))</f>
        <v/>
      </c>
      <c r="E1089" s="11" t="str">
        <f>IF($B1089="","",SUMIFS('Raw Data'!$I$2:$I$50000,'Raw Data'!$R$2:$R$50000,$B1089))</f>
        <v/>
      </c>
      <c r="F1089" s="11" t="str">
        <f>IF($B1089="","",RANK($E1089,$E$2:$E$1501)+COUNTIF($E$2:E1089,$E1089)-1)</f>
        <v/>
      </c>
      <c r="G1089" s="11" t="str">
        <f>IF($B1089="","",RANK($D1089,$D$2:$D$1501)+COUNTIF($D$2:D1089,$D1089)-1)</f>
        <v/>
      </c>
    </row>
    <row r="1090" spans="1:7">
      <c r="A1090" s="11">
        <v>1089</v>
      </c>
      <c r="B1090" s="11" t="str">
        <f>IFERROR(INDEX('Raw Data'!$R$2:$R$50000,MATCH(1089,'Raw Data'!$W$2:$W$50000,0)),"")</f>
        <v/>
      </c>
      <c r="C1090" s="11" t="str">
        <f t="shared" ref="C1090:C1153" si="17">IF($B1090="","",$B1090)</f>
        <v/>
      </c>
      <c r="D1090" s="11" t="str">
        <f>IF($B1090="","",COUNTIFS('Raw Data'!$R$2:$R$50000,$B1090))</f>
        <v/>
      </c>
      <c r="E1090" s="11" t="str">
        <f>IF($B1090="","",SUMIFS('Raw Data'!$I$2:$I$50000,'Raw Data'!$R$2:$R$50000,$B1090))</f>
        <v/>
      </c>
      <c r="F1090" s="11" t="str">
        <f>IF($B1090="","",RANK($E1090,$E$2:$E$1501)+COUNTIF($E$2:E1090,$E1090)-1)</f>
        <v/>
      </c>
      <c r="G1090" s="11" t="str">
        <f>IF($B1090="","",RANK($D1090,$D$2:$D$1501)+COUNTIF($D$2:D1090,$D1090)-1)</f>
        <v/>
      </c>
    </row>
    <row r="1091" spans="1:7">
      <c r="A1091" s="11">
        <v>1090</v>
      </c>
      <c r="B1091" s="11" t="str">
        <f>IFERROR(INDEX('Raw Data'!$R$2:$R$50000,MATCH(1090,'Raw Data'!$W$2:$W$50000,0)),"")</f>
        <v/>
      </c>
      <c r="C1091" s="11" t="str">
        <f t="shared" si="17"/>
        <v/>
      </c>
      <c r="D1091" s="11" t="str">
        <f>IF($B1091="","",COUNTIFS('Raw Data'!$R$2:$R$50000,$B1091))</f>
        <v/>
      </c>
      <c r="E1091" s="11" t="str">
        <f>IF($B1091="","",SUMIFS('Raw Data'!$I$2:$I$50000,'Raw Data'!$R$2:$R$50000,$B1091))</f>
        <v/>
      </c>
      <c r="F1091" s="11" t="str">
        <f>IF($B1091="","",RANK($E1091,$E$2:$E$1501)+COUNTIF($E$2:E1091,$E1091)-1)</f>
        <v/>
      </c>
      <c r="G1091" s="11" t="str">
        <f>IF($B1091="","",RANK($D1091,$D$2:$D$1501)+COUNTIF($D$2:D1091,$D1091)-1)</f>
        <v/>
      </c>
    </row>
    <row r="1092" spans="1:7">
      <c r="A1092" s="11">
        <v>1091</v>
      </c>
      <c r="B1092" s="11" t="str">
        <f>IFERROR(INDEX('Raw Data'!$R$2:$R$50000,MATCH(1091,'Raw Data'!$W$2:$W$50000,0)),"")</f>
        <v/>
      </c>
      <c r="C1092" s="11" t="str">
        <f t="shared" si="17"/>
        <v/>
      </c>
      <c r="D1092" s="11" t="str">
        <f>IF($B1092="","",COUNTIFS('Raw Data'!$R$2:$R$50000,$B1092))</f>
        <v/>
      </c>
      <c r="E1092" s="11" t="str">
        <f>IF($B1092="","",SUMIFS('Raw Data'!$I$2:$I$50000,'Raw Data'!$R$2:$R$50000,$B1092))</f>
        <v/>
      </c>
      <c r="F1092" s="11" t="str">
        <f>IF($B1092="","",RANK($E1092,$E$2:$E$1501)+COUNTIF($E$2:E1092,$E1092)-1)</f>
        <v/>
      </c>
      <c r="G1092" s="11" t="str">
        <f>IF($B1092="","",RANK($D1092,$D$2:$D$1501)+COUNTIF($D$2:D1092,$D1092)-1)</f>
        <v/>
      </c>
    </row>
    <row r="1093" spans="1:7">
      <c r="A1093" s="11">
        <v>1092</v>
      </c>
      <c r="B1093" s="11" t="str">
        <f>IFERROR(INDEX('Raw Data'!$R$2:$R$50000,MATCH(1092,'Raw Data'!$W$2:$W$50000,0)),"")</f>
        <v/>
      </c>
      <c r="C1093" s="11" t="str">
        <f t="shared" si="17"/>
        <v/>
      </c>
      <c r="D1093" s="11" t="str">
        <f>IF($B1093="","",COUNTIFS('Raw Data'!$R$2:$R$50000,$B1093))</f>
        <v/>
      </c>
      <c r="E1093" s="11" t="str">
        <f>IF($B1093="","",SUMIFS('Raw Data'!$I$2:$I$50000,'Raw Data'!$R$2:$R$50000,$B1093))</f>
        <v/>
      </c>
      <c r="F1093" s="11" t="str">
        <f>IF($B1093="","",RANK($E1093,$E$2:$E$1501)+COUNTIF($E$2:E1093,$E1093)-1)</f>
        <v/>
      </c>
      <c r="G1093" s="11" t="str">
        <f>IF($B1093="","",RANK($D1093,$D$2:$D$1501)+COUNTIF($D$2:D1093,$D1093)-1)</f>
        <v/>
      </c>
    </row>
    <row r="1094" spans="1:7">
      <c r="A1094" s="11">
        <v>1093</v>
      </c>
      <c r="B1094" s="11" t="str">
        <f>IFERROR(INDEX('Raw Data'!$R$2:$R$50000,MATCH(1093,'Raw Data'!$W$2:$W$50000,0)),"")</f>
        <v/>
      </c>
      <c r="C1094" s="11" t="str">
        <f t="shared" si="17"/>
        <v/>
      </c>
      <c r="D1094" s="11" t="str">
        <f>IF($B1094="","",COUNTIFS('Raw Data'!$R$2:$R$50000,$B1094))</f>
        <v/>
      </c>
      <c r="E1094" s="11" t="str">
        <f>IF($B1094="","",SUMIFS('Raw Data'!$I$2:$I$50000,'Raw Data'!$R$2:$R$50000,$B1094))</f>
        <v/>
      </c>
      <c r="F1094" s="11" t="str">
        <f>IF($B1094="","",RANK($E1094,$E$2:$E$1501)+COUNTIF($E$2:E1094,$E1094)-1)</f>
        <v/>
      </c>
      <c r="G1094" s="11" t="str">
        <f>IF($B1094="","",RANK($D1094,$D$2:$D$1501)+COUNTIF($D$2:D1094,$D1094)-1)</f>
        <v/>
      </c>
    </row>
    <row r="1095" spans="1:7">
      <c r="A1095" s="11">
        <v>1094</v>
      </c>
      <c r="B1095" s="11" t="str">
        <f>IFERROR(INDEX('Raw Data'!$R$2:$R$50000,MATCH(1094,'Raw Data'!$W$2:$W$50000,0)),"")</f>
        <v/>
      </c>
      <c r="C1095" s="11" t="str">
        <f t="shared" si="17"/>
        <v/>
      </c>
      <c r="D1095" s="11" t="str">
        <f>IF($B1095="","",COUNTIFS('Raw Data'!$R$2:$R$50000,$B1095))</f>
        <v/>
      </c>
      <c r="E1095" s="11" t="str">
        <f>IF($B1095="","",SUMIFS('Raw Data'!$I$2:$I$50000,'Raw Data'!$R$2:$R$50000,$B1095))</f>
        <v/>
      </c>
      <c r="F1095" s="11" t="str">
        <f>IF($B1095="","",RANK($E1095,$E$2:$E$1501)+COUNTIF($E$2:E1095,$E1095)-1)</f>
        <v/>
      </c>
      <c r="G1095" s="11" t="str">
        <f>IF($B1095="","",RANK($D1095,$D$2:$D$1501)+COUNTIF($D$2:D1095,$D1095)-1)</f>
        <v/>
      </c>
    </row>
    <row r="1096" spans="1:7">
      <c r="A1096" s="11">
        <v>1095</v>
      </c>
      <c r="B1096" s="11" t="str">
        <f>IFERROR(INDEX('Raw Data'!$R$2:$R$50000,MATCH(1095,'Raw Data'!$W$2:$W$50000,0)),"")</f>
        <v/>
      </c>
      <c r="C1096" s="11" t="str">
        <f t="shared" si="17"/>
        <v/>
      </c>
      <c r="D1096" s="11" t="str">
        <f>IF($B1096="","",COUNTIFS('Raw Data'!$R$2:$R$50000,$B1096))</f>
        <v/>
      </c>
      <c r="E1096" s="11" t="str">
        <f>IF($B1096="","",SUMIFS('Raw Data'!$I$2:$I$50000,'Raw Data'!$R$2:$R$50000,$B1096))</f>
        <v/>
      </c>
      <c r="F1096" s="11" t="str">
        <f>IF($B1096="","",RANK($E1096,$E$2:$E$1501)+COUNTIF($E$2:E1096,$E1096)-1)</f>
        <v/>
      </c>
      <c r="G1096" s="11" t="str">
        <f>IF($B1096="","",RANK($D1096,$D$2:$D$1501)+COUNTIF($D$2:D1096,$D1096)-1)</f>
        <v/>
      </c>
    </row>
    <row r="1097" spans="1:7">
      <c r="A1097" s="11">
        <v>1096</v>
      </c>
      <c r="B1097" s="11" t="str">
        <f>IFERROR(INDEX('Raw Data'!$R$2:$R$50000,MATCH(1096,'Raw Data'!$W$2:$W$50000,0)),"")</f>
        <v/>
      </c>
      <c r="C1097" s="11" t="str">
        <f t="shared" si="17"/>
        <v/>
      </c>
      <c r="D1097" s="11" t="str">
        <f>IF($B1097="","",COUNTIFS('Raw Data'!$R$2:$R$50000,$B1097))</f>
        <v/>
      </c>
      <c r="E1097" s="11" t="str">
        <f>IF($B1097="","",SUMIFS('Raw Data'!$I$2:$I$50000,'Raw Data'!$R$2:$R$50000,$B1097))</f>
        <v/>
      </c>
      <c r="F1097" s="11" t="str">
        <f>IF($B1097="","",RANK($E1097,$E$2:$E$1501)+COUNTIF($E$2:E1097,$E1097)-1)</f>
        <v/>
      </c>
      <c r="G1097" s="11" t="str">
        <f>IF($B1097="","",RANK($D1097,$D$2:$D$1501)+COUNTIF($D$2:D1097,$D1097)-1)</f>
        <v/>
      </c>
    </row>
    <row r="1098" spans="1:7">
      <c r="A1098" s="11">
        <v>1097</v>
      </c>
      <c r="B1098" s="11" t="str">
        <f>IFERROR(INDEX('Raw Data'!$R$2:$R$50000,MATCH(1097,'Raw Data'!$W$2:$W$50000,0)),"")</f>
        <v/>
      </c>
      <c r="C1098" s="11" t="str">
        <f t="shared" si="17"/>
        <v/>
      </c>
      <c r="D1098" s="11" t="str">
        <f>IF($B1098="","",COUNTIFS('Raw Data'!$R$2:$R$50000,$B1098))</f>
        <v/>
      </c>
      <c r="E1098" s="11" t="str">
        <f>IF($B1098="","",SUMIFS('Raw Data'!$I$2:$I$50000,'Raw Data'!$R$2:$R$50000,$B1098))</f>
        <v/>
      </c>
      <c r="F1098" s="11" t="str">
        <f>IF($B1098="","",RANK($E1098,$E$2:$E$1501)+COUNTIF($E$2:E1098,$E1098)-1)</f>
        <v/>
      </c>
      <c r="G1098" s="11" t="str">
        <f>IF($B1098="","",RANK($D1098,$D$2:$D$1501)+COUNTIF($D$2:D1098,$D1098)-1)</f>
        <v/>
      </c>
    </row>
    <row r="1099" spans="1:7">
      <c r="A1099" s="11">
        <v>1098</v>
      </c>
      <c r="B1099" s="11" t="str">
        <f>IFERROR(INDEX('Raw Data'!$R$2:$R$50000,MATCH(1098,'Raw Data'!$W$2:$W$50000,0)),"")</f>
        <v/>
      </c>
      <c r="C1099" s="11" t="str">
        <f t="shared" si="17"/>
        <v/>
      </c>
      <c r="D1099" s="11" t="str">
        <f>IF($B1099="","",COUNTIFS('Raw Data'!$R$2:$R$50000,$B1099))</f>
        <v/>
      </c>
      <c r="E1099" s="11" t="str">
        <f>IF($B1099="","",SUMIFS('Raw Data'!$I$2:$I$50000,'Raw Data'!$R$2:$R$50000,$B1099))</f>
        <v/>
      </c>
      <c r="F1099" s="11" t="str">
        <f>IF($B1099="","",RANK($E1099,$E$2:$E$1501)+COUNTIF($E$2:E1099,$E1099)-1)</f>
        <v/>
      </c>
      <c r="G1099" s="11" t="str">
        <f>IF($B1099="","",RANK($D1099,$D$2:$D$1501)+COUNTIF($D$2:D1099,$D1099)-1)</f>
        <v/>
      </c>
    </row>
    <row r="1100" spans="1:7">
      <c r="A1100" s="11">
        <v>1099</v>
      </c>
      <c r="B1100" s="11" t="str">
        <f>IFERROR(INDEX('Raw Data'!$R$2:$R$50000,MATCH(1099,'Raw Data'!$W$2:$W$50000,0)),"")</f>
        <v/>
      </c>
      <c r="C1100" s="11" t="str">
        <f t="shared" si="17"/>
        <v/>
      </c>
      <c r="D1100" s="11" t="str">
        <f>IF($B1100="","",COUNTIFS('Raw Data'!$R$2:$R$50000,$B1100))</f>
        <v/>
      </c>
      <c r="E1100" s="11" t="str">
        <f>IF($B1100="","",SUMIFS('Raw Data'!$I$2:$I$50000,'Raw Data'!$R$2:$R$50000,$B1100))</f>
        <v/>
      </c>
      <c r="F1100" s="11" t="str">
        <f>IF($B1100="","",RANK($E1100,$E$2:$E$1501)+COUNTIF($E$2:E1100,$E1100)-1)</f>
        <v/>
      </c>
      <c r="G1100" s="11" t="str">
        <f>IF($B1100="","",RANK($D1100,$D$2:$D$1501)+COUNTIF($D$2:D1100,$D1100)-1)</f>
        <v/>
      </c>
    </row>
    <row r="1101" spans="1:7">
      <c r="A1101" s="11">
        <v>1100</v>
      </c>
      <c r="B1101" s="11" t="str">
        <f>IFERROR(INDEX('Raw Data'!$R$2:$R$50000,MATCH(1100,'Raw Data'!$W$2:$W$50000,0)),"")</f>
        <v/>
      </c>
      <c r="C1101" s="11" t="str">
        <f t="shared" si="17"/>
        <v/>
      </c>
      <c r="D1101" s="11" t="str">
        <f>IF($B1101="","",COUNTIFS('Raw Data'!$R$2:$R$50000,$B1101))</f>
        <v/>
      </c>
      <c r="E1101" s="11" t="str">
        <f>IF($B1101="","",SUMIFS('Raw Data'!$I$2:$I$50000,'Raw Data'!$R$2:$R$50000,$B1101))</f>
        <v/>
      </c>
      <c r="F1101" s="11" t="str">
        <f>IF($B1101="","",RANK($E1101,$E$2:$E$1501)+COUNTIF($E$2:E1101,$E1101)-1)</f>
        <v/>
      </c>
      <c r="G1101" s="11" t="str">
        <f>IF($B1101="","",RANK($D1101,$D$2:$D$1501)+COUNTIF($D$2:D1101,$D1101)-1)</f>
        <v/>
      </c>
    </row>
    <row r="1102" spans="1:7">
      <c r="A1102" s="11">
        <v>1101</v>
      </c>
      <c r="B1102" s="11" t="str">
        <f>IFERROR(INDEX('Raw Data'!$R$2:$R$50000,MATCH(1101,'Raw Data'!$W$2:$W$50000,0)),"")</f>
        <v/>
      </c>
      <c r="C1102" s="11" t="str">
        <f t="shared" si="17"/>
        <v/>
      </c>
      <c r="D1102" s="11" t="str">
        <f>IF($B1102="","",COUNTIFS('Raw Data'!$R$2:$R$50000,$B1102))</f>
        <v/>
      </c>
      <c r="E1102" s="11" t="str">
        <f>IF($B1102="","",SUMIFS('Raw Data'!$I$2:$I$50000,'Raw Data'!$R$2:$R$50000,$B1102))</f>
        <v/>
      </c>
      <c r="F1102" s="11" t="str">
        <f>IF($B1102="","",RANK($E1102,$E$2:$E$1501)+COUNTIF($E$2:E1102,$E1102)-1)</f>
        <v/>
      </c>
      <c r="G1102" s="11" t="str">
        <f>IF($B1102="","",RANK($D1102,$D$2:$D$1501)+COUNTIF($D$2:D1102,$D1102)-1)</f>
        <v/>
      </c>
    </row>
    <row r="1103" spans="1:7">
      <c r="A1103" s="11">
        <v>1102</v>
      </c>
      <c r="B1103" s="11" t="str">
        <f>IFERROR(INDEX('Raw Data'!$R$2:$R$50000,MATCH(1102,'Raw Data'!$W$2:$W$50000,0)),"")</f>
        <v/>
      </c>
      <c r="C1103" s="11" t="str">
        <f t="shared" si="17"/>
        <v/>
      </c>
      <c r="D1103" s="11" t="str">
        <f>IF($B1103="","",COUNTIFS('Raw Data'!$R$2:$R$50000,$B1103))</f>
        <v/>
      </c>
      <c r="E1103" s="11" t="str">
        <f>IF($B1103="","",SUMIFS('Raw Data'!$I$2:$I$50000,'Raw Data'!$R$2:$R$50000,$B1103))</f>
        <v/>
      </c>
      <c r="F1103" s="11" t="str">
        <f>IF($B1103="","",RANK($E1103,$E$2:$E$1501)+COUNTIF($E$2:E1103,$E1103)-1)</f>
        <v/>
      </c>
      <c r="G1103" s="11" t="str">
        <f>IF($B1103="","",RANK($D1103,$D$2:$D$1501)+COUNTIF($D$2:D1103,$D1103)-1)</f>
        <v/>
      </c>
    </row>
    <row r="1104" spans="1:7">
      <c r="A1104" s="11">
        <v>1103</v>
      </c>
      <c r="B1104" s="11" t="str">
        <f>IFERROR(INDEX('Raw Data'!$R$2:$R$50000,MATCH(1103,'Raw Data'!$W$2:$W$50000,0)),"")</f>
        <v/>
      </c>
      <c r="C1104" s="11" t="str">
        <f t="shared" si="17"/>
        <v/>
      </c>
      <c r="D1104" s="11" t="str">
        <f>IF($B1104="","",COUNTIFS('Raw Data'!$R$2:$R$50000,$B1104))</f>
        <v/>
      </c>
      <c r="E1104" s="11" t="str">
        <f>IF($B1104="","",SUMIFS('Raw Data'!$I$2:$I$50000,'Raw Data'!$R$2:$R$50000,$B1104))</f>
        <v/>
      </c>
      <c r="F1104" s="11" t="str">
        <f>IF($B1104="","",RANK($E1104,$E$2:$E$1501)+COUNTIF($E$2:E1104,$E1104)-1)</f>
        <v/>
      </c>
      <c r="G1104" s="11" t="str">
        <f>IF($B1104="","",RANK($D1104,$D$2:$D$1501)+COUNTIF($D$2:D1104,$D1104)-1)</f>
        <v/>
      </c>
    </row>
    <row r="1105" spans="1:7">
      <c r="A1105" s="11">
        <v>1104</v>
      </c>
      <c r="B1105" s="11" t="str">
        <f>IFERROR(INDEX('Raw Data'!$R$2:$R$50000,MATCH(1104,'Raw Data'!$W$2:$W$50000,0)),"")</f>
        <v/>
      </c>
      <c r="C1105" s="11" t="str">
        <f t="shared" si="17"/>
        <v/>
      </c>
      <c r="D1105" s="11" t="str">
        <f>IF($B1105="","",COUNTIFS('Raw Data'!$R$2:$R$50000,$B1105))</f>
        <v/>
      </c>
      <c r="E1105" s="11" t="str">
        <f>IF($B1105="","",SUMIFS('Raw Data'!$I$2:$I$50000,'Raw Data'!$R$2:$R$50000,$B1105))</f>
        <v/>
      </c>
      <c r="F1105" s="11" t="str">
        <f>IF($B1105="","",RANK($E1105,$E$2:$E$1501)+COUNTIF($E$2:E1105,$E1105)-1)</f>
        <v/>
      </c>
      <c r="G1105" s="11" t="str">
        <f>IF($B1105="","",RANK($D1105,$D$2:$D$1501)+COUNTIF($D$2:D1105,$D1105)-1)</f>
        <v/>
      </c>
    </row>
    <row r="1106" spans="1:7">
      <c r="A1106" s="11">
        <v>1105</v>
      </c>
      <c r="B1106" s="11" t="str">
        <f>IFERROR(INDEX('Raw Data'!$R$2:$R$50000,MATCH(1105,'Raw Data'!$W$2:$W$50000,0)),"")</f>
        <v/>
      </c>
      <c r="C1106" s="11" t="str">
        <f t="shared" si="17"/>
        <v/>
      </c>
      <c r="D1106" s="11" t="str">
        <f>IF($B1106="","",COUNTIFS('Raw Data'!$R$2:$R$50000,$B1106))</f>
        <v/>
      </c>
      <c r="E1106" s="11" t="str">
        <f>IF($B1106="","",SUMIFS('Raw Data'!$I$2:$I$50000,'Raw Data'!$R$2:$R$50000,$B1106))</f>
        <v/>
      </c>
      <c r="F1106" s="11" t="str">
        <f>IF($B1106="","",RANK($E1106,$E$2:$E$1501)+COUNTIF($E$2:E1106,$E1106)-1)</f>
        <v/>
      </c>
      <c r="G1106" s="11" t="str">
        <f>IF($B1106="","",RANK($D1106,$D$2:$D$1501)+COUNTIF($D$2:D1106,$D1106)-1)</f>
        <v/>
      </c>
    </row>
    <row r="1107" spans="1:7">
      <c r="A1107" s="11">
        <v>1106</v>
      </c>
      <c r="B1107" s="11" t="str">
        <f>IFERROR(INDEX('Raw Data'!$R$2:$R$50000,MATCH(1106,'Raw Data'!$W$2:$W$50000,0)),"")</f>
        <v/>
      </c>
      <c r="C1107" s="11" t="str">
        <f t="shared" si="17"/>
        <v/>
      </c>
      <c r="D1107" s="11" t="str">
        <f>IF($B1107="","",COUNTIFS('Raw Data'!$R$2:$R$50000,$B1107))</f>
        <v/>
      </c>
      <c r="E1107" s="11" t="str">
        <f>IF($B1107="","",SUMIFS('Raw Data'!$I$2:$I$50000,'Raw Data'!$R$2:$R$50000,$B1107))</f>
        <v/>
      </c>
      <c r="F1107" s="11" t="str">
        <f>IF($B1107="","",RANK($E1107,$E$2:$E$1501)+COUNTIF($E$2:E1107,$E1107)-1)</f>
        <v/>
      </c>
      <c r="G1107" s="11" t="str">
        <f>IF($B1107="","",RANK($D1107,$D$2:$D$1501)+COUNTIF($D$2:D1107,$D1107)-1)</f>
        <v/>
      </c>
    </row>
    <row r="1108" spans="1:7">
      <c r="A1108" s="11">
        <v>1107</v>
      </c>
      <c r="B1108" s="11" t="str">
        <f>IFERROR(INDEX('Raw Data'!$R$2:$R$50000,MATCH(1107,'Raw Data'!$W$2:$W$50000,0)),"")</f>
        <v/>
      </c>
      <c r="C1108" s="11" t="str">
        <f t="shared" si="17"/>
        <v/>
      </c>
      <c r="D1108" s="11" t="str">
        <f>IF($B1108="","",COUNTIFS('Raw Data'!$R$2:$R$50000,$B1108))</f>
        <v/>
      </c>
      <c r="E1108" s="11" t="str">
        <f>IF($B1108="","",SUMIFS('Raw Data'!$I$2:$I$50000,'Raw Data'!$R$2:$R$50000,$B1108))</f>
        <v/>
      </c>
      <c r="F1108" s="11" t="str">
        <f>IF($B1108="","",RANK($E1108,$E$2:$E$1501)+COUNTIF($E$2:E1108,$E1108)-1)</f>
        <v/>
      </c>
      <c r="G1108" s="11" t="str">
        <f>IF($B1108="","",RANK($D1108,$D$2:$D$1501)+COUNTIF($D$2:D1108,$D1108)-1)</f>
        <v/>
      </c>
    </row>
    <row r="1109" spans="1:7">
      <c r="A1109" s="11">
        <v>1108</v>
      </c>
      <c r="B1109" s="11" t="str">
        <f>IFERROR(INDEX('Raw Data'!$R$2:$R$50000,MATCH(1108,'Raw Data'!$W$2:$W$50000,0)),"")</f>
        <v/>
      </c>
      <c r="C1109" s="11" t="str">
        <f t="shared" si="17"/>
        <v/>
      </c>
      <c r="D1109" s="11" t="str">
        <f>IF($B1109="","",COUNTIFS('Raw Data'!$R$2:$R$50000,$B1109))</f>
        <v/>
      </c>
      <c r="E1109" s="11" t="str">
        <f>IF($B1109="","",SUMIFS('Raw Data'!$I$2:$I$50000,'Raw Data'!$R$2:$R$50000,$B1109))</f>
        <v/>
      </c>
      <c r="F1109" s="11" t="str">
        <f>IF($B1109="","",RANK($E1109,$E$2:$E$1501)+COUNTIF($E$2:E1109,$E1109)-1)</f>
        <v/>
      </c>
      <c r="G1109" s="11" t="str">
        <f>IF($B1109="","",RANK($D1109,$D$2:$D$1501)+COUNTIF($D$2:D1109,$D1109)-1)</f>
        <v/>
      </c>
    </row>
    <row r="1110" spans="1:7">
      <c r="A1110" s="11">
        <v>1109</v>
      </c>
      <c r="B1110" s="11" t="str">
        <f>IFERROR(INDEX('Raw Data'!$R$2:$R$50000,MATCH(1109,'Raw Data'!$W$2:$W$50000,0)),"")</f>
        <v/>
      </c>
      <c r="C1110" s="11" t="str">
        <f t="shared" si="17"/>
        <v/>
      </c>
      <c r="D1110" s="11" t="str">
        <f>IF($B1110="","",COUNTIFS('Raw Data'!$R$2:$R$50000,$B1110))</f>
        <v/>
      </c>
      <c r="E1110" s="11" t="str">
        <f>IF($B1110="","",SUMIFS('Raw Data'!$I$2:$I$50000,'Raw Data'!$R$2:$R$50000,$B1110))</f>
        <v/>
      </c>
      <c r="F1110" s="11" t="str">
        <f>IF($B1110="","",RANK($E1110,$E$2:$E$1501)+COUNTIF($E$2:E1110,$E1110)-1)</f>
        <v/>
      </c>
      <c r="G1110" s="11" t="str">
        <f>IF($B1110="","",RANK($D1110,$D$2:$D$1501)+COUNTIF($D$2:D1110,$D1110)-1)</f>
        <v/>
      </c>
    </row>
    <row r="1111" spans="1:7">
      <c r="A1111" s="11">
        <v>1110</v>
      </c>
      <c r="B1111" s="11" t="str">
        <f>IFERROR(INDEX('Raw Data'!$R$2:$R$50000,MATCH(1110,'Raw Data'!$W$2:$W$50000,0)),"")</f>
        <v/>
      </c>
      <c r="C1111" s="11" t="str">
        <f t="shared" si="17"/>
        <v/>
      </c>
      <c r="D1111" s="11" t="str">
        <f>IF($B1111="","",COUNTIFS('Raw Data'!$R$2:$R$50000,$B1111))</f>
        <v/>
      </c>
      <c r="E1111" s="11" t="str">
        <f>IF($B1111="","",SUMIFS('Raw Data'!$I$2:$I$50000,'Raw Data'!$R$2:$R$50000,$B1111))</f>
        <v/>
      </c>
      <c r="F1111" s="11" t="str">
        <f>IF($B1111="","",RANK($E1111,$E$2:$E$1501)+COUNTIF($E$2:E1111,$E1111)-1)</f>
        <v/>
      </c>
      <c r="G1111" s="11" t="str">
        <f>IF($B1111="","",RANK($D1111,$D$2:$D$1501)+COUNTIF($D$2:D1111,$D1111)-1)</f>
        <v/>
      </c>
    </row>
    <row r="1112" spans="1:7">
      <c r="A1112" s="11">
        <v>1111</v>
      </c>
      <c r="B1112" s="11" t="str">
        <f>IFERROR(INDEX('Raw Data'!$R$2:$R$50000,MATCH(1111,'Raw Data'!$W$2:$W$50000,0)),"")</f>
        <v/>
      </c>
      <c r="C1112" s="11" t="str">
        <f t="shared" si="17"/>
        <v/>
      </c>
      <c r="D1112" s="11" t="str">
        <f>IF($B1112="","",COUNTIFS('Raw Data'!$R$2:$R$50000,$B1112))</f>
        <v/>
      </c>
      <c r="E1112" s="11" t="str">
        <f>IF($B1112="","",SUMIFS('Raw Data'!$I$2:$I$50000,'Raw Data'!$R$2:$R$50000,$B1112))</f>
        <v/>
      </c>
      <c r="F1112" s="11" t="str">
        <f>IF($B1112="","",RANK($E1112,$E$2:$E$1501)+COUNTIF($E$2:E1112,$E1112)-1)</f>
        <v/>
      </c>
      <c r="G1112" s="11" t="str">
        <f>IF($B1112="","",RANK($D1112,$D$2:$D$1501)+COUNTIF($D$2:D1112,$D1112)-1)</f>
        <v/>
      </c>
    </row>
    <row r="1113" spans="1:7">
      <c r="A1113" s="11">
        <v>1112</v>
      </c>
      <c r="B1113" s="11" t="str">
        <f>IFERROR(INDEX('Raw Data'!$R$2:$R$50000,MATCH(1112,'Raw Data'!$W$2:$W$50000,0)),"")</f>
        <v/>
      </c>
      <c r="C1113" s="11" t="str">
        <f t="shared" si="17"/>
        <v/>
      </c>
      <c r="D1113" s="11" t="str">
        <f>IF($B1113="","",COUNTIFS('Raw Data'!$R$2:$R$50000,$B1113))</f>
        <v/>
      </c>
      <c r="E1113" s="11" t="str">
        <f>IF($B1113="","",SUMIFS('Raw Data'!$I$2:$I$50000,'Raw Data'!$R$2:$R$50000,$B1113))</f>
        <v/>
      </c>
      <c r="F1113" s="11" t="str">
        <f>IF($B1113="","",RANK($E1113,$E$2:$E$1501)+COUNTIF($E$2:E1113,$E1113)-1)</f>
        <v/>
      </c>
      <c r="G1113" s="11" t="str">
        <f>IF($B1113="","",RANK($D1113,$D$2:$D$1501)+COUNTIF($D$2:D1113,$D1113)-1)</f>
        <v/>
      </c>
    </row>
    <row r="1114" spans="1:7">
      <c r="A1114" s="11">
        <v>1113</v>
      </c>
      <c r="B1114" s="11" t="str">
        <f>IFERROR(INDEX('Raw Data'!$R$2:$R$50000,MATCH(1113,'Raw Data'!$W$2:$W$50000,0)),"")</f>
        <v/>
      </c>
      <c r="C1114" s="11" t="str">
        <f t="shared" si="17"/>
        <v/>
      </c>
      <c r="D1114" s="11" t="str">
        <f>IF($B1114="","",COUNTIFS('Raw Data'!$R$2:$R$50000,$B1114))</f>
        <v/>
      </c>
      <c r="E1114" s="11" t="str">
        <f>IF($B1114="","",SUMIFS('Raw Data'!$I$2:$I$50000,'Raw Data'!$R$2:$R$50000,$B1114))</f>
        <v/>
      </c>
      <c r="F1114" s="11" t="str">
        <f>IF($B1114="","",RANK($E1114,$E$2:$E$1501)+COUNTIF($E$2:E1114,$E1114)-1)</f>
        <v/>
      </c>
      <c r="G1114" s="11" t="str">
        <f>IF($B1114="","",RANK($D1114,$D$2:$D$1501)+COUNTIF($D$2:D1114,$D1114)-1)</f>
        <v/>
      </c>
    </row>
    <row r="1115" spans="1:7">
      <c r="A1115" s="11">
        <v>1114</v>
      </c>
      <c r="B1115" s="11" t="str">
        <f>IFERROR(INDEX('Raw Data'!$R$2:$R$50000,MATCH(1114,'Raw Data'!$W$2:$W$50000,0)),"")</f>
        <v/>
      </c>
      <c r="C1115" s="11" t="str">
        <f t="shared" si="17"/>
        <v/>
      </c>
      <c r="D1115" s="11" t="str">
        <f>IF($B1115="","",COUNTIFS('Raw Data'!$R$2:$R$50000,$B1115))</f>
        <v/>
      </c>
      <c r="E1115" s="11" t="str">
        <f>IF($B1115="","",SUMIFS('Raw Data'!$I$2:$I$50000,'Raw Data'!$R$2:$R$50000,$B1115))</f>
        <v/>
      </c>
      <c r="F1115" s="11" t="str">
        <f>IF($B1115="","",RANK($E1115,$E$2:$E$1501)+COUNTIF($E$2:E1115,$E1115)-1)</f>
        <v/>
      </c>
      <c r="G1115" s="11" t="str">
        <f>IF($B1115="","",RANK($D1115,$D$2:$D$1501)+COUNTIF($D$2:D1115,$D1115)-1)</f>
        <v/>
      </c>
    </row>
    <row r="1116" spans="1:7">
      <c r="A1116" s="11">
        <v>1115</v>
      </c>
      <c r="B1116" s="11" t="str">
        <f>IFERROR(INDEX('Raw Data'!$R$2:$R$50000,MATCH(1115,'Raw Data'!$W$2:$W$50000,0)),"")</f>
        <v/>
      </c>
      <c r="C1116" s="11" t="str">
        <f t="shared" si="17"/>
        <v/>
      </c>
      <c r="D1116" s="11" t="str">
        <f>IF($B1116="","",COUNTIFS('Raw Data'!$R$2:$R$50000,$B1116))</f>
        <v/>
      </c>
      <c r="E1116" s="11" t="str">
        <f>IF($B1116="","",SUMIFS('Raw Data'!$I$2:$I$50000,'Raw Data'!$R$2:$R$50000,$B1116))</f>
        <v/>
      </c>
      <c r="F1116" s="11" t="str">
        <f>IF($B1116="","",RANK($E1116,$E$2:$E$1501)+COUNTIF($E$2:E1116,$E1116)-1)</f>
        <v/>
      </c>
      <c r="G1116" s="11" t="str">
        <f>IF($B1116="","",RANK($D1116,$D$2:$D$1501)+COUNTIF($D$2:D1116,$D1116)-1)</f>
        <v/>
      </c>
    </row>
    <row r="1117" spans="1:7">
      <c r="A1117" s="11">
        <v>1116</v>
      </c>
      <c r="B1117" s="11" t="str">
        <f>IFERROR(INDEX('Raw Data'!$R$2:$R$50000,MATCH(1116,'Raw Data'!$W$2:$W$50000,0)),"")</f>
        <v/>
      </c>
      <c r="C1117" s="11" t="str">
        <f t="shared" si="17"/>
        <v/>
      </c>
      <c r="D1117" s="11" t="str">
        <f>IF($B1117="","",COUNTIFS('Raw Data'!$R$2:$R$50000,$B1117))</f>
        <v/>
      </c>
      <c r="E1117" s="11" t="str">
        <f>IF($B1117="","",SUMIFS('Raw Data'!$I$2:$I$50000,'Raw Data'!$R$2:$R$50000,$B1117))</f>
        <v/>
      </c>
      <c r="F1117" s="11" t="str">
        <f>IF($B1117="","",RANK($E1117,$E$2:$E$1501)+COUNTIF($E$2:E1117,$E1117)-1)</f>
        <v/>
      </c>
      <c r="G1117" s="11" t="str">
        <f>IF($B1117="","",RANK($D1117,$D$2:$D$1501)+COUNTIF($D$2:D1117,$D1117)-1)</f>
        <v/>
      </c>
    </row>
    <row r="1118" spans="1:7">
      <c r="A1118" s="11">
        <v>1117</v>
      </c>
      <c r="B1118" s="11" t="str">
        <f>IFERROR(INDEX('Raw Data'!$R$2:$R$50000,MATCH(1117,'Raw Data'!$W$2:$W$50000,0)),"")</f>
        <v/>
      </c>
      <c r="C1118" s="11" t="str">
        <f t="shared" si="17"/>
        <v/>
      </c>
      <c r="D1118" s="11" t="str">
        <f>IF($B1118="","",COUNTIFS('Raw Data'!$R$2:$R$50000,$B1118))</f>
        <v/>
      </c>
      <c r="E1118" s="11" t="str">
        <f>IF($B1118="","",SUMIFS('Raw Data'!$I$2:$I$50000,'Raw Data'!$R$2:$R$50000,$B1118))</f>
        <v/>
      </c>
      <c r="F1118" s="11" t="str">
        <f>IF($B1118="","",RANK($E1118,$E$2:$E$1501)+COUNTIF($E$2:E1118,$E1118)-1)</f>
        <v/>
      </c>
      <c r="G1118" s="11" t="str">
        <f>IF($B1118="","",RANK($D1118,$D$2:$D$1501)+COUNTIF($D$2:D1118,$D1118)-1)</f>
        <v/>
      </c>
    </row>
    <row r="1119" spans="1:7">
      <c r="A1119" s="11">
        <v>1118</v>
      </c>
      <c r="B1119" s="11" t="str">
        <f>IFERROR(INDEX('Raw Data'!$R$2:$R$50000,MATCH(1118,'Raw Data'!$W$2:$W$50000,0)),"")</f>
        <v/>
      </c>
      <c r="C1119" s="11" t="str">
        <f t="shared" si="17"/>
        <v/>
      </c>
      <c r="D1119" s="11" t="str">
        <f>IF($B1119="","",COUNTIFS('Raw Data'!$R$2:$R$50000,$B1119))</f>
        <v/>
      </c>
      <c r="E1119" s="11" t="str">
        <f>IF($B1119="","",SUMIFS('Raw Data'!$I$2:$I$50000,'Raw Data'!$R$2:$R$50000,$B1119))</f>
        <v/>
      </c>
      <c r="F1119" s="11" t="str">
        <f>IF($B1119="","",RANK($E1119,$E$2:$E$1501)+COUNTIF($E$2:E1119,$E1119)-1)</f>
        <v/>
      </c>
      <c r="G1119" s="11" t="str">
        <f>IF($B1119="","",RANK($D1119,$D$2:$D$1501)+COUNTIF($D$2:D1119,$D1119)-1)</f>
        <v/>
      </c>
    </row>
    <row r="1120" spans="1:7">
      <c r="A1120" s="11">
        <v>1119</v>
      </c>
      <c r="B1120" s="11" t="str">
        <f>IFERROR(INDEX('Raw Data'!$R$2:$R$50000,MATCH(1119,'Raw Data'!$W$2:$W$50000,0)),"")</f>
        <v/>
      </c>
      <c r="C1120" s="11" t="str">
        <f t="shared" si="17"/>
        <v/>
      </c>
      <c r="D1120" s="11" t="str">
        <f>IF($B1120="","",COUNTIFS('Raw Data'!$R$2:$R$50000,$B1120))</f>
        <v/>
      </c>
      <c r="E1120" s="11" t="str">
        <f>IF($B1120="","",SUMIFS('Raw Data'!$I$2:$I$50000,'Raw Data'!$R$2:$R$50000,$B1120))</f>
        <v/>
      </c>
      <c r="F1120" s="11" t="str">
        <f>IF($B1120="","",RANK($E1120,$E$2:$E$1501)+COUNTIF($E$2:E1120,$E1120)-1)</f>
        <v/>
      </c>
      <c r="G1120" s="11" t="str">
        <f>IF($B1120="","",RANK($D1120,$D$2:$D$1501)+COUNTIF($D$2:D1120,$D1120)-1)</f>
        <v/>
      </c>
    </row>
    <row r="1121" spans="1:7">
      <c r="A1121" s="11">
        <v>1120</v>
      </c>
      <c r="B1121" s="11" t="str">
        <f>IFERROR(INDEX('Raw Data'!$R$2:$R$50000,MATCH(1120,'Raw Data'!$W$2:$W$50000,0)),"")</f>
        <v/>
      </c>
      <c r="C1121" s="11" t="str">
        <f t="shared" si="17"/>
        <v/>
      </c>
      <c r="D1121" s="11" t="str">
        <f>IF($B1121="","",COUNTIFS('Raw Data'!$R$2:$R$50000,$B1121))</f>
        <v/>
      </c>
      <c r="E1121" s="11" t="str">
        <f>IF($B1121="","",SUMIFS('Raw Data'!$I$2:$I$50000,'Raw Data'!$R$2:$R$50000,$B1121))</f>
        <v/>
      </c>
      <c r="F1121" s="11" t="str">
        <f>IF($B1121="","",RANK($E1121,$E$2:$E$1501)+COUNTIF($E$2:E1121,$E1121)-1)</f>
        <v/>
      </c>
      <c r="G1121" s="11" t="str">
        <f>IF($B1121="","",RANK($D1121,$D$2:$D$1501)+COUNTIF($D$2:D1121,$D1121)-1)</f>
        <v/>
      </c>
    </row>
    <row r="1122" spans="1:7">
      <c r="A1122" s="11">
        <v>1121</v>
      </c>
      <c r="B1122" s="11" t="str">
        <f>IFERROR(INDEX('Raw Data'!$R$2:$R$50000,MATCH(1121,'Raw Data'!$W$2:$W$50000,0)),"")</f>
        <v/>
      </c>
      <c r="C1122" s="11" t="str">
        <f t="shared" si="17"/>
        <v/>
      </c>
      <c r="D1122" s="11" t="str">
        <f>IF($B1122="","",COUNTIFS('Raw Data'!$R$2:$R$50000,$B1122))</f>
        <v/>
      </c>
      <c r="E1122" s="11" t="str">
        <f>IF($B1122="","",SUMIFS('Raw Data'!$I$2:$I$50000,'Raw Data'!$R$2:$R$50000,$B1122))</f>
        <v/>
      </c>
      <c r="F1122" s="11" t="str">
        <f>IF($B1122="","",RANK($E1122,$E$2:$E$1501)+COUNTIF($E$2:E1122,$E1122)-1)</f>
        <v/>
      </c>
      <c r="G1122" s="11" t="str">
        <f>IF($B1122="","",RANK($D1122,$D$2:$D$1501)+COUNTIF($D$2:D1122,$D1122)-1)</f>
        <v/>
      </c>
    </row>
    <row r="1123" spans="1:7">
      <c r="A1123" s="11">
        <v>1122</v>
      </c>
      <c r="B1123" s="11" t="str">
        <f>IFERROR(INDEX('Raw Data'!$R$2:$R$50000,MATCH(1122,'Raw Data'!$W$2:$W$50000,0)),"")</f>
        <v/>
      </c>
      <c r="C1123" s="11" t="str">
        <f t="shared" si="17"/>
        <v/>
      </c>
      <c r="D1123" s="11" t="str">
        <f>IF($B1123="","",COUNTIFS('Raw Data'!$R$2:$R$50000,$B1123))</f>
        <v/>
      </c>
      <c r="E1123" s="11" t="str">
        <f>IF($B1123="","",SUMIFS('Raw Data'!$I$2:$I$50000,'Raw Data'!$R$2:$R$50000,$B1123))</f>
        <v/>
      </c>
      <c r="F1123" s="11" t="str">
        <f>IF($B1123="","",RANK($E1123,$E$2:$E$1501)+COUNTIF($E$2:E1123,$E1123)-1)</f>
        <v/>
      </c>
      <c r="G1123" s="11" t="str">
        <f>IF($B1123="","",RANK($D1123,$D$2:$D$1501)+COUNTIF($D$2:D1123,$D1123)-1)</f>
        <v/>
      </c>
    </row>
    <row r="1124" spans="1:7">
      <c r="A1124" s="11">
        <v>1123</v>
      </c>
      <c r="B1124" s="11" t="str">
        <f>IFERROR(INDEX('Raw Data'!$R$2:$R$50000,MATCH(1123,'Raw Data'!$W$2:$W$50000,0)),"")</f>
        <v/>
      </c>
      <c r="C1124" s="11" t="str">
        <f t="shared" si="17"/>
        <v/>
      </c>
      <c r="D1124" s="11" t="str">
        <f>IF($B1124="","",COUNTIFS('Raw Data'!$R$2:$R$50000,$B1124))</f>
        <v/>
      </c>
      <c r="E1124" s="11" t="str">
        <f>IF($B1124="","",SUMIFS('Raw Data'!$I$2:$I$50000,'Raw Data'!$R$2:$R$50000,$B1124))</f>
        <v/>
      </c>
      <c r="F1124" s="11" t="str">
        <f>IF($B1124="","",RANK($E1124,$E$2:$E$1501)+COUNTIF($E$2:E1124,$E1124)-1)</f>
        <v/>
      </c>
      <c r="G1124" s="11" t="str">
        <f>IF($B1124="","",RANK($D1124,$D$2:$D$1501)+COUNTIF($D$2:D1124,$D1124)-1)</f>
        <v/>
      </c>
    </row>
    <row r="1125" spans="1:7">
      <c r="A1125" s="11">
        <v>1124</v>
      </c>
      <c r="B1125" s="11" t="str">
        <f>IFERROR(INDEX('Raw Data'!$R$2:$R$50000,MATCH(1124,'Raw Data'!$W$2:$W$50000,0)),"")</f>
        <v/>
      </c>
      <c r="C1125" s="11" t="str">
        <f t="shared" si="17"/>
        <v/>
      </c>
      <c r="D1125" s="11" t="str">
        <f>IF($B1125="","",COUNTIFS('Raw Data'!$R$2:$R$50000,$B1125))</f>
        <v/>
      </c>
      <c r="E1125" s="11" t="str">
        <f>IF($B1125="","",SUMIFS('Raw Data'!$I$2:$I$50000,'Raw Data'!$R$2:$R$50000,$B1125))</f>
        <v/>
      </c>
      <c r="F1125" s="11" t="str">
        <f>IF($B1125="","",RANK($E1125,$E$2:$E$1501)+COUNTIF($E$2:E1125,$E1125)-1)</f>
        <v/>
      </c>
      <c r="G1125" s="11" t="str">
        <f>IF($B1125="","",RANK($D1125,$D$2:$D$1501)+COUNTIF($D$2:D1125,$D1125)-1)</f>
        <v/>
      </c>
    </row>
    <row r="1126" spans="1:7">
      <c r="A1126" s="11">
        <v>1125</v>
      </c>
      <c r="B1126" s="11" t="str">
        <f>IFERROR(INDEX('Raw Data'!$R$2:$R$50000,MATCH(1125,'Raw Data'!$W$2:$W$50000,0)),"")</f>
        <v/>
      </c>
      <c r="C1126" s="11" t="str">
        <f t="shared" si="17"/>
        <v/>
      </c>
      <c r="D1126" s="11" t="str">
        <f>IF($B1126="","",COUNTIFS('Raw Data'!$R$2:$R$50000,$B1126))</f>
        <v/>
      </c>
      <c r="E1126" s="11" t="str">
        <f>IF($B1126="","",SUMIFS('Raw Data'!$I$2:$I$50000,'Raw Data'!$R$2:$R$50000,$B1126))</f>
        <v/>
      </c>
      <c r="F1126" s="11" t="str">
        <f>IF($B1126="","",RANK($E1126,$E$2:$E$1501)+COUNTIF($E$2:E1126,$E1126)-1)</f>
        <v/>
      </c>
      <c r="G1126" s="11" t="str">
        <f>IF($B1126="","",RANK($D1126,$D$2:$D$1501)+COUNTIF($D$2:D1126,$D1126)-1)</f>
        <v/>
      </c>
    </row>
    <row r="1127" spans="1:7">
      <c r="A1127" s="11">
        <v>1126</v>
      </c>
      <c r="B1127" s="11" t="str">
        <f>IFERROR(INDEX('Raw Data'!$R$2:$R$50000,MATCH(1126,'Raw Data'!$W$2:$W$50000,0)),"")</f>
        <v/>
      </c>
      <c r="C1127" s="11" t="str">
        <f t="shared" si="17"/>
        <v/>
      </c>
      <c r="D1127" s="11" t="str">
        <f>IF($B1127="","",COUNTIFS('Raw Data'!$R$2:$R$50000,$B1127))</f>
        <v/>
      </c>
      <c r="E1127" s="11" t="str">
        <f>IF($B1127="","",SUMIFS('Raw Data'!$I$2:$I$50000,'Raw Data'!$R$2:$R$50000,$B1127))</f>
        <v/>
      </c>
      <c r="F1127" s="11" t="str">
        <f>IF($B1127="","",RANK($E1127,$E$2:$E$1501)+COUNTIF($E$2:E1127,$E1127)-1)</f>
        <v/>
      </c>
      <c r="G1127" s="11" t="str">
        <f>IF($B1127="","",RANK($D1127,$D$2:$D$1501)+COUNTIF($D$2:D1127,$D1127)-1)</f>
        <v/>
      </c>
    </row>
    <row r="1128" spans="1:7">
      <c r="A1128" s="11">
        <v>1127</v>
      </c>
      <c r="B1128" s="11" t="str">
        <f>IFERROR(INDEX('Raw Data'!$R$2:$R$50000,MATCH(1127,'Raw Data'!$W$2:$W$50000,0)),"")</f>
        <v/>
      </c>
      <c r="C1128" s="11" t="str">
        <f t="shared" si="17"/>
        <v/>
      </c>
      <c r="D1128" s="11" t="str">
        <f>IF($B1128="","",COUNTIFS('Raw Data'!$R$2:$R$50000,$B1128))</f>
        <v/>
      </c>
      <c r="E1128" s="11" t="str">
        <f>IF($B1128="","",SUMIFS('Raw Data'!$I$2:$I$50000,'Raw Data'!$R$2:$R$50000,$B1128))</f>
        <v/>
      </c>
      <c r="F1128" s="11" t="str">
        <f>IF($B1128="","",RANK($E1128,$E$2:$E$1501)+COUNTIF($E$2:E1128,$E1128)-1)</f>
        <v/>
      </c>
      <c r="G1128" s="11" t="str">
        <f>IF($B1128="","",RANK($D1128,$D$2:$D$1501)+COUNTIF($D$2:D1128,$D1128)-1)</f>
        <v/>
      </c>
    </row>
    <row r="1129" spans="1:7">
      <c r="A1129" s="11">
        <v>1128</v>
      </c>
      <c r="B1129" s="11" t="str">
        <f>IFERROR(INDEX('Raw Data'!$R$2:$R$50000,MATCH(1128,'Raw Data'!$W$2:$W$50000,0)),"")</f>
        <v/>
      </c>
      <c r="C1129" s="11" t="str">
        <f t="shared" si="17"/>
        <v/>
      </c>
      <c r="D1129" s="11" t="str">
        <f>IF($B1129="","",COUNTIFS('Raw Data'!$R$2:$R$50000,$B1129))</f>
        <v/>
      </c>
      <c r="E1129" s="11" t="str">
        <f>IF($B1129="","",SUMIFS('Raw Data'!$I$2:$I$50000,'Raw Data'!$R$2:$R$50000,$B1129))</f>
        <v/>
      </c>
      <c r="F1129" s="11" t="str">
        <f>IF($B1129="","",RANK($E1129,$E$2:$E$1501)+COUNTIF($E$2:E1129,$E1129)-1)</f>
        <v/>
      </c>
      <c r="G1129" s="11" t="str">
        <f>IF($B1129="","",RANK($D1129,$D$2:$D$1501)+COUNTIF($D$2:D1129,$D1129)-1)</f>
        <v/>
      </c>
    </row>
    <row r="1130" spans="1:7">
      <c r="A1130" s="11">
        <v>1129</v>
      </c>
      <c r="B1130" s="11" t="str">
        <f>IFERROR(INDEX('Raw Data'!$R$2:$R$50000,MATCH(1129,'Raw Data'!$W$2:$W$50000,0)),"")</f>
        <v/>
      </c>
      <c r="C1130" s="11" t="str">
        <f t="shared" si="17"/>
        <v/>
      </c>
      <c r="D1130" s="11" t="str">
        <f>IF($B1130="","",COUNTIFS('Raw Data'!$R$2:$R$50000,$B1130))</f>
        <v/>
      </c>
      <c r="E1130" s="11" t="str">
        <f>IF($B1130="","",SUMIFS('Raw Data'!$I$2:$I$50000,'Raw Data'!$R$2:$R$50000,$B1130))</f>
        <v/>
      </c>
      <c r="F1130" s="11" t="str">
        <f>IF($B1130="","",RANK($E1130,$E$2:$E$1501)+COUNTIF($E$2:E1130,$E1130)-1)</f>
        <v/>
      </c>
      <c r="G1130" s="11" t="str">
        <f>IF($B1130="","",RANK($D1130,$D$2:$D$1501)+COUNTIF($D$2:D1130,$D1130)-1)</f>
        <v/>
      </c>
    </row>
    <row r="1131" spans="1:7">
      <c r="A1131" s="11">
        <v>1130</v>
      </c>
      <c r="B1131" s="11" t="str">
        <f>IFERROR(INDEX('Raw Data'!$R$2:$R$50000,MATCH(1130,'Raw Data'!$W$2:$W$50000,0)),"")</f>
        <v/>
      </c>
      <c r="C1131" s="11" t="str">
        <f t="shared" si="17"/>
        <v/>
      </c>
      <c r="D1131" s="11" t="str">
        <f>IF($B1131="","",COUNTIFS('Raw Data'!$R$2:$R$50000,$B1131))</f>
        <v/>
      </c>
      <c r="E1131" s="11" t="str">
        <f>IF($B1131="","",SUMIFS('Raw Data'!$I$2:$I$50000,'Raw Data'!$R$2:$R$50000,$B1131))</f>
        <v/>
      </c>
      <c r="F1131" s="11" t="str">
        <f>IF($B1131="","",RANK($E1131,$E$2:$E$1501)+COUNTIF($E$2:E1131,$E1131)-1)</f>
        <v/>
      </c>
      <c r="G1131" s="11" t="str">
        <f>IF($B1131="","",RANK($D1131,$D$2:$D$1501)+COUNTIF($D$2:D1131,$D1131)-1)</f>
        <v/>
      </c>
    </row>
    <row r="1132" spans="1:7">
      <c r="A1132" s="11">
        <v>1131</v>
      </c>
      <c r="B1132" s="11" t="str">
        <f>IFERROR(INDEX('Raw Data'!$R$2:$R$50000,MATCH(1131,'Raw Data'!$W$2:$W$50000,0)),"")</f>
        <v/>
      </c>
      <c r="C1132" s="11" t="str">
        <f t="shared" si="17"/>
        <v/>
      </c>
      <c r="D1132" s="11" t="str">
        <f>IF($B1132="","",COUNTIFS('Raw Data'!$R$2:$R$50000,$B1132))</f>
        <v/>
      </c>
      <c r="E1132" s="11" t="str">
        <f>IF($B1132="","",SUMIFS('Raw Data'!$I$2:$I$50000,'Raw Data'!$R$2:$R$50000,$B1132))</f>
        <v/>
      </c>
      <c r="F1132" s="11" t="str">
        <f>IF($B1132="","",RANK($E1132,$E$2:$E$1501)+COUNTIF($E$2:E1132,$E1132)-1)</f>
        <v/>
      </c>
      <c r="G1132" s="11" t="str">
        <f>IF($B1132="","",RANK($D1132,$D$2:$D$1501)+COUNTIF($D$2:D1132,$D1132)-1)</f>
        <v/>
      </c>
    </row>
    <row r="1133" spans="1:7">
      <c r="A1133" s="11">
        <v>1132</v>
      </c>
      <c r="B1133" s="11" t="str">
        <f>IFERROR(INDEX('Raw Data'!$R$2:$R$50000,MATCH(1132,'Raw Data'!$W$2:$W$50000,0)),"")</f>
        <v/>
      </c>
      <c r="C1133" s="11" t="str">
        <f t="shared" si="17"/>
        <v/>
      </c>
      <c r="D1133" s="11" t="str">
        <f>IF($B1133="","",COUNTIFS('Raw Data'!$R$2:$R$50000,$B1133))</f>
        <v/>
      </c>
      <c r="E1133" s="11" t="str">
        <f>IF($B1133="","",SUMIFS('Raw Data'!$I$2:$I$50000,'Raw Data'!$R$2:$R$50000,$B1133))</f>
        <v/>
      </c>
      <c r="F1133" s="11" t="str">
        <f>IF($B1133="","",RANK($E1133,$E$2:$E$1501)+COUNTIF($E$2:E1133,$E1133)-1)</f>
        <v/>
      </c>
      <c r="G1133" s="11" t="str">
        <f>IF($B1133="","",RANK($D1133,$D$2:$D$1501)+COUNTIF($D$2:D1133,$D1133)-1)</f>
        <v/>
      </c>
    </row>
    <row r="1134" spans="1:7">
      <c r="A1134" s="11">
        <v>1133</v>
      </c>
      <c r="B1134" s="11" t="str">
        <f>IFERROR(INDEX('Raw Data'!$R$2:$R$50000,MATCH(1133,'Raw Data'!$W$2:$W$50000,0)),"")</f>
        <v/>
      </c>
      <c r="C1134" s="11" t="str">
        <f t="shared" si="17"/>
        <v/>
      </c>
      <c r="D1134" s="11" t="str">
        <f>IF($B1134="","",COUNTIFS('Raw Data'!$R$2:$R$50000,$B1134))</f>
        <v/>
      </c>
      <c r="E1134" s="11" t="str">
        <f>IF($B1134="","",SUMIFS('Raw Data'!$I$2:$I$50000,'Raw Data'!$R$2:$R$50000,$B1134))</f>
        <v/>
      </c>
      <c r="F1134" s="11" t="str">
        <f>IF($B1134="","",RANK($E1134,$E$2:$E$1501)+COUNTIF($E$2:E1134,$E1134)-1)</f>
        <v/>
      </c>
      <c r="G1134" s="11" t="str">
        <f>IF($B1134="","",RANK($D1134,$D$2:$D$1501)+COUNTIF($D$2:D1134,$D1134)-1)</f>
        <v/>
      </c>
    </row>
    <row r="1135" spans="1:7">
      <c r="A1135" s="11">
        <v>1134</v>
      </c>
      <c r="B1135" s="11" t="str">
        <f>IFERROR(INDEX('Raw Data'!$R$2:$R$50000,MATCH(1134,'Raw Data'!$W$2:$W$50000,0)),"")</f>
        <v/>
      </c>
      <c r="C1135" s="11" t="str">
        <f t="shared" si="17"/>
        <v/>
      </c>
      <c r="D1135" s="11" t="str">
        <f>IF($B1135="","",COUNTIFS('Raw Data'!$R$2:$R$50000,$B1135))</f>
        <v/>
      </c>
      <c r="E1135" s="11" t="str">
        <f>IF($B1135="","",SUMIFS('Raw Data'!$I$2:$I$50000,'Raw Data'!$R$2:$R$50000,$B1135))</f>
        <v/>
      </c>
      <c r="F1135" s="11" t="str">
        <f>IF($B1135="","",RANK($E1135,$E$2:$E$1501)+COUNTIF($E$2:E1135,$E1135)-1)</f>
        <v/>
      </c>
      <c r="G1135" s="11" t="str">
        <f>IF($B1135="","",RANK($D1135,$D$2:$D$1501)+COUNTIF($D$2:D1135,$D1135)-1)</f>
        <v/>
      </c>
    </row>
    <row r="1136" spans="1:7">
      <c r="A1136" s="11">
        <v>1135</v>
      </c>
      <c r="B1136" s="11" t="str">
        <f>IFERROR(INDEX('Raw Data'!$R$2:$R$50000,MATCH(1135,'Raw Data'!$W$2:$W$50000,0)),"")</f>
        <v/>
      </c>
      <c r="C1136" s="11" t="str">
        <f t="shared" si="17"/>
        <v/>
      </c>
      <c r="D1136" s="11" t="str">
        <f>IF($B1136="","",COUNTIFS('Raw Data'!$R$2:$R$50000,$B1136))</f>
        <v/>
      </c>
      <c r="E1136" s="11" t="str">
        <f>IF($B1136="","",SUMIFS('Raw Data'!$I$2:$I$50000,'Raw Data'!$R$2:$R$50000,$B1136))</f>
        <v/>
      </c>
      <c r="F1136" s="11" t="str">
        <f>IF($B1136="","",RANK($E1136,$E$2:$E$1501)+COUNTIF($E$2:E1136,$E1136)-1)</f>
        <v/>
      </c>
      <c r="G1136" s="11" t="str">
        <f>IF($B1136="","",RANK($D1136,$D$2:$D$1501)+COUNTIF($D$2:D1136,$D1136)-1)</f>
        <v/>
      </c>
    </row>
    <row r="1137" spans="1:7">
      <c r="A1137" s="11">
        <v>1136</v>
      </c>
      <c r="B1137" s="11" t="str">
        <f>IFERROR(INDEX('Raw Data'!$R$2:$R$50000,MATCH(1136,'Raw Data'!$W$2:$W$50000,0)),"")</f>
        <v/>
      </c>
      <c r="C1137" s="11" t="str">
        <f t="shared" si="17"/>
        <v/>
      </c>
      <c r="D1137" s="11" t="str">
        <f>IF($B1137="","",COUNTIFS('Raw Data'!$R$2:$R$50000,$B1137))</f>
        <v/>
      </c>
      <c r="E1137" s="11" t="str">
        <f>IF($B1137="","",SUMIFS('Raw Data'!$I$2:$I$50000,'Raw Data'!$R$2:$R$50000,$B1137))</f>
        <v/>
      </c>
      <c r="F1137" s="11" t="str">
        <f>IF($B1137="","",RANK($E1137,$E$2:$E$1501)+COUNTIF($E$2:E1137,$E1137)-1)</f>
        <v/>
      </c>
      <c r="G1137" s="11" t="str">
        <f>IF($B1137="","",RANK($D1137,$D$2:$D$1501)+COUNTIF($D$2:D1137,$D1137)-1)</f>
        <v/>
      </c>
    </row>
    <row r="1138" spans="1:7">
      <c r="A1138" s="11">
        <v>1137</v>
      </c>
      <c r="B1138" s="11" t="str">
        <f>IFERROR(INDEX('Raw Data'!$R$2:$R$50000,MATCH(1137,'Raw Data'!$W$2:$W$50000,0)),"")</f>
        <v/>
      </c>
      <c r="C1138" s="11" t="str">
        <f t="shared" si="17"/>
        <v/>
      </c>
      <c r="D1138" s="11" t="str">
        <f>IF($B1138="","",COUNTIFS('Raw Data'!$R$2:$R$50000,$B1138))</f>
        <v/>
      </c>
      <c r="E1138" s="11" t="str">
        <f>IF($B1138="","",SUMIFS('Raw Data'!$I$2:$I$50000,'Raw Data'!$R$2:$R$50000,$B1138))</f>
        <v/>
      </c>
      <c r="F1138" s="11" t="str">
        <f>IF($B1138="","",RANK($E1138,$E$2:$E$1501)+COUNTIF($E$2:E1138,$E1138)-1)</f>
        <v/>
      </c>
      <c r="G1138" s="11" t="str">
        <f>IF($B1138="","",RANK($D1138,$D$2:$D$1501)+COUNTIF($D$2:D1138,$D1138)-1)</f>
        <v/>
      </c>
    </row>
    <row r="1139" spans="1:7">
      <c r="A1139" s="11">
        <v>1138</v>
      </c>
      <c r="B1139" s="11" t="str">
        <f>IFERROR(INDEX('Raw Data'!$R$2:$R$50000,MATCH(1138,'Raw Data'!$W$2:$W$50000,0)),"")</f>
        <v/>
      </c>
      <c r="C1139" s="11" t="str">
        <f t="shared" si="17"/>
        <v/>
      </c>
      <c r="D1139" s="11" t="str">
        <f>IF($B1139="","",COUNTIFS('Raw Data'!$R$2:$R$50000,$B1139))</f>
        <v/>
      </c>
      <c r="E1139" s="11" t="str">
        <f>IF($B1139="","",SUMIFS('Raw Data'!$I$2:$I$50000,'Raw Data'!$R$2:$R$50000,$B1139))</f>
        <v/>
      </c>
      <c r="F1139" s="11" t="str">
        <f>IF($B1139="","",RANK($E1139,$E$2:$E$1501)+COUNTIF($E$2:E1139,$E1139)-1)</f>
        <v/>
      </c>
      <c r="G1139" s="11" t="str">
        <f>IF($B1139="","",RANK($D1139,$D$2:$D$1501)+COUNTIF($D$2:D1139,$D1139)-1)</f>
        <v/>
      </c>
    </row>
    <row r="1140" spans="1:7">
      <c r="A1140" s="11">
        <v>1139</v>
      </c>
      <c r="B1140" s="11" t="str">
        <f>IFERROR(INDEX('Raw Data'!$R$2:$R$50000,MATCH(1139,'Raw Data'!$W$2:$W$50000,0)),"")</f>
        <v/>
      </c>
      <c r="C1140" s="11" t="str">
        <f t="shared" si="17"/>
        <v/>
      </c>
      <c r="D1140" s="11" t="str">
        <f>IF($B1140="","",COUNTIFS('Raw Data'!$R$2:$R$50000,$B1140))</f>
        <v/>
      </c>
      <c r="E1140" s="11" t="str">
        <f>IF($B1140="","",SUMIFS('Raw Data'!$I$2:$I$50000,'Raw Data'!$R$2:$R$50000,$B1140))</f>
        <v/>
      </c>
      <c r="F1140" s="11" t="str">
        <f>IF($B1140="","",RANK($E1140,$E$2:$E$1501)+COUNTIF($E$2:E1140,$E1140)-1)</f>
        <v/>
      </c>
      <c r="G1140" s="11" t="str">
        <f>IF($B1140="","",RANK($D1140,$D$2:$D$1501)+COUNTIF($D$2:D1140,$D1140)-1)</f>
        <v/>
      </c>
    </row>
    <row r="1141" spans="1:7">
      <c r="A1141" s="11">
        <v>1140</v>
      </c>
      <c r="B1141" s="11" t="str">
        <f>IFERROR(INDEX('Raw Data'!$R$2:$R$50000,MATCH(1140,'Raw Data'!$W$2:$W$50000,0)),"")</f>
        <v/>
      </c>
      <c r="C1141" s="11" t="str">
        <f t="shared" si="17"/>
        <v/>
      </c>
      <c r="D1141" s="11" t="str">
        <f>IF($B1141="","",COUNTIFS('Raw Data'!$R$2:$R$50000,$B1141))</f>
        <v/>
      </c>
      <c r="E1141" s="11" t="str">
        <f>IF($B1141="","",SUMIFS('Raw Data'!$I$2:$I$50000,'Raw Data'!$R$2:$R$50000,$B1141))</f>
        <v/>
      </c>
      <c r="F1141" s="11" t="str">
        <f>IF($B1141="","",RANK($E1141,$E$2:$E$1501)+COUNTIF($E$2:E1141,$E1141)-1)</f>
        <v/>
      </c>
      <c r="G1141" s="11" t="str">
        <f>IF($B1141="","",RANK($D1141,$D$2:$D$1501)+COUNTIF($D$2:D1141,$D1141)-1)</f>
        <v/>
      </c>
    </row>
    <row r="1142" spans="1:7">
      <c r="A1142" s="11">
        <v>1141</v>
      </c>
      <c r="B1142" s="11" t="str">
        <f>IFERROR(INDEX('Raw Data'!$R$2:$R$50000,MATCH(1141,'Raw Data'!$W$2:$W$50000,0)),"")</f>
        <v/>
      </c>
      <c r="C1142" s="11" t="str">
        <f t="shared" si="17"/>
        <v/>
      </c>
      <c r="D1142" s="11" t="str">
        <f>IF($B1142="","",COUNTIFS('Raw Data'!$R$2:$R$50000,$B1142))</f>
        <v/>
      </c>
      <c r="E1142" s="11" t="str">
        <f>IF($B1142="","",SUMIFS('Raw Data'!$I$2:$I$50000,'Raw Data'!$R$2:$R$50000,$B1142))</f>
        <v/>
      </c>
      <c r="F1142" s="11" t="str">
        <f>IF($B1142="","",RANK($E1142,$E$2:$E$1501)+COUNTIF($E$2:E1142,$E1142)-1)</f>
        <v/>
      </c>
      <c r="G1142" s="11" t="str">
        <f>IF($B1142="","",RANK($D1142,$D$2:$D$1501)+COUNTIF($D$2:D1142,$D1142)-1)</f>
        <v/>
      </c>
    </row>
    <row r="1143" spans="1:7">
      <c r="A1143" s="11">
        <v>1142</v>
      </c>
      <c r="B1143" s="11" t="str">
        <f>IFERROR(INDEX('Raw Data'!$R$2:$R$50000,MATCH(1142,'Raw Data'!$W$2:$W$50000,0)),"")</f>
        <v/>
      </c>
      <c r="C1143" s="11" t="str">
        <f t="shared" si="17"/>
        <v/>
      </c>
      <c r="D1143" s="11" t="str">
        <f>IF($B1143="","",COUNTIFS('Raw Data'!$R$2:$R$50000,$B1143))</f>
        <v/>
      </c>
      <c r="E1143" s="11" t="str">
        <f>IF($B1143="","",SUMIFS('Raw Data'!$I$2:$I$50000,'Raw Data'!$R$2:$R$50000,$B1143))</f>
        <v/>
      </c>
      <c r="F1143" s="11" t="str">
        <f>IF($B1143="","",RANK($E1143,$E$2:$E$1501)+COUNTIF($E$2:E1143,$E1143)-1)</f>
        <v/>
      </c>
      <c r="G1143" s="11" t="str">
        <f>IF($B1143="","",RANK($D1143,$D$2:$D$1501)+COUNTIF($D$2:D1143,$D1143)-1)</f>
        <v/>
      </c>
    </row>
    <row r="1144" spans="1:7">
      <c r="A1144" s="11">
        <v>1143</v>
      </c>
      <c r="B1144" s="11" t="str">
        <f>IFERROR(INDEX('Raw Data'!$R$2:$R$50000,MATCH(1143,'Raw Data'!$W$2:$W$50000,0)),"")</f>
        <v/>
      </c>
      <c r="C1144" s="11" t="str">
        <f t="shared" si="17"/>
        <v/>
      </c>
      <c r="D1144" s="11" t="str">
        <f>IF($B1144="","",COUNTIFS('Raw Data'!$R$2:$R$50000,$B1144))</f>
        <v/>
      </c>
      <c r="E1144" s="11" t="str">
        <f>IF($B1144="","",SUMIFS('Raw Data'!$I$2:$I$50000,'Raw Data'!$R$2:$R$50000,$B1144))</f>
        <v/>
      </c>
      <c r="F1144" s="11" t="str">
        <f>IF($B1144="","",RANK($E1144,$E$2:$E$1501)+COUNTIF($E$2:E1144,$E1144)-1)</f>
        <v/>
      </c>
      <c r="G1144" s="11" t="str">
        <f>IF($B1144="","",RANK($D1144,$D$2:$D$1501)+COUNTIF($D$2:D1144,$D1144)-1)</f>
        <v/>
      </c>
    </row>
    <row r="1145" spans="1:7">
      <c r="A1145" s="11">
        <v>1144</v>
      </c>
      <c r="B1145" s="11" t="str">
        <f>IFERROR(INDEX('Raw Data'!$R$2:$R$50000,MATCH(1144,'Raw Data'!$W$2:$W$50000,0)),"")</f>
        <v/>
      </c>
      <c r="C1145" s="11" t="str">
        <f t="shared" si="17"/>
        <v/>
      </c>
      <c r="D1145" s="11" t="str">
        <f>IF($B1145="","",COUNTIFS('Raw Data'!$R$2:$R$50000,$B1145))</f>
        <v/>
      </c>
      <c r="E1145" s="11" t="str">
        <f>IF($B1145="","",SUMIFS('Raw Data'!$I$2:$I$50000,'Raw Data'!$R$2:$R$50000,$B1145))</f>
        <v/>
      </c>
      <c r="F1145" s="11" t="str">
        <f>IF($B1145="","",RANK($E1145,$E$2:$E$1501)+COUNTIF($E$2:E1145,$E1145)-1)</f>
        <v/>
      </c>
      <c r="G1145" s="11" t="str">
        <f>IF($B1145="","",RANK($D1145,$D$2:$D$1501)+COUNTIF($D$2:D1145,$D1145)-1)</f>
        <v/>
      </c>
    </row>
    <row r="1146" spans="1:7">
      <c r="A1146" s="11">
        <v>1145</v>
      </c>
      <c r="B1146" s="11" t="str">
        <f>IFERROR(INDEX('Raw Data'!$R$2:$R$50000,MATCH(1145,'Raw Data'!$W$2:$W$50000,0)),"")</f>
        <v/>
      </c>
      <c r="C1146" s="11" t="str">
        <f t="shared" si="17"/>
        <v/>
      </c>
      <c r="D1146" s="11" t="str">
        <f>IF($B1146="","",COUNTIFS('Raw Data'!$R$2:$R$50000,$B1146))</f>
        <v/>
      </c>
      <c r="E1146" s="11" t="str">
        <f>IF($B1146="","",SUMIFS('Raw Data'!$I$2:$I$50000,'Raw Data'!$R$2:$R$50000,$B1146))</f>
        <v/>
      </c>
      <c r="F1146" s="11" t="str">
        <f>IF($B1146="","",RANK($E1146,$E$2:$E$1501)+COUNTIF($E$2:E1146,$E1146)-1)</f>
        <v/>
      </c>
      <c r="G1146" s="11" t="str">
        <f>IF($B1146="","",RANK($D1146,$D$2:$D$1501)+COUNTIF($D$2:D1146,$D1146)-1)</f>
        <v/>
      </c>
    </row>
    <row r="1147" spans="1:7">
      <c r="A1147" s="11">
        <v>1146</v>
      </c>
      <c r="B1147" s="11" t="str">
        <f>IFERROR(INDEX('Raw Data'!$R$2:$R$50000,MATCH(1146,'Raw Data'!$W$2:$W$50000,0)),"")</f>
        <v/>
      </c>
      <c r="C1147" s="11" t="str">
        <f t="shared" si="17"/>
        <v/>
      </c>
      <c r="D1147" s="11" t="str">
        <f>IF($B1147="","",COUNTIFS('Raw Data'!$R$2:$R$50000,$B1147))</f>
        <v/>
      </c>
      <c r="E1147" s="11" t="str">
        <f>IF($B1147="","",SUMIFS('Raw Data'!$I$2:$I$50000,'Raw Data'!$R$2:$R$50000,$B1147))</f>
        <v/>
      </c>
      <c r="F1147" s="11" t="str">
        <f>IF($B1147="","",RANK($E1147,$E$2:$E$1501)+COUNTIF($E$2:E1147,$E1147)-1)</f>
        <v/>
      </c>
      <c r="G1147" s="11" t="str">
        <f>IF($B1147="","",RANK($D1147,$D$2:$D$1501)+COUNTIF($D$2:D1147,$D1147)-1)</f>
        <v/>
      </c>
    </row>
    <row r="1148" spans="1:7">
      <c r="A1148" s="11">
        <v>1147</v>
      </c>
      <c r="B1148" s="11" t="str">
        <f>IFERROR(INDEX('Raw Data'!$R$2:$R$50000,MATCH(1147,'Raw Data'!$W$2:$W$50000,0)),"")</f>
        <v/>
      </c>
      <c r="C1148" s="11" t="str">
        <f t="shared" si="17"/>
        <v/>
      </c>
      <c r="D1148" s="11" t="str">
        <f>IF($B1148="","",COUNTIFS('Raw Data'!$R$2:$R$50000,$B1148))</f>
        <v/>
      </c>
      <c r="E1148" s="11" t="str">
        <f>IF($B1148="","",SUMIFS('Raw Data'!$I$2:$I$50000,'Raw Data'!$R$2:$R$50000,$B1148))</f>
        <v/>
      </c>
      <c r="F1148" s="11" t="str">
        <f>IF($B1148="","",RANK($E1148,$E$2:$E$1501)+COUNTIF($E$2:E1148,$E1148)-1)</f>
        <v/>
      </c>
      <c r="G1148" s="11" t="str">
        <f>IF($B1148="","",RANK($D1148,$D$2:$D$1501)+COUNTIF($D$2:D1148,$D1148)-1)</f>
        <v/>
      </c>
    </row>
    <row r="1149" spans="1:7">
      <c r="A1149" s="11">
        <v>1148</v>
      </c>
      <c r="B1149" s="11" t="str">
        <f>IFERROR(INDEX('Raw Data'!$R$2:$R$50000,MATCH(1148,'Raw Data'!$W$2:$W$50000,0)),"")</f>
        <v/>
      </c>
      <c r="C1149" s="11" t="str">
        <f t="shared" si="17"/>
        <v/>
      </c>
      <c r="D1149" s="11" t="str">
        <f>IF($B1149="","",COUNTIFS('Raw Data'!$R$2:$R$50000,$B1149))</f>
        <v/>
      </c>
      <c r="E1149" s="11" t="str">
        <f>IF($B1149="","",SUMIFS('Raw Data'!$I$2:$I$50000,'Raw Data'!$R$2:$R$50000,$B1149))</f>
        <v/>
      </c>
      <c r="F1149" s="11" t="str">
        <f>IF($B1149="","",RANK($E1149,$E$2:$E$1501)+COUNTIF($E$2:E1149,$E1149)-1)</f>
        <v/>
      </c>
      <c r="G1149" s="11" t="str">
        <f>IF($B1149="","",RANK($D1149,$D$2:$D$1501)+COUNTIF($D$2:D1149,$D1149)-1)</f>
        <v/>
      </c>
    </row>
    <row r="1150" spans="1:7">
      <c r="A1150" s="11">
        <v>1149</v>
      </c>
      <c r="B1150" s="11" t="str">
        <f>IFERROR(INDEX('Raw Data'!$R$2:$R$50000,MATCH(1149,'Raw Data'!$W$2:$W$50000,0)),"")</f>
        <v/>
      </c>
      <c r="C1150" s="11" t="str">
        <f t="shared" si="17"/>
        <v/>
      </c>
      <c r="D1150" s="11" t="str">
        <f>IF($B1150="","",COUNTIFS('Raw Data'!$R$2:$R$50000,$B1150))</f>
        <v/>
      </c>
      <c r="E1150" s="11" t="str">
        <f>IF($B1150="","",SUMIFS('Raw Data'!$I$2:$I$50000,'Raw Data'!$R$2:$R$50000,$B1150))</f>
        <v/>
      </c>
      <c r="F1150" s="11" t="str">
        <f>IF($B1150="","",RANK($E1150,$E$2:$E$1501)+COUNTIF($E$2:E1150,$E1150)-1)</f>
        <v/>
      </c>
      <c r="G1150" s="11" t="str">
        <f>IF($B1150="","",RANK($D1150,$D$2:$D$1501)+COUNTIF($D$2:D1150,$D1150)-1)</f>
        <v/>
      </c>
    </row>
    <row r="1151" spans="1:7">
      <c r="A1151" s="11">
        <v>1150</v>
      </c>
      <c r="B1151" s="11" t="str">
        <f>IFERROR(INDEX('Raw Data'!$R$2:$R$50000,MATCH(1150,'Raw Data'!$W$2:$W$50000,0)),"")</f>
        <v/>
      </c>
      <c r="C1151" s="11" t="str">
        <f t="shared" si="17"/>
        <v/>
      </c>
      <c r="D1151" s="11" t="str">
        <f>IF($B1151="","",COUNTIFS('Raw Data'!$R$2:$R$50000,$B1151))</f>
        <v/>
      </c>
      <c r="E1151" s="11" t="str">
        <f>IF($B1151="","",SUMIFS('Raw Data'!$I$2:$I$50000,'Raw Data'!$R$2:$R$50000,$B1151))</f>
        <v/>
      </c>
      <c r="F1151" s="11" t="str">
        <f>IF($B1151="","",RANK($E1151,$E$2:$E$1501)+COUNTIF($E$2:E1151,$E1151)-1)</f>
        <v/>
      </c>
      <c r="G1151" s="11" t="str">
        <f>IF($B1151="","",RANK($D1151,$D$2:$D$1501)+COUNTIF($D$2:D1151,$D1151)-1)</f>
        <v/>
      </c>
    </row>
    <row r="1152" spans="1:7">
      <c r="A1152" s="11">
        <v>1151</v>
      </c>
      <c r="B1152" s="11" t="str">
        <f>IFERROR(INDEX('Raw Data'!$R$2:$R$50000,MATCH(1151,'Raw Data'!$W$2:$W$50000,0)),"")</f>
        <v/>
      </c>
      <c r="C1152" s="11" t="str">
        <f t="shared" si="17"/>
        <v/>
      </c>
      <c r="D1152" s="11" t="str">
        <f>IF($B1152="","",COUNTIFS('Raw Data'!$R$2:$R$50000,$B1152))</f>
        <v/>
      </c>
      <c r="E1152" s="11" t="str">
        <f>IF($B1152="","",SUMIFS('Raw Data'!$I$2:$I$50000,'Raw Data'!$R$2:$R$50000,$B1152))</f>
        <v/>
      </c>
      <c r="F1152" s="11" t="str">
        <f>IF($B1152="","",RANK($E1152,$E$2:$E$1501)+COUNTIF($E$2:E1152,$E1152)-1)</f>
        <v/>
      </c>
      <c r="G1152" s="11" t="str">
        <f>IF($B1152="","",RANK($D1152,$D$2:$D$1501)+COUNTIF($D$2:D1152,$D1152)-1)</f>
        <v/>
      </c>
    </row>
    <row r="1153" spans="1:7">
      <c r="A1153" s="11">
        <v>1152</v>
      </c>
      <c r="B1153" s="11" t="str">
        <f>IFERROR(INDEX('Raw Data'!$R$2:$R$50000,MATCH(1152,'Raw Data'!$W$2:$W$50000,0)),"")</f>
        <v/>
      </c>
      <c r="C1153" s="11" t="str">
        <f t="shared" si="17"/>
        <v/>
      </c>
      <c r="D1153" s="11" t="str">
        <f>IF($B1153="","",COUNTIFS('Raw Data'!$R$2:$R$50000,$B1153))</f>
        <v/>
      </c>
      <c r="E1153" s="11" t="str">
        <f>IF($B1153="","",SUMIFS('Raw Data'!$I$2:$I$50000,'Raw Data'!$R$2:$R$50000,$B1153))</f>
        <v/>
      </c>
      <c r="F1153" s="11" t="str">
        <f>IF($B1153="","",RANK($E1153,$E$2:$E$1501)+COUNTIF($E$2:E1153,$E1153)-1)</f>
        <v/>
      </c>
      <c r="G1153" s="11" t="str">
        <f>IF($B1153="","",RANK($D1153,$D$2:$D$1501)+COUNTIF($D$2:D1153,$D1153)-1)</f>
        <v/>
      </c>
    </row>
    <row r="1154" spans="1:7">
      <c r="A1154" s="11">
        <v>1153</v>
      </c>
      <c r="B1154" s="11" t="str">
        <f>IFERROR(INDEX('Raw Data'!$R$2:$R$50000,MATCH(1153,'Raw Data'!$W$2:$W$50000,0)),"")</f>
        <v/>
      </c>
      <c r="C1154" s="11" t="str">
        <f t="shared" ref="C1154:C1217" si="18">IF($B1154="","",$B1154)</f>
        <v/>
      </c>
      <c r="D1154" s="11" t="str">
        <f>IF($B1154="","",COUNTIFS('Raw Data'!$R$2:$R$50000,$B1154))</f>
        <v/>
      </c>
      <c r="E1154" s="11" t="str">
        <f>IF($B1154="","",SUMIFS('Raw Data'!$I$2:$I$50000,'Raw Data'!$R$2:$R$50000,$B1154))</f>
        <v/>
      </c>
      <c r="F1154" s="11" t="str">
        <f>IF($B1154="","",RANK($E1154,$E$2:$E$1501)+COUNTIF($E$2:E1154,$E1154)-1)</f>
        <v/>
      </c>
      <c r="G1154" s="11" t="str">
        <f>IF($B1154="","",RANK($D1154,$D$2:$D$1501)+COUNTIF($D$2:D1154,$D1154)-1)</f>
        <v/>
      </c>
    </row>
    <row r="1155" spans="1:7">
      <c r="A1155" s="11">
        <v>1154</v>
      </c>
      <c r="B1155" s="11" t="str">
        <f>IFERROR(INDEX('Raw Data'!$R$2:$R$50000,MATCH(1154,'Raw Data'!$W$2:$W$50000,0)),"")</f>
        <v/>
      </c>
      <c r="C1155" s="11" t="str">
        <f t="shared" si="18"/>
        <v/>
      </c>
      <c r="D1155" s="11" t="str">
        <f>IF($B1155="","",COUNTIFS('Raw Data'!$R$2:$R$50000,$B1155))</f>
        <v/>
      </c>
      <c r="E1155" s="11" t="str">
        <f>IF($B1155="","",SUMIFS('Raw Data'!$I$2:$I$50000,'Raw Data'!$R$2:$R$50000,$B1155))</f>
        <v/>
      </c>
      <c r="F1155" s="11" t="str">
        <f>IF($B1155="","",RANK($E1155,$E$2:$E$1501)+COUNTIF($E$2:E1155,$E1155)-1)</f>
        <v/>
      </c>
      <c r="G1155" s="11" t="str">
        <f>IF($B1155="","",RANK($D1155,$D$2:$D$1501)+COUNTIF($D$2:D1155,$D1155)-1)</f>
        <v/>
      </c>
    </row>
    <row r="1156" spans="1:7">
      <c r="A1156" s="11">
        <v>1155</v>
      </c>
      <c r="B1156" s="11" t="str">
        <f>IFERROR(INDEX('Raw Data'!$R$2:$R$50000,MATCH(1155,'Raw Data'!$W$2:$W$50000,0)),"")</f>
        <v/>
      </c>
      <c r="C1156" s="11" t="str">
        <f t="shared" si="18"/>
        <v/>
      </c>
      <c r="D1156" s="11" t="str">
        <f>IF($B1156="","",COUNTIFS('Raw Data'!$R$2:$R$50000,$B1156))</f>
        <v/>
      </c>
      <c r="E1156" s="11" t="str">
        <f>IF($B1156="","",SUMIFS('Raw Data'!$I$2:$I$50000,'Raw Data'!$R$2:$R$50000,$B1156))</f>
        <v/>
      </c>
      <c r="F1156" s="11" t="str">
        <f>IF($B1156="","",RANK($E1156,$E$2:$E$1501)+COUNTIF($E$2:E1156,$E1156)-1)</f>
        <v/>
      </c>
      <c r="G1156" s="11" t="str">
        <f>IF($B1156="","",RANK($D1156,$D$2:$D$1501)+COUNTIF($D$2:D1156,$D1156)-1)</f>
        <v/>
      </c>
    </row>
    <row r="1157" spans="1:7">
      <c r="A1157" s="11">
        <v>1156</v>
      </c>
      <c r="B1157" s="11" t="str">
        <f>IFERROR(INDEX('Raw Data'!$R$2:$R$50000,MATCH(1156,'Raw Data'!$W$2:$W$50000,0)),"")</f>
        <v/>
      </c>
      <c r="C1157" s="11" t="str">
        <f t="shared" si="18"/>
        <v/>
      </c>
      <c r="D1157" s="11" t="str">
        <f>IF($B1157="","",COUNTIFS('Raw Data'!$R$2:$R$50000,$B1157))</f>
        <v/>
      </c>
      <c r="E1157" s="11" t="str">
        <f>IF($B1157="","",SUMIFS('Raw Data'!$I$2:$I$50000,'Raw Data'!$R$2:$R$50000,$B1157))</f>
        <v/>
      </c>
      <c r="F1157" s="11" t="str">
        <f>IF($B1157="","",RANK($E1157,$E$2:$E$1501)+COUNTIF($E$2:E1157,$E1157)-1)</f>
        <v/>
      </c>
      <c r="G1157" s="11" t="str">
        <f>IF($B1157="","",RANK($D1157,$D$2:$D$1501)+COUNTIF($D$2:D1157,$D1157)-1)</f>
        <v/>
      </c>
    </row>
    <row r="1158" spans="1:7">
      <c r="A1158" s="11">
        <v>1157</v>
      </c>
      <c r="B1158" s="11" t="str">
        <f>IFERROR(INDEX('Raw Data'!$R$2:$R$50000,MATCH(1157,'Raw Data'!$W$2:$W$50000,0)),"")</f>
        <v/>
      </c>
      <c r="C1158" s="11" t="str">
        <f t="shared" si="18"/>
        <v/>
      </c>
      <c r="D1158" s="11" t="str">
        <f>IF($B1158="","",COUNTIFS('Raw Data'!$R$2:$R$50000,$B1158))</f>
        <v/>
      </c>
      <c r="E1158" s="11" t="str">
        <f>IF($B1158="","",SUMIFS('Raw Data'!$I$2:$I$50000,'Raw Data'!$R$2:$R$50000,$B1158))</f>
        <v/>
      </c>
      <c r="F1158" s="11" t="str">
        <f>IF($B1158="","",RANK($E1158,$E$2:$E$1501)+COUNTIF($E$2:E1158,$E1158)-1)</f>
        <v/>
      </c>
      <c r="G1158" s="11" t="str">
        <f>IF($B1158="","",RANK($D1158,$D$2:$D$1501)+COUNTIF($D$2:D1158,$D1158)-1)</f>
        <v/>
      </c>
    </row>
    <row r="1159" spans="1:7">
      <c r="A1159" s="11">
        <v>1158</v>
      </c>
      <c r="B1159" s="11" t="str">
        <f>IFERROR(INDEX('Raw Data'!$R$2:$R$50000,MATCH(1158,'Raw Data'!$W$2:$W$50000,0)),"")</f>
        <v/>
      </c>
      <c r="C1159" s="11" t="str">
        <f t="shared" si="18"/>
        <v/>
      </c>
      <c r="D1159" s="11" t="str">
        <f>IF($B1159="","",COUNTIFS('Raw Data'!$R$2:$R$50000,$B1159))</f>
        <v/>
      </c>
      <c r="E1159" s="11" t="str">
        <f>IF($B1159="","",SUMIFS('Raw Data'!$I$2:$I$50000,'Raw Data'!$R$2:$R$50000,$B1159))</f>
        <v/>
      </c>
      <c r="F1159" s="11" t="str">
        <f>IF($B1159="","",RANK($E1159,$E$2:$E$1501)+COUNTIF($E$2:E1159,$E1159)-1)</f>
        <v/>
      </c>
      <c r="G1159" s="11" t="str">
        <f>IF($B1159="","",RANK($D1159,$D$2:$D$1501)+COUNTIF($D$2:D1159,$D1159)-1)</f>
        <v/>
      </c>
    </row>
    <row r="1160" spans="1:7">
      <c r="A1160" s="11">
        <v>1159</v>
      </c>
      <c r="B1160" s="11" t="str">
        <f>IFERROR(INDEX('Raw Data'!$R$2:$R$50000,MATCH(1159,'Raw Data'!$W$2:$W$50000,0)),"")</f>
        <v/>
      </c>
      <c r="C1160" s="11" t="str">
        <f t="shared" si="18"/>
        <v/>
      </c>
      <c r="D1160" s="11" t="str">
        <f>IF($B1160="","",COUNTIFS('Raw Data'!$R$2:$R$50000,$B1160))</f>
        <v/>
      </c>
      <c r="E1160" s="11" t="str">
        <f>IF($B1160="","",SUMIFS('Raw Data'!$I$2:$I$50000,'Raw Data'!$R$2:$R$50000,$B1160))</f>
        <v/>
      </c>
      <c r="F1160" s="11" t="str">
        <f>IF($B1160="","",RANK($E1160,$E$2:$E$1501)+COUNTIF($E$2:E1160,$E1160)-1)</f>
        <v/>
      </c>
      <c r="G1160" s="11" t="str">
        <f>IF($B1160="","",RANK($D1160,$D$2:$D$1501)+COUNTIF($D$2:D1160,$D1160)-1)</f>
        <v/>
      </c>
    </row>
    <row r="1161" spans="1:7">
      <c r="A1161" s="11">
        <v>1160</v>
      </c>
      <c r="B1161" s="11" t="str">
        <f>IFERROR(INDEX('Raw Data'!$R$2:$R$50000,MATCH(1160,'Raw Data'!$W$2:$W$50000,0)),"")</f>
        <v/>
      </c>
      <c r="C1161" s="11" t="str">
        <f t="shared" si="18"/>
        <v/>
      </c>
      <c r="D1161" s="11" t="str">
        <f>IF($B1161="","",COUNTIFS('Raw Data'!$R$2:$R$50000,$B1161))</f>
        <v/>
      </c>
      <c r="E1161" s="11" t="str">
        <f>IF($B1161="","",SUMIFS('Raw Data'!$I$2:$I$50000,'Raw Data'!$R$2:$R$50000,$B1161))</f>
        <v/>
      </c>
      <c r="F1161" s="11" t="str">
        <f>IF($B1161="","",RANK($E1161,$E$2:$E$1501)+COUNTIF($E$2:E1161,$E1161)-1)</f>
        <v/>
      </c>
      <c r="G1161" s="11" t="str">
        <f>IF($B1161="","",RANK($D1161,$D$2:$D$1501)+COUNTIF($D$2:D1161,$D1161)-1)</f>
        <v/>
      </c>
    </row>
    <row r="1162" spans="1:7">
      <c r="A1162" s="11">
        <v>1161</v>
      </c>
      <c r="B1162" s="11" t="str">
        <f>IFERROR(INDEX('Raw Data'!$R$2:$R$50000,MATCH(1161,'Raw Data'!$W$2:$W$50000,0)),"")</f>
        <v/>
      </c>
      <c r="C1162" s="11" t="str">
        <f t="shared" si="18"/>
        <v/>
      </c>
      <c r="D1162" s="11" t="str">
        <f>IF($B1162="","",COUNTIFS('Raw Data'!$R$2:$R$50000,$B1162))</f>
        <v/>
      </c>
      <c r="E1162" s="11" t="str">
        <f>IF($B1162="","",SUMIFS('Raw Data'!$I$2:$I$50000,'Raw Data'!$R$2:$R$50000,$B1162))</f>
        <v/>
      </c>
      <c r="F1162" s="11" t="str">
        <f>IF($B1162="","",RANK($E1162,$E$2:$E$1501)+COUNTIF($E$2:E1162,$E1162)-1)</f>
        <v/>
      </c>
      <c r="G1162" s="11" t="str">
        <f>IF($B1162="","",RANK($D1162,$D$2:$D$1501)+COUNTIF($D$2:D1162,$D1162)-1)</f>
        <v/>
      </c>
    </row>
    <row r="1163" spans="1:7">
      <c r="A1163" s="11">
        <v>1162</v>
      </c>
      <c r="B1163" s="11" t="str">
        <f>IFERROR(INDEX('Raw Data'!$R$2:$R$50000,MATCH(1162,'Raw Data'!$W$2:$W$50000,0)),"")</f>
        <v/>
      </c>
      <c r="C1163" s="11" t="str">
        <f t="shared" si="18"/>
        <v/>
      </c>
      <c r="D1163" s="11" t="str">
        <f>IF($B1163="","",COUNTIFS('Raw Data'!$R$2:$R$50000,$B1163))</f>
        <v/>
      </c>
      <c r="E1163" s="11" t="str">
        <f>IF($B1163="","",SUMIFS('Raw Data'!$I$2:$I$50000,'Raw Data'!$R$2:$R$50000,$B1163))</f>
        <v/>
      </c>
      <c r="F1163" s="11" t="str">
        <f>IF($B1163="","",RANK($E1163,$E$2:$E$1501)+COUNTIF($E$2:E1163,$E1163)-1)</f>
        <v/>
      </c>
      <c r="G1163" s="11" t="str">
        <f>IF($B1163="","",RANK($D1163,$D$2:$D$1501)+COUNTIF($D$2:D1163,$D1163)-1)</f>
        <v/>
      </c>
    </row>
    <row r="1164" spans="1:7">
      <c r="A1164" s="11">
        <v>1163</v>
      </c>
      <c r="B1164" s="11" t="str">
        <f>IFERROR(INDEX('Raw Data'!$R$2:$R$50000,MATCH(1163,'Raw Data'!$W$2:$W$50000,0)),"")</f>
        <v/>
      </c>
      <c r="C1164" s="11" t="str">
        <f t="shared" si="18"/>
        <v/>
      </c>
      <c r="D1164" s="11" t="str">
        <f>IF($B1164="","",COUNTIFS('Raw Data'!$R$2:$R$50000,$B1164))</f>
        <v/>
      </c>
      <c r="E1164" s="11" t="str">
        <f>IF($B1164="","",SUMIFS('Raw Data'!$I$2:$I$50000,'Raw Data'!$R$2:$R$50000,$B1164))</f>
        <v/>
      </c>
      <c r="F1164" s="11" t="str">
        <f>IF($B1164="","",RANK($E1164,$E$2:$E$1501)+COUNTIF($E$2:E1164,$E1164)-1)</f>
        <v/>
      </c>
      <c r="G1164" s="11" t="str">
        <f>IF($B1164="","",RANK($D1164,$D$2:$D$1501)+COUNTIF($D$2:D1164,$D1164)-1)</f>
        <v/>
      </c>
    </row>
    <row r="1165" spans="1:7">
      <c r="A1165" s="11">
        <v>1164</v>
      </c>
      <c r="B1165" s="11" t="str">
        <f>IFERROR(INDEX('Raw Data'!$R$2:$R$50000,MATCH(1164,'Raw Data'!$W$2:$W$50000,0)),"")</f>
        <v/>
      </c>
      <c r="C1165" s="11" t="str">
        <f t="shared" si="18"/>
        <v/>
      </c>
      <c r="D1165" s="11" t="str">
        <f>IF($B1165="","",COUNTIFS('Raw Data'!$R$2:$R$50000,$B1165))</f>
        <v/>
      </c>
      <c r="E1165" s="11" t="str">
        <f>IF($B1165="","",SUMIFS('Raw Data'!$I$2:$I$50000,'Raw Data'!$R$2:$R$50000,$B1165))</f>
        <v/>
      </c>
      <c r="F1165" s="11" t="str">
        <f>IF($B1165="","",RANK($E1165,$E$2:$E$1501)+COUNTIF($E$2:E1165,$E1165)-1)</f>
        <v/>
      </c>
      <c r="G1165" s="11" t="str">
        <f>IF($B1165="","",RANK($D1165,$D$2:$D$1501)+COUNTIF($D$2:D1165,$D1165)-1)</f>
        <v/>
      </c>
    </row>
    <row r="1166" spans="1:7">
      <c r="A1166" s="11">
        <v>1165</v>
      </c>
      <c r="B1166" s="11" t="str">
        <f>IFERROR(INDEX('Raw Data'!$R$2:$R$50000,MATCH(1165,'Raw Data'!$W$2:$W$50000,0)),"")</f>
        <v/>
      </c>
      <c r="C1166" s="11" t="str">
        <f t="shared" si="18"/>
        <v/>
      </c>
      <c r="D1166" s="11" t="str">
        <f>IF($B1166="","",COUNTIFS('Raw Data'!$R$2:$R$50000,$B1166))</f>
        <v/>
      </c>
      <c r="E1166" s="11" t="str">
        <f>IF($B1166="","",SUMIFS('Raw Data'!$I$2:$I$50000,'Raw Data'!$R$2:$R$50000,$B1166))</f>
        <v/>
      </c>
      <c r="F1166" s="11" t="str">
        <f>IF($B1166="","",RANK($E1166,$E$2:$E$1501)+COUNTIF($E$2:E1166,$E1166)-1)</f>
        <v/>
      </c>
      <c r="G1166" s="11" t="str">
        <f>IF($B1166="","",RANK($D1166,$D$2:$D$1501)+COUNTIF($D$2:D1166,$D1166)-1)</f>
        <v/>
      </c>
    </row>
    <row r="1167" spans="1:7">
      <c r="A1167" s="11">
        <v>1166</v>
      </c>
      <c r="B1167" s="11" t="str">
        <f>IFERROR(INDEX('Raw Data'!$R$2:$R$50000,MATCH(1166,'Raw Data'!$W$2:$W$50000,0)),"")</f>
        <v/>
      </c>
      <c r="C1167" s="11" t="str">
        <f t="shared" si="18"/>
        <v/>
      </c>
      <c r="D1167" s="11" t="str">
        <f>IF($B1167="","",COUNTIFS('Raw Data'!$R$2:$R$50000,$B1167))</f>
        <v/>
      </c>
      <c r="E1167" s="11" t="str">
        <f>IF($B1167="","",SUMIFS('Raw Data'!$I$2:$I$50000,'Raw Data'!$R$2:$R$50000,$B1167))</f>
        <v/>
      </c>
      <c r="F1167" s="11" t="str">
        <f>IF($B1167="","",RANK($E1167,$E$2:$E$1501)+COUNTIF($E$2:E1167,$E1167)-1)</f>
        <v/>
      </c>
      <c r="G1167" s="11" t="str">
        <f>IF($B1167="","",RANK($D1167,$D$2:$D$1501)+COUNTIF($D$2:D1167,$D1167)-1)</f>
        <v/>
      </c>
    </row>
    <row r="1168" spans="1:7">
      <c r="A1168" s="11">
        <v>1167</v>
      </c>
      <c r="B1168" s="11" t="str">
        <f>IFERROR(INDEX('Raw Data'!$R$2:$R$50000,MATCH(1167,'Raw Data'!$W$2:$W$50000,0)),"")</f>
        <v/>
      </c>
      <c r="C1168" s="11" t="str">
        <f t="shared" si="18"/>
        <v/>
      </c>
      <c r="D1168" s="11" t="str">
        <f>IF($B1168="","",COUNTIFS('Raw Data'!$R$2:$R$50000,$B1168))</f>
        <v/>
      </c>
      <c r="E1168" s="11" t="str">
        <f>IF($B1168="","",SUMIFS('Raw Data'!$I$2:$I$50000,'Raw Data'!$R$2:$R$50000,$B1168))</f>
        <v/>
      </c>
      <c r="F1168" s="11" t="str">
        <f>IF($B1168="","",RANK($E1168,$E$2:$E$1501)+COUNTIF($E$2:E1168,$E1168)-1)</f>
        <v/>
      </c>
      <c r="G1168" s="11" t="str">
        <f>IF($B1168="","",RANK($D1168,$D$2:$D$1501)+COUNTIF($D$2:D1168,$D1168)-1)</f>
        <v/>
      </c>
    </row>
    <row r="1169" spans="1:7">
      <c r="A1169" s="11">
        <v>1168</v>
      </c>
      <c r="B1169" s="11" t="str">
        <f>IFERROR(INDEX('Raw Data'!$R$2:$R$50000,MATCH(1168,'Raw Data'!$W$2:$W$50000,0)),"")</f>
        <v/>
      </c>
      <c r="C1169" s="11" t="str">
        <f t="shared" si="18"/>
        <v/>
      </c>
      <c r="D1169" s="11" t="str">
        <f>IF($B1169="","",COUNTIFS('Raw Data'!$R$2:$R$50000,$B1169))</f>
        <v/>
      </c>
      <c r="E1169" s="11" t="str">
        <f>IF($B1169="","",SUMIFS('Raw Data'!$I$2:$I$50000,'Raw Data'!$R$2:$R$50000,$B1169))</f>
        <v/>
      </c>
      <c r="F1169" s="11" t="str">
        <f>IF($B1169="","",RANK($E1169,$E$2:$E$1501)+COUNTIF($E$2:E1169,$E1169)-1)</f>
        <v/>
      </c>
      <c r="G1169" s="11" t="str">
        <f>IF($B1169="","",RANK($D1169,$D$2:$D$1501)+COUNTIF($D$2:D1169,$D1169)-1)</f>
        <v/>
      </c>
    </row>
    <row r="1170" spans="1:7">
      <c r="A1170" s="11">
        <v>1169</v>
      </c>
      <c r="B1170" s="11" t="str">
        <f>IFERROR(INDEX('Raw Data'!$R$2:$R$50000,MATCH(1169,'Raw Data'!$W$2:$W$50000,0)),"")</f>
        <v/>
      </c>
      <c r="C1170" s="11" t="str">
        <f t="shared" si="18"/>
        <v/>
      </c>
      <c r="D1170" s="11" t="str">
        <f>IF($B1170="","",COUNTIFS('Raw Data'!$R$2:$R$50000,$B1170))</f>
        <v/>
      </c>
      <c r="E1170" s="11" t="str">
        <f>IF($B1170="","",SUMIFS('Raw Data'!$I$2:$I$50000,'Raw Data'!$R$2:$R$50000,$B1170))</f>
        <v/>
      </c>
      <c r="F1170" s="11" t="str">
        <f>IF($B1170="","",RANK($E1170,$E$2:$E$1501)+COUNTIF($E$2:E1170,$E1170)-1)</f>
        <v/>
      </c>
      <c r="G1170" s="11" t="str">
        <f>IF($B1170="","",RANK($D1170,$D$2:$D$1501)+COUNTIF($D$2:D1170,$D1170)-1)</f>
        <v/>
      </c>
    </row>
    <row r="1171" spans="1:7">
      <c r="A1171" s="11">
        <v>1170</v>
      </c>
      <c r="B1171" s="11" t="str">
        <f>IFERROR(INDEX('Raw Data'!$R$2:$R$50000,MATCH(1170,'Raw Data'!$W$2:$W$50000,0)),"")</f>
        <v/>
      </c>
      <c r="C1171" s="11" t="str">
        <f t="shared" si="18"/>
        <v/>
      </c>
      <c r="D1171" s="11" t="str">
        <f>IF($B1171="","",COUNTIFS('Raw Data'!$R$2:$R$50000,$B1171))</f>
        <v/>
      </c>
      <c r="E1171" s="11" t="str">
        <f>IF($B1171="","",SUMIFS('Raw Data'!$I$2:$I$50000,'Raw Data'!$R$2:$R$50000,$B1171))</f>
        <v/>
      </c>
      <c r="F1171" s="11" t="str">
        <f>IF($B1171="","",RANK($E1171,$E$2:$E$1501)+COUNTIF($E$2:E1171,$E1171)-1)</f>
        <v/>
      </c>
      <c r="G1171" s="11" t="str">
        <f>IF($B1171="","",RANK($D1171,$D$2:$D$1501)+COUNTIF($D$2:D1171,$D1171)-1)</f>
        <v/>
      </c>
    </row>
    <row r="1172" spans="1:7">
      <c r="A1172" s="11">
        <v>1171</v>
      </c>
      <c r="B1172" s="11" t="str">
        <f>IFERROR(INDEX('Raw Data'!$R$2:$R$50000,MATCH(1171,'Raw Data'!$W$2:$W$50000,0)),"")</f>
        <v/>
      </c>
      <c r="C1172" s="11" t="str">
        <f t="shared" si="18"/>
        <v/>
      </c>
      <c r="D1172" s="11" t="str">
        <f>IF($B1172="","",COUNTIFS('Raw Data'!$R$2:$R$50000,$B1172))</f>
        <v/>
      </c>
      <c r="E1172" s="11" t="str">
        <f>IF($B1172="","",SUMIFS('Raw Data'!$I$2:$I$50000,'Raw Data'!$R$2:$R$50000,$B1172))</f>
        <v/>
      </c>
      <c r="F1172" s="11" t="str">
        <f>IF($B1172="","",RANK($E1172,$E$2:$E$1501)+COUNTIF($E$2:E1172,$E1172)-1)</f>
        <v/>
      </c>
      <c r="G1172" s="11" t="str">
        <f>IF($B1172="","",RANK($D1172,$D$2:$D$1501)+COUNTIF($D$2:D1172,$D1172)-1)</f>
        <v/>
      </c>
    </row>
    <row r="1173" spans="1:7">
      <c r="A1173" s="11">
        <v>1172</v>
      </c>
      <c r="B1173" s="11" t="str">
        <f>IFERROR(INDEX('Raw Data'!$R$2:$R$50000,MATCH(1172,'Raw Data'!$W$2:$W$50000,0)),"")</f>
        <v/>
      </c>
      <c r="C1173" s="11" t="str">
        <f t="shared" si="18"/>
        <v/>
      </c>
      <c r="D1173" s="11" t="str">
        <f>IF($B1173="","",COUNTIFS('Raw Data'!$R$2:$R$50000,$B1173))</f>
        <v/>
      </c>
      <c r="E1173" s="11" t="str">
        <f>IF($B1173="","",SUMIFS('Raw Data'!$I$2:$I$50000,'Raw Data'!$R$2:$R$50000,$B1173))</f>
        <v/>
      </c>
      <c r="F1173" s="11" t="str">
        <f>IF($B1173="","",RANK($E1173,$E$2:$E$1501)+COUNTIF($E$2:E1173,$E1173)-1)</f>
        <v/>
      </c>
      <c r="G1173" s="11" t="str">
        <f>IF($B1173="","",RANK($D1173,$D$2:$D$1501)+COUNTIF($D$2:D1173,$D1173)-1)</f>
        <v/>
      </c>
    </row>
    <row r="1174" spans="1:7">
      <c r="A1174" s="11">
        <v>1173</v>
      </c>
      <c r="B1174" s="11" t="str">
        <f>IFERROR(INDEX('Raw Data'!$R$2:$R$50000,MATCH(1173,'Raw Data'!$W$2:$W$50000,0)),"")</f>
        <v/>
      </c>
      <c r="C1174" s="11" t="str">
        <f t="shared" si="18"/>
        <v/>
      </c>
      <c r="D1174" s="11" t="str">
        <f>IF($B1174="","",COUNTIFS('Raw Data'!$R$2:$R$50000,$B1174))</f>
        <v/>
      </c>
      <c r="E1174" s="11" t="str">
        <f>IF($B1174="","",SUMIFS('Raw Data'!$I$2:$I$50000,'Raw Data'!$R$2:$R$50000,$B1174))</f>
        <v/>
      </c>
      <c r="F1174" s="11" t="str">
        <f>IF($B1174="","",RANK($E1174,$E$2:$E$1501)+COUNTIF($E$2:E1174,$E1174)-1)</f>
        <v/>
      </c>
      <c r="G1174" s="11" t="str">
        <f>IF($B1174="","",RANK($D1174,$D$2:$D$1501)+COUNTIF($D$2:D1174,$D1174)-1)</f>
        <v/>
      </c>
    </row>
    <row r="1175" spans="1:7">
      <c r="A1175" s="11">
        <v>1174</v>
      </c>
      <c r="B1175" s="11" t="str">
        <f>IFERROR(INDEX('Raw Data'!$R$2:$R$50000,MATCH(1174,'Raw Data'!$W$2:$W$50000,0)),"")</f>
        <v/>
      </c>
      <c r="C1175" s="11" t="str">
        <f t="shared" si="18"/>
        <v/>
      </c>
      <c r="D1175" s="11" t="str">
        <f>IF($B1175="","",COUNTIFS('Raw Data'!$R$2:$R$50000,$B1175))</f>
        <v/>
      </c>
      <c r="E1175" s="11" t="str">
        <f>IF($B1175="","",SUMIFS('Raw Data'!$I$2:$I$50000,'Raw Data'!$R$2:$R$50000,$B1175))</f>
        <v/>
      </c>
      <c r="F1175" s="11" t="str">
        <f>IF($B1175="","",RANK($E1175,$E$2:$E$1501)+COUNTIF($E$2:E1175,$E1175)-1)</f>
        <v/>
      </c>
      <c r="G1175" s="11" t="str">
        <f>IF($B1175="","",RANK($D1175,$D$2:$D$1501)+COUNTIF($D$2:D1175,$D1175)-1)</f>
        <v/>
      </c>
    </row>
    <row r="1176" spans="1:7">
      <c r="A1176" s="11">
        <v>1175</v>
      </c>
      <c r="B1176" s="11" t="str">
        <f>IFERROR(INDEX('Raw Data'!$R$2:$R$50000,MATCH(1175,'Raw Data'!$W$2:$W$50000,0)),"")</f>
        <v/>
      </c>
      <c r="C1176" s="11" t="str">
        <f t="shared" si="18"/>
        <v/>
      </c>
      <c r="D1176" s="11" t="str">
        <f>IF($B1176="","",COUNTIFS('Raw Data'!$R$2:$R$50000,$B1176))</f>
        <v/>
      </c>
      <c r="E1176" s="11" t="str">
        <f>IF($B1176="","",SUMIFS('Raw Data'!$I$2:$I$50000,'Raw Data'!$R$2:$R$50000,$B1176))</f>
        <v/>
      </c>
      <c r="F1176" s="11" t="str">
        <f>IF($B1176="","",RANK($E1176,$E$2:$E$1501)+COUNTIF($E$2:E1176,$E1176)-1)</f>
        <v/>
      </c>
      <c r="G1176" s="11" t="str">
        <f>IF($B1176="","",RANK($D1176,$D$2:$D$1501)+COUNTIF($D$2:D1176,$D1176)-1)</f>
        <v/>
      </c>
    </row>
    <row r="1177" spans="1:7">
      <c r="A1177" s="11">
        <v>1176</v>
      </c>
      <c r="B1177" s="11" t="str">
        <f>IFERROR(INDEX('Raw Data'!$R$2:$R$50000,MATCH(1176,'Raw Data'!$W$2:$W$50000,0)),"")</f>
        <v/>
      </c>
      <c r="C1177" s="11" t="str">
        <f t="shared" si="18"/>
        <v/>
      </c>
      <c r="D1177" s="11" t="str">
        <f>IF($B1177="","",COUNTIFS('Raw Data'!$R$2:$R$50000,$B1177))</f>
        <v/>
      </c>
      <c r="E1177" s="11" t="str">
        <f>IF($B1177="","",SUMIFS('Raw Data'!$I$2:$I$50000,'Raw Data'!$R$2:$R$50000,$B1177))</f>
        <v/>
      </c>
      <c r="F1177" s="11" t="str">
        <f>IF($B1177="","",RANK($E1177,$E$2:$E$1501)+COUNTIF($E$2:E1177,$E1177)-1)</f>
        <v/>
      </c>
      <c r="G1177" s="11" t="str">
        <f>IF($B1177="","",RANK($D1177,$D$2:$D$1501)+COUNTIF($D$2:D1177,$D1177)-1)</f>
        <v/>
      </c>
    </row>
    <row r="1178" spans="1:7">
      <c r="A1178" s="11">
        <v>1177</v>
      </c>
      <c r="B1178" s="11" t="str">
        <f>IFERROR(INDEX('Raw Data'!$R$2:$R$50000,MATCH(1177,'Raw Data'!$W$2:$W$50000,0)),"")</f>
        <v/>
      </c>
      <c r="C1178" s="11" t="str">
        <f t="shared" si="18"/>
        <v/>
      </c>
      <c r="D1178" s="11" t="str">
        <f>IF($B1178="","",COUNTIFS('Raw Data'!$R$2:$R$50000,$B1178))</f>
        <v/>
      </c>
      <c r="E1178" s="11" t="str">
        <f>IF($B1178="","",SUMIFS('Raw Data'!$I$2:$I$50000,'Raw Data'!$R$2:$R$50000,$B1178))</f>
        <v/>
      </c>
      <c r="F1178" s="11" t="str">
        <f>IF($B1178="","",RANK($E1178,$E$2:$E$1501)+COUNTIF($E$2:E1178,$E1178)-1)</f>
        <v/>
      </c>
      <c r="G1178" s="11" t="str">
        <f>IF($B1178="","",RANK($D1178,$D$2:$D$1501)+COUNTIF($D$2:D1178,$D1178)-1)</f>
        <v/>
      </c>
    </row>
    <row r="1179" spans="1:7">
      <c r="A1179" s="11">
        <v>1178</v>
      </c>
      <c r="B1179" s="11" t="str">
        <f>IFERROR(INDEX('Raw Data'!$R$2:$R$50000,MATCH(1178,'Raw Data'!$W$2:$W$50000,0)),"")</f>
        <v/>
      </c>
      <c r="C1179" s="11" t="str">
        <f t="shared" si="18"/>
        <v/>
      </c>
      <c r="D1179" s="11" t="str">
        <f>IF($B1179="","",COUNTIFS('Raw Data'!$R$2:$R$50000,$B1179))</f>
        <v/>
      </c>
      <c r="E1179" s="11" t="str">
        <f>IF($B1179="","",SUMIFS('Raw Data'!$I$2:$I$50000,'Raw Data'!$R$2:$R$50000,$B1179))</f>
        <v/>
      </c>
      <c r="F1179" s="11" t="str">
        <f>IF($B1179="","",RANK($E1179,$E$2:$E$1501)+COUNTIF($E$2:E1179,$E1179)-1)</f>
        <v/>
      </c>
      <c r="G1179" s="11" t="str">
        <f>IF($B1179="","",RANK($D1179,$D$2:$D$1501)+COUNTIF($D$2:D1179,$D1179)-1)</f>
        <v/>
      </c>
    </row>
    <row r="1180" spans="1:7">
      <c r="A1180" s="11">
        <v>1179</v>
      </c>
      <c r="B1180" s="11" t="str">
        <f>IFERROR(INDEX('Raw Data'!$R$2:$R$50000,MATCH(1179,'Raw Data'!$W$2:$W$50000,0)),"")</f>
        <v/>
      </c>
      <c r="C1180" s="11" t="str">
        <f t="shared" si="18"/>
        <v/>
      </c>
      <c r="D1180" s="11" t="str">
        <f>IF($B1180="","",COUNTIFS('Raw Data'!$R$2:$R$50000,$B1180))</f>
        <v/>
      </c>
      <c r="E1180" s="11" t="str">
        <f>IF($B1180="","",SUMIFS('Raw Data'!$I$2:$I$50000,'Raw Data'!$R$2:$R$50000,$B1180))</f>
        <v/>
      </c>
      <c r="F1180" s="11" t="str">
        <f>IF($B1180="","",RANK($E1180,$E$2:$E$1501)+COUNTIF($E$2:E1180,$E1180)-1)</f>
        <v/>
      </c>
      <c r="G1180" s="11" t="str">
        <f>IF($B1180="","",RANK($D1180,$D$2:$D$1501)+COUNTIF($D$2:D1180,$D1180)-1)</f>
        <v/>
      </c>
    </row>
    <row r="1181" spans="1:7">
      <c r="A1181" s="11">
        <v>1180</v>
      </c>
      <c r="B1181" s="11" t="str">
        <f>IFERROR(INDEX('Raw Data'!$R$2:$R$50000,MATCH(1180,'Raw Data'!$W$2:$W$50000,0)),"")</f>
        <v/>
      </c>
      <c r="C1181" s="11" t="str">
        <f t="shared" si="18"/>
        <v/>
      </c>
      <c r="D1181" s="11" t="str">
        <f>IF($B1181="","",COUNTIFS('Raw Data'!$R$2:$R$50000,$B1181))</f>
        <v/>
      </c>
      <c r="E1181" s="11" t="str">
        <f>IF($B1181="","",SUMIFS('Raw Data'!$I$2:$I$50000,'Raw Data'!$R$2:$R$50000,$B1181))</f>
        <v/>
      </c>
      <c r="F1181" s="11" t="str">
        <f>IF($B1181="","",RANK($E1181,$E$2:$E$1501)+COUNTIF($E$2:E1181,$E1181)-1)</f>
        <v/>
      </c>
      <c r="G1181" s="11" t="str">
        <f>IF($B1181="","",RANK($D1181,$D$2:$D$1501)+COUNTIF($D$2:D1181,$D1181)-1)</f>
        <v/>
      </c>
    </row>
    <row r="1182" spans="1:7">
      <c r="A1182" s="11">
        <v>1181</v>
      </c>
      <c r="B1182" s="11" t="str">
        <f>IFERROR(INDEX('Raw Data'!$R$2:$R$50000,MATCH(1181,'Raw Data'!$W$2:$W$50000,0)),"")</f>
        <v/>
      </c>
      <c r="C1182" s="11" t="str">
        <f t="shared" si="18"/>
        <v/>
      </c>
      <c r="D1182" s="11" t="str">
        <f>IF($B1182="","",COUNTIFS('Raw Data'!$R$2:$R$50000,$B1182))</f>
        <v/>
      </c>
      <c r="E1182" s="11" t="str">
        <f>IF($B1182="","",SUMIFS('Raw Data'!$I$2:$I$50000,'Raw Data'!$R$2:$R$50000,$B1182))</f>
        <v/>
      </c>
      <c r="F1182" s="11" t="str">
        <f>IF($B1182="","",RANK($E1182,$E$2:$E$1501)+COUNTIF($E$2:E1182,$E1182)-1)</f>
        <v/>
      </c>
      <c r="G1182" s="11" t="str">
        <f>IF($B1182="","",RANK($D1182,$D$2:$D$1501)+COUNTIF($D$2:D1182,$D1182)-1)</f>
        <v/>
      </c>
    </row>
    <row r="1183" spans="1:7">
      <c r="A1183" s="11">
        <v>1182</v>
      </c>
      <c r="B1183" s="11" t="str">
        <f>IFERROR(INDEX('Raw Data'!$R$2:$R$50000,MATCH(1182,'Raw Data'!$W$2:$W$50000,0)),"")</f>
        <v/>
      </c>
      <c r="C1183" s="11" t="str">
        <f t="shared" si="18"/>
        <v/>
      </c>
      <c r="D1183" s="11" t="str">
        <f>IF($B1183="","",COUNTIFS('Raw Data'!$R$2:$R$50000,$B1183))</f>
        <v/>
      </c>
      <c r="E1183" s="11" t="str">
        <f>IF($B1183="","",SUMIFS('Raw Data'!$I$2:$I$50000,'Raw Data'!$R$2:$R$50000,$B1183))</f>
        <v/>
      </c>
      <c r="F1183" s="11" t="str">
        <f>IF($B1183="","",RANK($E1183,$E$2:$E$1501)+COUNTIF($E$2:E1183,$E1183)-1)</f>
        <v/>
      </c>
      <c r="G1183" s="11" t="str">
        <f>IF($B1183="","",RANK($D1183,$D$2:$D$1501)+COUNTIF($D$2:D1183,$D1183)-1)</f>
        <v/>
      </c>
    </row>
    <row r="1184" spans="1:7">
      <c r="A1184" s="11">
        <v>1183</v>
      </c>
      <c r="B1184" s="11" t="str">
        <f>IFERROR(INDEX('Raw Data'!$R$2:$R$50000,MATCH(1183,'Raw Data'!$W$2:$W$50000,0)),"")</f>
        <v/>
      </c>
      <c r="C1184" s="11" t="str">
        <f t="shared" si="18"/>
        <v/>
      </c>
      <c r="D1184" s="11" t="str">
        <f>IF($B1184="","",COUNTIFS('Raw Data'!$R$2:$R$50000,$B1184))</f>
        <v/>
      </c>
      <c r="E1184" s="11" t="str">
        <f>IF($B1184="","",SUMIFS('Raw Data'!$I$2:$I$50000,'Raw Data'!$R$2:$R$50000,$B1184))</f>
        <v/>
      </c>
      <c r="F1184" s="11" t="str">
        <f>IF($B1184="","",RANK($E1184,$E$2:$E$1501)+COUNTIF($E$2:E1184,$E1184)-1)</f>
        <v/>
      </c>
      <c r="G1184" s="11" t="str">
        <f>IF($B1184="","",RANK($D1184,$D$2:$D$1501)+COUNTIF($D$2:D1184,$D1184)-1)</f>
        <v/>
      </c>
    </row>
    <row r="1185" spans="1:7">
      <c r="A1185" s="11">
        <v>1184</v>
      </c>
      <c r="B1185" s="11" t="str">
        <f>IFERROR(INDEX('Raw Data'!$R$2:$R$50000,MATCH(1184,'Raw Data'!$W$2:$W$50000,0)),"")</f>
        <v/>
      </c>
      <c r="C1185" s="11" t="str">
        <f t="shared" si="18"/>
        <v/>
      </c>
      <c r="D1185" s="11" t="str">
        <f>IF($B1185="","",COUNTIFS('Raw Data'!$R$2:$R$50000,$B1185))</f>
        <v/>
      </c>
      <c r="E1185" s="11" t="str">
        <f>IF($B1185="","",SUMIFS('Raw Data'!$I$2:$I$50000,'Raw Data'!$R$2:$R$50000,$B1185))</f>
        <v/>
      </c>
      <c r="F1185" s="11" t="str">
        <f>IF($B1185="","",RANK($E1185,$E$2:$E$1501)+COUNTIF($E$2:E1185,$E1185)-1)</f>
        <v/>
      </c>
      <c r="G1185" s="11" t="str">
        <f>IF($B1185="","",RANK($D1185,$D$2:$D$1501)+COUNTIF($D$2:D1185,$D1185)-1)</f>
        <v/>
      </c>
    </row>
    <row r="1186" spans="1:7">
      <c r="A1186" s="11">
        <v>1185</v>
      </c>
      <c r="B1186" s="11" t="str">
        <f>IFERROR(INDEX('Raw Data'!$R$2:$R$50000,MATCH(1185,'Raw Data'!$W$2:$W$50000,0)),"")</f>
        <v/>
      </c>
      <c r="C1186" s="11" t="str">
        <f t="shared" si="18"/>
        <v/>
      </c>
      <c r="D1186" s="11" t="str">
        <f>IF($B1186="","",COUNTIFS('Raw Data'!$R$2:$R$50000,$B1186))</f>
        <v/>
      </c>
      <c r="E1186" s="11" t="str">
        <f>IF($B1186="","",SUMIFS('Raw Data'!$I$2:$I$50000,'Raw Data'!$R$2:$R$50000,$B1186))</f>
        <v/>
      </c>
      <c r="F1186" s="11" t="str">
        <f>IF($B1186="","",RANK($E1186,$E$2:$E$1501)+COUNTIF($E$2:E1186,$E1186)-1)</f>
        <v/>
      </c>
      <c r="G1186" s="11" t="str">
        <f>IF($B1186="","",RANK($D1186,$D$2:$D$1501)+COUNTIF($D$2:D1186,$D1186)-1)</f>
        <v/>
      </c>
    </row>
    <row r="1187" spans="1:7">
      <c r="A1187" s="11">
        <v>1186</v>
      </c>
      <c r="B1187" s="11" t="str">
        <f>IFERROR(INDEX('Raw Data'!$R$2:$R$50000,MATCH(1186,'Raw Data'!$W$2:$W$50000,0)),"")</f>
        <v/>
      </c>
      <c r="C1187" s="11" t="str">
        <f t="shared" si="18"/>
        <v/>
      </c>
      <c r="D1187" s="11" t="str">
        <f>IF($B1187="","",COUNTIFS('Raw Data'!$R$2:$R$50000,$B1187))</f>
        <v/>
      </c>
      <c r="E1187" s="11" t="str">
        <f>IF($B1187="","",SUMIFS('Raw Data'!$I$2:$I$50000,'Raw Data'!$R$2:$R$50000,$B1187))</f>
        <v/>
      </c>
      <c r="F1187" s="11" t="str">
        <f>IF($B1187="","",RANK($E1187,$E$2:$E$1501)+COUNTIF($E$2:E1187,$E1187)-1)</f>
        <v/>
      </c>
      <c r="G1187" s="11" t="str">
        <f>IF($B1187="","",RANK($D1187,$D$2:$D$1501)+COUNTIF($D$2:D1187,$D1187)-1)</f>
        <v/>
      </c>
    </row>
    <row r="1188" spans="1:7">
      <c r="A1188" s="11">
        <v>1187</v>
      </c>
      <c r="B1188" s="11" t="str">
        <f>IFERROR(INDEX('Raw Data'!$R$2:$R$50000,MATCH(1187,'Raw Data'!$W$2:$W$50000,0)),"")</f>
        <v/>
      </c>
      <c r="C1188" s="11" t="str">
        <f t="shared" si="18"/>
        <v/>
      </c>
      <c r="D1188" s="11" t="str">
        <f>IF($B1188="","",COUNTIFS('Raw Data'!$R$2:$R$50000,$B1188))</f>
        <v/>
      </c>
      <c r="E1188" s="11" t="str">
        <f>IF($B1188="","",SUMIFS('Raw Data'!$I$2:$I$50000,'Raw Data'!$R$2:$R$50000,$B1188))</f>
        <v/>
      </c>
      <c r="F1188" s="11" t="str">
        <f>IF($B1188="","",RANK($E1188,$E$2:$E$1501)+COUNTIF($E$2:E1188,$E1188)-1)</f>
        <v/>
      </c>
      <c r="G1188" s="11" t="str">
        <f>IF($B1188="","",RANK($D1188,$D$2:$D$1501)+COUNTIF($D$2:D1188,$D1188)-1)</f>
        <v/>
      </c>
    </row>
    <row r="1189" spans="1:7">
      <c r="A1189" s="11">
        <v>1188</v>
      </c>
      <c r="B1189" s="11" t="str">
        <f>IFERROR(INDEX('Raw Data'!$R$2:$R$50000,MATCH(1188,'Raw Data'!$W$2:$W$50000,0)),"")</f>
        <v/>
      </c>
      <c r="C1189" s="11" t="str">
        <f t="shared" si="18"/>
        <v/>
      </c>
      <c r="D1189" s="11" t="str">
        <f>IF($B1189="","",COUNTIFS('Raw Data'!$R$2:$R$50000,$B1189))</f>
        <v/>
      </c>
      <c r="E1189" s="11" t="str">
        <f>IF($B1189="","",SUMIFS('Raw Data'!$I$2:$I$50000,'Raw Data'!$R$2:$R$50000,$B1189))</f>
        <v/>
      </c>
      <c r="F1189" s="11" t="str">
        <f>IF($B1189="","",RANK($E1189,$E$2:$E$1501)+COUNTIF($E$2:E1189,$E1189)-1)</f>
        <v/>
      </c>
      <c r="G1189" s="11" t="str">
        <f>IF($B1189="","",RANK($D1189,$D$2:$D$1501)+COUNTIF($D$2:D1189,$D1189)-1)</f>
        <v/>
      </c>
    </row>
    <row r="1190" spans="1:7">
      <c r="A1190" s="11">
        <v>1189</v>
      </c>
      <c r="B1190" s="11" t="str">
        <f>IFERROR(INDEX('Raw Data'!$R$2:$R$50000,MATCH(1189,'Raw Data'!$W$2:$W$50000,0)),"")</f>
        <v/>
      </c>
      <c r="C1190" s="11" t="str">
        <f t="shared" si="18"/>
        <v/>
      </c>
      <c r="D1190" s="11" t="str">
        <f>IF($B1190="","",COUNTIFS('Raw Data'!$R$2:$R$50000,$B1190))</f>
        <v/>
      </c>
      <c r="E1190" s="11" t="str">
        <f>IF($B1190="","",SUMIFS('Raw Data'!$I$2:$I$50000,'Raw Data'!$R$2:$R$50000,$B1190))</f>
        <v/>
      </c>
      <c r="F1190" s="11" t="str">
        <f>IF($B1190="","",RANK($E1190,$E$2:$E$1501)+COUNTIF($E$2:E1190,$E1190)-1)</f>
        <v/>
      </c>
      <c r="G1190" s="11" t="str">
        <f>IF($B1190="","",RANK($D1190,$D$2:$D$1501)+COUNTIF($D$2:D1190,$D1190)-1)</f>
        <v/>
      </c>
    </row>
    <row r="1191" spans="1:7">
      <c r="A1191" s="11">
        <v>1190</v>
      </c>
      <c r="B1191" s="11" t="str">
        <f>IFERROR(INDEX('Raw Data'!$R$2:$R$50000,MATCH(1190,'Raw Data'!$W$2:$W$50000,0)),"")</f>
        <v/>
      </c>
      <c r="C1191" s="11" t="str">
        <f t="shared" si="18"/>
        <v/>
      </c>
      <c r="D1191" s="11" t="str">
        <f>IF($B1191="","",COUNTIFS('Raw Data'!$R$2:$R$50000,$B1191))</f>
        <v/>
      </c>
      <c r="E1191" s="11" t="str">
        <f>IF($B1191="","",SUMIFS('Raw Data'!$I$2:$I$50000,'Raw Data'!$R$2:$R$50000,$B1191))</f>
        <v/>
      </c>
      <c r="F1191" s="11" t="str">
        <f>IF($B1191="","",RANK($E1191,$E$2:$E$1501)+COUNTIF($E$2:E1191,$E1191)-1)</f>
        <v/>
      </c>
      <c r="G1191" s="11" t="str">
        <f>IF($B1191="","",RANK($D1191,$D$2:$D$1501)+COUNTIF($D$2:D1191,$D1191)-1)</f>
        <v/>
      </c>
    </row>
    <row r="1192" spans="1:7">
      <c r="A1192" s="11">
        <v>1191</v>
      </c>
      <c r="B1192" s="11" t="str">
        <f>IFERROR(INDEX('Raw Data'!$R$2:$R$50000,MATCH(1191,'Raw Data'!$W$2:$W$50000,0)),"")</f>
        <v/>
      </c>
      <c r="C1192" s="11" t="str">
        <f t="shared" si="18"/>
        <v/>
      </c>
      <c r="D1192" s="11" t="str">
        <f>IF($B1192="","",COUNTIFS('Raw Data'!$R$2:$R$50000,$B1192))</f>
        <v/>
      </c>
      <c r="E1192" s="11" t="str">
        <f>IF($B1192="","",SUMIFS('Raw Data'!$I$2:$I$50000,'Raw Data'!$R$2:$R$50000,$B1192))</f>
        <v/>
      </c>
      <c r="F1192" s="11" t="str">
        <f>IF($B1192="","",RANK($E1192,$E$2:$E$1501)+COUNTIF($E$2:E1192,$E1192)-1)</f>
        <v/>
      </c>
      <c r="G1192" s="11" t="str">
        <f>IF($B1192="","",RANK($D1192,$D$2:$D$1501)+COUNTIF($D$2:D1192,$D1192)-1)</f>
        <v/>
      </c>
    </row>
    <row r="1193" spans="1:7">
      <c r="A1193" s="11">
        <v>1192</v>
      </c>
      <c r="B1193" s="11" t="str">
        <f>IFERROR(INDEX('Raw Data'!$R$2:$R$50000,MATCH(1192,'Raw Data'!$W$2:$W$50000,0)),"")</f>
        <v/>
      </c>
      <c r="C1193" s="11" t="str">
        <f t="shared" si="18"/>
        <v/>
      </c>
      <c r="D1193" s="11" t="str">
        <f>IF($B1193="","",COUNTIFS('Raw Data'!$R$2:$R$50000,$B1193))</f>
        <v/>
      </c>
      <c r="E1193" s="11" t="str">
        <f>IF($B1193="","",SUMIFS('Raw Data'!$I$2:$I$50000,'Raw Data'!$R$2:$R$50000,$B1193))</f>
        <v/>
      </c>
      <c r="F1193" s="11" t="str">
        <f>IF($B1193="","",RANK($E1193,$E$2:$E$1501)+COUNTIF($E$2:E1193,$E1193)-1)</f>
        <v/>
      </c>
      <c r="G1193" s="11" t="str">
        <f>IF($B1193="","",RANK($D1193,$D$2:$D$1501)+COUNTIF($D$2:D1193,$D1193)-1)</f>
        <v/>
      </c>
    </row>
    <row r="1194" spans="1:7">
      <c r="A1194" s="11">
        <v>1193</v>
      </c>
      <c r="B1194" s="11" t="str">
        <f>IFERROR(INDEX('Raw Data'!$R$2:$R$50000,MATCH(1193,'Raw Data'!$W$2:$W$50000,0)),"")</f>
        <v/>
      </c>
      <c r="C1194" s="11" t="str">
        <f t="shared" si="18"/>
        <v/>
      </c>
      <c r="D1194" s="11" t="str">
        <f>IF($B1194="","",COUNTIFS('Raw Data'!$R$2:$R$50000,$B1194))</f>
        <v/>
      </c>
      <c r="E1194" s="11" t="str">
        <f>IF($B1194="","",SUMIFS('Raw Data'!$I$2:$I$50000,'Raw Data'!$R$2:$R$50000,$B1194))</f>
        <v/>
      </c>
      <c r="F1194" s="11" t="str">
        <f>IF($B1194="","",RANK($E1194,$E$2:$E$1501)+COUNTIF($E$2:E1194,$E1194)-1)</f>
        <v/>
      </c>
      <c r="G1194" s="11" t="str">
        <f>IF($B1194="","",RANK($D1194,$D$2:$D$1501)+COUNTIF($D$2:D1194,$D1194)-1)</f>
        <v/>
      </c>
    </row>
    <row r="1195" spans="1:7">
      <c r="A1195" s="11">
        <v>1194</v>
      </c>
      <c r="B1195" s="11" t="str">
        <f>IFERROR(INDEX('Raw Data'!$R$2:$R$50000,MATCH(1194,'Raw Data'!$W$2:$W$50000,0)),"")</f>
        <v/>
      </c>
      <c r="C1195" s="11" t="str">
        <f t="shared" si="18"/>
        <v/>
      </c>
      <c r="D1195" s="11" t="str">
        <f>IF($B1195="","",COUNTIFS('Raw Data'!$R$2:$R$50000,$B1195))</f>
        <v/>
      </c>
      <c r="E1195" s="11" t="str">
        <f>IF($B1195="","",SUMIFS('Raw Data'!$I$2:$I$50000,'Raw Data'!$R$2:$R$50000,$B1195))</f>
        <v/>
      </c>
      <c r="F1195" s="11" t="str">
        <f>IF($B1195="","",RANK($E1195,$E$2:$E$1501)+COUNTIF($E$2:E1195,$E1195)-1)</f>
        <v/>
      </c>
      <c r="G1195" s="11" t="str">
        <f>IF($B1195="","",RANK($D1195,$D$2:$D$1501)+COUNTIF($D$2:D1195,$D1195)-1)</f>
        <v/>
      </c>
    </row>
    <row r="1196" spans="1:7">
      <c r="A1196" s="11">
        <v>1195</v>
      </c>
      <c r="B1196" s="11" t="str">
        <f>IFERROR(INDEX('Raw Data'!$R$2:$R$50000,MATCH(1195,'Raw Data'!$W$2:$W$50000,0)),"")</f>
        <v/>
      </c>
      <c r="C1196" s="11" t="str">
        <f t="shared" si="18"/>
        <v/>
      </c>
      <c r="D1196" s="11" t="str">
        <f>IF($B1196="","",COUNTIFS('Raw Data'!$R$2:$R$50000,$B1196))</f>
        <v/>
      </c>
      <c r="E1196" s="11" t="str">
        <f>IF($B1196="","",SUMIFS('Raw Data'!$I$2:$I$50000,'Raw Data'!$R$2:$R$50000,$B1196))</f>
        <v/>
      </c>
      <c r="F1196" s="11" t="str">
        <f>IF($B1196="","",RANK($E1196,$E$2:$E$1501)+COUNTIF($E$2:E1196,$E1196)-1)</f>
        <v/>
      </c>
      <c r="G1196" s="11" t="str">
        <f>IF($B1196="","",RANK($D1196,$D$2:$D$1501)+COUNTIF($D$2:D1196,$D1196)-1)</f>
        <v/>
      </c>
    </row>
    <row r="1197" spans="1:7">
      <c r="A1197" s="11">
        <v>1196</v>
      </c>
      <c r="B1197" s="11" t="str">
        <f>IFERROR(INDEX('Raw Data'!$R$2:$R$50000,MATCH(1196,'Raw Data'!$W$2:$W$50000,0)),"")</f>
        <v/>
      </c>
      <c r="C1197" s="11" t="str">
        <f t="shared" si="18"/>
        <v/>
      </c>
      <c r="D1197" s="11" t="str">
        <f>IF($B1197="","",COUNTIFS('Raw Data'!$R$2:$R$50000,$B1197))</f>
        <v/>
      </c>
      <c r="E1197" s="11" t="str">
        <f>IF($B1197="","",SUMIFS('Raw Data'!$I$2:$I$50000,'Raw Data'!$R$2:$R$50000,$B1197))</f>
        <v/>
      </c>
      <c r="F1197" s="11" t="str">
        <f>IF($B1197="","",RANK($E1197,$E$2:$E$1501)+COUNTIF($E$2:E1197,$E1197)-1)</f>
        <v/>
      </c>
      <c r="G1197" s="11" t="str">
        <f>IF($B1197="","",RANK($D1197,$D$2:$D$1501)+COUNTIF($D$2:D1197,$D1197)-1)</f>
        <v/>
      </c>
    </row>
    <row r="1198" spans="1:7">
      <c r="A1198" s="11">
        <v>1197</v>
      </c>
      <c r="B1198" s="11" t="str">
        <f>IFERROR(INDEX('Raw Data'!$R$2:$R$50000,MATCH(1197,'Raw Data'!$W$2:$W$50000,0)),"")</f>
        <v/>
      </c>
      <c r="C1198" s="11" t="str">
        <f t="shared" si="18"/>
        <v/>
      </c>
      <c r="D1198" s="11" t="str">
        <f>IF($B1198="","",COUNTIFS('Raw Data'!$R$2:$R$50000,$B1198))</f>
        <v/>
      </c>
      <c r="E1198" s="11" t="str">
        <f>IF($B1198="","",SUMIFS('Raw Data'!$I$2:$I$50000,'Raw Data'!$R$2:$R$50000,$B1198))</f>
        <v/>
      </c>
      <c r="F1198" s="11" t="str">
        <f>IF($B1198="","",RANK($E1198,$E$2:$E$1501)+COUNTIF($E$2:E1198,$E1198)-1)</f>
        <v/>
      </c>
      <c r="G1198" s="11" t="str">
        <f>IF($B1198="","",RANK($D1198,$D$2:$D$1501)+COUNTIF($D$2:D1198,$D1198)-1)</f>
        <v/>
      </c>
    </row>
    <row r="1199" spans="1:7">
      <c r="A1199" s="11">
        <v>1198</v>
      </c>
      <c r="B1199" s="11" t="str">
        <f>IFERROR(INDEX('Raw Data'!$R$2:$R$50000,MATCH(1198,'Raw Data'!$W$2:$W$50000,0)),"")</f>
        <v/>
      </c>
      <c r="C1199" s="11" t="str">
        <f t="shared" si="18"/>
        <v/>
      </c>
      <c r="D1199" s="11" t="str">
        <f>IF($B1199="","",COUNTIFS('Raw Data'!$R$2:$R$50000,$B1199))</f>
        <v/>
      </c>
      <c r="E1199" s="11" t="str">
        <f>IF($B1199="","",SUMIFS('Raw Data'!$I$2:$I$50000,'Raw Data'!$R$2:$R$50000,$B1199))</f>
        <v/>
      </c>
      <c r="F1199" s="11" t="str">
        <f>IF($B1199="","",RANK($E1199,$E$2:$E$1501)+COUNTIF($E$2:E1199,$E1199)-1)</f>
        <v/>
      </c>
      <c r="G1199" s="11" t="str">
        <f>IF($B1199="","",RANK($D1199,$D$2:$D$1501)+COUNTIF($D$2:D1199,$D1199)-1)</f>
        <v/>
      </c>
    </row>
    <row r="1200" spans="1:7">
      <c r="A1200" s="11">
        <v>1199</v>
      </c>
      <c r="B1200" s="11" t="str">
        <f>IFERROR(INDEX('Raw Data'!$R$2:$R$50000,MATCH(1199,'Raw Data'!$W$2:$W$50000,0)),"")</f>
        <v/>
      </c>
      <c r="C1200" s="11" t="str">
        <f t="shared" si="18"/>
        <v/>
      </c>
      <c r="D1200" s="11" t="str">
        <f>IF($B1200="","",COUNTIFS('Raw Data'!$R$2:$R$50000,$B1200))</f>
        <v/>
      </c>
      <c r="E1200" s="11" t="str">
        <f>IF($B1200="","",SUMIFS('Raw Data'!$I$2:$I$50000,'Raw Data'!$R$2:$R$50000,$B1200))</f>
        <v/>
      </c>
      <c r="F1200" s="11" t="str">
        <f>IF($B1200="","",RANK($E1200,$E$2:$E$1501)+COUNTIF($E$2:E1200,$E1200)-1)</f>
        <v/>
      </c>
      <c r="G1200" s="11" t="str">
        <f>IF($B1200="","",RANK($D1200,$D$2:$D$1501)+COUNTIF($D$2:D1200,$D1200)-1)</f>
        <v/>
      </c>
    </row>
    <row r="1201" spans="1:7">
      <c r="A1201" s="11">
        <v>1200</v>
      </c>
      <c r="B1201" s="11" t="str">
        <f>IFERROR(INDEX('Raw Data'!$R$2:$R$50000,MATCH(1200,'Raw Data'!$W$2:$W$50000,0)),"")</f>
        <v/>
      </c>
      <c r="C1201" s="11" t="str">
        <f t="shared" si="18"/>
        <v/>
      </c>
      <c r="D1201" s="11" t="str">
        <f>IF($B1201="","",COUNTIFS('Raw Data'!$R$2:$R$50000,$B1201))</f>
        <v/>
      </c>
      <c r="E1201" s="11" t="str">
        <f>IF($B1201="","",SUMIFS('Raw Data'!$I$2:$I$50000,'Raw Data'!$R$2:$R$50000,$B1201))</f>
        <v/>
      </c>
      <c r="F1201" s="11" t="str">
        <f>IF($B1201="","",RANK($E1201,$E$2:$E$1501)+COUNTIF($E$2:E1201,$E1201)-1)</f>
        <v/>
      </c>
      <c r="G1201" s="11" t="str">
        <f>IF($B1201="","",RANK($D1201,$D$2:$D$1501)+COUNTIF($D$2:D1201,$D1201)-1)</f>
        <v/>
      </c>
    </row>
    <row r="1202" spans="1:7">
      <c r="A1202" s="11">
        <v>1201</v>
      </c>
      <c r="B1202" s="11" t="str">
        <f>IFERROR(INDEX('Raw Data'!$R$2:$R$50000,MATCH(1201,'Raw Data'!$W$2:$W$50000,0)),"")</f>
        <v/>
      </c>
      <c r="C1202" s="11" t="str">
        <f t="shared" si="18"/>
        <v/>
      </c>
      <c r="D1202" s="11" t="str">
        <f>IF($B1202="","",COUNTIFS('Raw Data'!$R$2:$R$50000,$B1202))</f>
        <v/>
      </c>
      <c r="E1202" s="11" t="str">
        <f>IF($B1202="","",SUMIFS('Raw Data'!$I$2:$I$50000,'Raw Data'!$R$2:$R$50000,$B1202))</f>
        <v/>
      </c>
      <c r="F1202" s="11" t="str">
        <f>IF($B1202="","",RANK($E1202,$E$2:$E$1501)+COUNTIF($E$2:E1202,$E1202)-1)</f>
        <v/>
      </c>
      <c r="G1202" s="11" t="str">
        <f>IF($B1202="","",RANK($D1202,$D$2:$D$1501)+COUNTIF($D$2:D1202,$D1202)-1)</f>
        <v/>
      </c>
    </row>
    <row r="1203" spans="1:7">
      <c r="A1203" s="11">
        <v>1202</v>
      </c>
      <c r="B1203" s="11" t="str">
        <f>IFERROR(INDEX('Raw Data'!$R$2:$R$50000,MATCH(1202,'Raw Data'!$W$2:$W$50000,0)),"")</f>
        <v/>
      </c>
      <c r="C1203" s="11" t="str">
        <f t="shared" si="18"/>
        <v/>
      </c>
      <c r="D1203" s="11" t="str">
        <f>IF($B1203="","",COUNTIFS('Raw Data'!$R$2:$R$50000,$B1203))</f>
        <v/>
      </c>
      <c r="E1203" s="11" t="str">
        <f>IF($B1203="","",SUMIFS('Raw Data'!$I$2:$I$50000,'Raw Data'!$R$2:$R$50000,$B1203))</f>
        <v/>
      </c>
      <c r="F1203" s="11" t="str">
        <f>IF($B1203="","",RANK($E1203,$E$2:$E$1501)+COUNTIF($E$2:E1203,$E1203)-1)</f>
        <v/>
      </c>
      <c r="G1203" s="11" t="str">
        <f>IF($B1203="","",RANK($D1203,$D$2:$D$1501)+COUNTIF($D$2:D1203,$D1203)-1)</f>
        <v/>
      </c>
    </row>
    <row r="1204" spans="1:7">
      <c r="A1204" s="11">
        <v>1203</v>
      </c>
      <c r="B1204" s="11" t="str">
        <f>IFERROR(INDEX('Raw Data'!$R$2:$R$50000,MATCH(1203,'Raw Data'!$W$2:$W$50000,0)),"")</f>
        <v/>
      </c>
      <c r="C1204" s="11" t="str">
        <f t="shared" si="18"/>
        <v/>
      </c>
      <c r="D1204" s="11" t="str">
        <f>IF($B1204="","",COUNTIFS('Raw Data'!$R$2:$R$50000,$B1204))</f>
        <v/>
      </c>
      <c r="E1204" s="11" t="str">
        <f>IF($B1204="","",SUMIFS('Raw Data'!$I$2:$I$50000,'Raw Data'!$R$2:$R$50000,$B1204))</f>
        <v/>
      </c>
      <c r="F1204" s="11" t="str">
        <f>IF($B1204="","",RANK($E1204,$E$2:$E$1501)+COUNTIF($E$2:E1204,$E1204)-1)</f>
        <v/>
      </c>
      <c r="G1204" s="11" t="str">
        <f>IF($B1204="","",RANK($D1204,$D$2:$D$1501)+COUNTIF($D$2:D1204,$D1204)-1)</f>
        <v/>
      </c>
    </row>
    <row r="1205" spans="1:7">
      <c r="A1205" s="11">
        <v>1204</v>
      </c>
      <c r="B1205" s="11" t="str">
        <f>IFERROR(INDEX('Raw Data'!$R$2:$R$50000,MATCH(1204,'Raw Data'!$W$2:$W$50000,0)),"")</f>
        <v/>
      </c>
      <c r="C1205" s="11" t="str">
        <f t="shared" si="18"/>
        <v/>
      </c>
      <c r="D1205" s="11" t="str">
        <f>IF($B1205="","",COUNTIFS('Raw Data'!$R$2:$R$50000,$B1205))</f>
        <v/>
      </c>
      <c r="E1205" s="11" t="str">
        <f>IF($B1205="","",SUMIFS('Raw Data'!$I$2:$I$50000,'Raw Data'!$R$2:$R$50000,$B1205))</f>
        <v/>
      </c>
      <c r="F1205" s="11" t="str">
        <f>IF($B1205="","",RANK($E1205,$E$2:$E$1501)+COUNTIF($E$2:E1205,$E1205)-1)</f>
        <v/>
      </c>
      <c r="G1205" s="11" t="str">
        <f>IF($B1205="","",RANK($D1205,$D$2:$D$1501)+COUNTIF($D$2:D1205,$D1205)-1)</f>
        <v/>
      </c>
    </row>
    <row r="1206" spans="1:7">
      <c r="A1206" s="11">
        <v>1205</v>
      </c>
      <c r="B1206" s="11" t="str">
        <f>IFERROR(INDEX('Raw Data'!$R$2:$R$50000,MATCH(1205,'Raw Data'!$W$2:$W$50000,0)),"")</f>
        <v/>
      </c>
      <c r="C1206" s="11" t="str">
        <f t="shared" si="18"/>
        <v/>
      </c>
      <c r="D1206" s="11" t="str">
        <f>IF($B1206="","",COUNTIFS('Raw Data'!$R$2:$R$50000,$B1206))</f>
        <v/>
      </c>
      <c r="E1206" s="11" t="str">
        <f>IF($B1206="","",SUMIFS('Raw Data'!$I$2:$I$50000,'Raw Data'!$R$2:$R$50000,$B1206))</f>
        <v/>
      </c>
      <c r="F1206" s="11" t="str">
        <f>IF($B1206="","",RANK($E1206,$E$2:$E$1501)+COUNTIF($E$2:E1206,$E1206)-1)</f>
        <v/>
      </c>
      <c r="G1206" s="11" t="str">
        <f>IF($B1206="","",RANK($D1206,$D$2:$D$1501)+COUNTIF($D$2:D1206,$D1206)-1)</f>
        <v/>
      </c>
    </row>
    <row r="1207" spans="1:7">
      <c r="A1207" s="11">
        <v>1206</v>
      </c>
      <c r="B1207" s="11" t="str">
        <f>IFERROR(INDEX('Raw Data'!$R$2:$R$50000,MATCH(1206,'Raw Data'!$W$2:$W$50000,0)),"")</f>
        <v/>
      </c>
      <c r="C1207" s="11" t="str">
        <f t="shared" si="18"/>
        <v/>
      </c>
      <c r="D1207" s="11" t="str">
        <f>IF($B1207="","",COUNTIFS('Raw Data'!$R$2:$R$50000,$B1207))</f>
        <v/>
      </c>
      <c r="E1207" s="11" t="str">
        <f>IF($B1207="","",SUMIFS('Raw Data'!$I$2:$I$50000,'Raw Data'!$R$2:$R$50000,$B1207))</f>
        <v/>
      </c>
      <c r="F1207" s="11" t="str">
        <f>IF($B1207="","",RANK($E1207,$E$2:$E$1501)+COUNTIF($E$2:E1207,$E1207)-1)</f>
        <v/>
      </c>
      <c r="G1207" s="11" t="str">
        <f>IF($B1207="","",RANK($D1207,$D$2:$D$1501)+COUNTIF($D$2:D1207,$D1207)-1)</f>
        <v/>
      </c>
    </row>
    <row r="1208" spans="1:7">
      <c r="A1208" s="11">
        <v>1207</v>
      </c>
      <c r="B1208" s="11" t="str">
        <f>IFERROR(INDEX('Raw Data'!$R$2:$R$50000,MATCH(1207,'Raw Data'!$W$2:$W$50000,0)),"")</f>
        <v/>
      </c>
      <c r="C1208" s="11" t="str">
        <f t="shared" si="18"/>
        <v/>
      </c>
      <c r="D1208" s="11" t="str">
        <f>IF($B1208="","",COUNTIFS('Raw Data'!$R$2:$R$50000,$B1208))</f>
        <v/>
      </c>
      <c r="E1208" s="11" t="str">
        <f>IF($B1208="","",SUMIFS('Raw Data'!$I$2:$I$50000,'Raw Data'!$R$2:$R$50000,$B1208))</f>
        <v/>
      </c>
      <c r="F1208" s="11" t="str">
        <f>IF($B1208="","",RANK($E1208,$E$2:$E$1501)+COUNTIF($E$2:E1208,$E1208)-1)</f>
        <v/>
      </c>
      <c r="G1208" s="11" t="str">
        <f>IF($B1208="","",RANK($D1208,$D$2:$D$1501)+COUNTIF($D$2:D1208,$D1208)-1)</f>
        <v/>
      </c>
    </row>
    <row r="1209" spans="1:7">
      <c r="A1209" s="11">
        <v>1208</v>
      </c>
      <c r="B1209" s="11" t="str">
        <f>IFERROR(INDEX('Raw Data'!$R$2:$R$50000,MATCH(1208,'Raw Data'!$W$2:$W$50000,0)),"")</f>
        <v/>
      </c>
      <c r="C1209" s="11" t="str">
        <f t="shared" si="18"/>
        <v/>
      </c>
      <c r="D1209" s="11" t="str">
        <f>IF($B1209="","",COUNTIFS('Raw Data'!$R$2:$R$50000,$B1209))</f>
        <v/>
      </c>
      <c r="E1209" s="11" t="str">
        <f>IF($B1209="","",SUMIFS('Raw Data'!$I$2:$I$50000,'Raw Data'!$R$2:$R$50000,$B1209))</f>
        <v/>
      </c>
      <c r="F1209" s="11" t="str">
        <f>IF($B1209="","",RANK($E1209,$E$2:$E$1501)+COUNTIF($E$2:E1209,$E1209)-1)</f>
        <v/>
      </c>
      <c r="G1209" s="11" t="str">
        <f>IF($B1209="","",RANK($D1209,$D$2:$D$1501)+COUNTIF($D$2:D1209,$D1209)-1)</f>
        <v/>
      </c>
    </row>
    <row r="1210" spans="1:7">
      <c r="A1210" s="11">
        <v>1209</v>
      </c>
      <c r="B1210" s="11" t="str">
        <f>IFERROR(INDEX('Raw Data'!$R$2:$R$50000,MATCH(1209,'Raw Data'!$W$2:$W$50000,0)),"")</f>
        <v/>
      </c>
      <c r="C1210" s="11" t="str">
        <f t="shared" si="18"/>
        <v/>
      </c>
      <c r="D1210" s="11" t="str">
        <f>IF($B1210="","",COUNTIFS('Raw Data'!$R$2:$R$50000,$B1210))</f>
        <v/>
      </c>
      <c r="E1210" s="11" t="str">
        <f>IF($B1210="","",SUMIFS('Raw Data'!$I$2:$I$50000,'Raw Data'!$R$2:$R$50000,$B1210))</f>
        <v/>
      </c>
      <c r="F1210" s="11" t="str">
        <f>IF($B1210="","",RANK($E1210,$E$2:$E$1501)+COUNTIF($E$2:E1210,$E1210)-1)</f>
        <v/>
      </c>
      <c r="G1210" s="11" t="str">
        <f>IF($B1210="","",RANK($D1210,$D$2:$D$1501)+COUNTIF($D$2:D1210,$D1210)-1)</f>
        <v/>
      </c>
    </row>
    <row r="1211" spans="1:7">
      <c r="A1211" s="11">
        <v>1210</v>
      </c>
      <c r="B1211" s="11" t="str">
        <f>IFERROR(INDEX('Raw Data'!$R$2:$R$50000,MATCH(1210,'Raw Data'!$W$2:$W$50000,0)),"")</f>
        <v/>
      </c>
      <c r="C1211" s="11" t="str">
        <f t="shared" si="18"/>
        <v/>
      </c>
      <c r="D1211" s="11" t="str">
        <f>IF($B1211="","",COUNTIFS('Raw Data'!$R$2:$R$50000,$B1211))</f>
        <v/>
      </c>
      <c r="E1211" s="11" t="str">
        <f>IF($B1211="","",SUMIFS('Raw Data'!$I$2:$I$50000,'Raw Data'!$R$2:$R$50000,$B1211))</f>
        <v/>
      </c>
      <c r="F1211" s="11" t="str">
        <f>IF($B1211="","",RANK($E1211,$E$2:$E$1501)+COUNTIF($E$2:E1211,$E1211)-1)</f>
        <v/>
      </c>
      <c r="G1211" s="11" t="str">
        <f>IF($B1211="","",RANK($D1211,$D$2:$D$1501)+COUNTIF($D$2:D1211,$D1211)-1)</f>
        <v/>
      </c>
    </row>
    <row r="1212" spans="1:7">
      <c r="A1212" s="11">
        <v>1211</v>
      </c>
      <c r="B1212" s="11" t="str">
        <f>IFERROR(INDEX('Raw Data'!$R$2:$R$50000,MATCH(1211,'Raw Data'!$W$2:$W$50000,0)),"")</f>
        <v/>
      </c>
      <c r="C1212" s="11" t="str">
        <f t="shared" si="18"/>
        <v/>
      </c>
      <c r="D1212" s="11" t="str">
        <f>IF($B1212="","",COUNTIFS('Raw Data'!$R$2:$R$50000,$B1212))</f>
        <v/>
      </c>
      <c r="E1212" s="11" t="str">
        <f>IF($B1212="","",SUMIFS('Raw Data'!$I$2:$I$50000,'Raw Data'!$R$2:$R$50000,$B1212))</f>
        <v/>
      </c>
      <c r="F1212" s="11" t="str">
        <f>IF($B1212="","",RANK($E1212,$E$2:$E$1501)+COUNTIF($E$2:E1212,$E1212)-1)</f>
        <v/>
      </c>
      <c r="G1212" s="11" t="str">
        <f>IF($B1212="","",RANK($D1212,$D$2:$D$1501)+COUNTIF($D$2:D1212,$D1212)-1)</f>
        <v/>
      </c>
    </row>
    <row r="1213" spans="1:7">
      <c r="A1213" s="11">
        <v>1212</v>
      </c>
      <c r="B1213" s="11" t="str">
        <f>IFERROR(INDEX('Raw Data'!$R$2:$R$50000,MATCH(1212,'Raw Data'!$W$2:$W$50000,0)),"")</f>
        <v/>
      </c>
      <c r="C1213" s="11" t="str">
        <f t="shared" si="18"/>
        <v/>
      </c>
      <c r="D1213" s="11" t="str">
        <f>IF($B1213="","",COUNTIFS('Raw Data'!$R$2:$R$50000,$B1213))</f>
        <v/>
      </c>
      <c r="E1213" s="11" t="str">
        <f>IF($B1213="","",SUMIFS('Raw Data'!$I$2:$I$50000,'Raw Data'!$R$2:$R$50000,$B1213))</f>
        <v/>
      </c>
      <c r="F1213" s="11" t="str">
        <f>IF($B1213="","",RANK($E1213,$E$2:$E$1501)+COUNTIF($E$2:E1213,$E1213)-1)</f>
        <v/>
      </c>
      <c r="G1213" s="11" t="str">
        <f>IF($B1213="","",RANK($D1213,$D$2:$D$1501)+COUNTIF($D$2:D1213,$D1213)-1)</f>
        <v/>
      </c>
    </row>
    <row r="1214" spans="1:7">
      <c r="A1214" s="11">
        <v>1213</v>
      </c>
      <c r="B1214" s="11" t="str">
        <f>IFERROR(INDEX('Raw Data'!$R$2:$R$50000,MATCH(1213,'Raw Data'!$W$2:$W$50000,0)),"")</f>
        <v/>
      </c>
      <c r="C1214" s="11" t="str">
        <f t="shared" si="18"/>
        <v/>
      </c>
      <c r="D1214" s="11" t="str">
        <f>IF($B1214="","",COUNTIFS('Raw Data'!$R$2:$R$50000,$B1214))</f>
        <v/>
      </c>
      <c r="E1214" s="11" t="str">
        <f>IF($B1214="","",SUMIFS('Raw Data'!$I$2:$I$50000,'Raw Data'!$R$2:$R$50000,$B1214))</f>
        <v/>
      </c>
      <c r="F1214" s="11" t="str">
        <f>IF($B1214="","",RANK($E1214,$E$2:$E$1501)+COUNTIF($E$2:E1214,$E1214)-1)</f>
        <v/>
      </c>
      <c r="G1214" s="11" t="str">
        <f>IF($B1214="","",RANK($D1214,$D$2:$D$1501)+COUNTIF($D$2:D1214,$D1214)-1)</f>
        <v/>
      </c>
    </row>
    <row r="1215" spans="1:7">
      <c r="A1215" s="11">
        <v>1214</v>
      </c>
      <c r="B1215" s="11" t="str">
        <f>IFERROR(INDEX('Raw Data'!$R$2:$R$50000,MATCH(1214,'Raw Data'!$W$2:$W$50000,0)),"")</f>
        <v/>
      </c>
      <c r="C1215" s="11" t="str">
        <f t="shared" si="18"/>
        <v/>
      </c>
      <c r="D1215" s="11" t="str">
        <f>IF($B1215="","",COUNTIFS('Raw Data'!$R$2:$R$50000,$B1215))</f>
        <v/>
      </c>
      <c r="E1215" s="11" t="str">
        <f>IF($B1215="","",SUMIFS('Raw Data'!$I$2:$I$50000,'Raw Data'!$R$2:$R$50000,$B1215))</f>
        <v/>
      </c>
      <c r="F1215" s="11" t="str">
        <f>IF($B1215="","",RANK($E1215,$E$2:$E$1501)+COUNTIF($E$2:E1215,$E1215)-1)</f>
        <v/>
      </c>
      <c r="G1215" s="11" t="str">
        <f>IF($B1215="","",RANK($D1215,$D$2:$D$1501)+COUNTIF($D$2:D1215,$D1215)-1)</f>
        <v/>
      </c>
    </row>
    <row r="1216" spans="1:7">
      <c r="A1216" s="11">
        <v>1215</v>
      </c>
      <c r="B1216" s="11" t="str">
        <f>IFERROR(INDEX('Raw Data'!$R$2:$R$50000,MATCH(1215,'Raw Data'!$W$2:$W$50000,0)),"")</f>
        <v/>
      </c>
      <c r="C1216" s="11" t="str">
        <f t="shared" si="18"/>
        <v/>
      </c>
      <c r="D1216" s="11" t="str">
        <f>IF($B1216="","",COUNTIFS('Raw Data'!$R$2:$R$50000,$B1216))</f>
        <v/>
      </c>
      <c r="E1216" s="11" t="str">
        <f>IF($B1216="","",SUMIFS('Raw Data'!$I$2:$I$50000,'Raw Data'!$R$2:$R$50000,$B1216))</f>
        <v/>
      </c>
      <c r="F1216" s="11" t="str">
        <f>IF($B1216="","",RANK($E1216,$E$2:$E$1501)+COUNTIF($E$2:E1216,$E1216)-1)</f>
        <v/>
      </c>
      <c r="G1216" s="11" t="str">
        <f>IF($B1216="","",RANK($D1216,$D$2:$D$1501)+COUNTIF($D$2:D1216,$D1216)-1)</f>
        <v/>
      </c>
    </row>
    <row r="1217" spans="1:7">
      <c r="A1217" s="11">
        <v>1216</v>
      </c>
      <c r="B1217" s="11" t="str">
        <f>IFERROR(INDEX('Raw Data'!$R$2:$R$50000,MATCH(1216,'Raw Data'!$W$2:$W$50000,0)),"")</f>
        <v/>
      </c>
      <c r="C1217" s="11" t="str">
        <f t="shared" si="18"/>
        <v/>
      </c>
      <c r="D1217" s="11" t="str">
        <f>IF($B1217="","",COUNTIFS('Raw Data'!$R$2:$R$50000,$B1217))</f>
        <v/>
      </c>
      <c r="E1217" s="11" t="str">
        <f>IF($B1217="","",SUMIFS('Raw Data'!$I$2:$I$50000,'Raw Data'!$R$2:$R$50000,$B1217))</f>
        <v/>
      </c>
      <c r="F1217" s="11" t="str">
        <f>IF($B1217="","",RANK($E1217,$E$2:$E$1501)+COUNTIF($E$2:E1217,$E1217)-1)</f>
        <v/>
      </c>
      <c r="G1217" s="11" t="str">
        <f>IF($B1217="","",RANK($D1217,$D$2:$D$1501)+COUNTIF($D$2:D1217,$D1217)-1)</f>
        <v/>
      </c>
    </row>
    <row r="1218" spans="1:7">
      <c r="A1218" s="11">
        <v>1217</v>
      </c>
      <c r="B1218" s="11" t="str">
        <f>IFERROR(INDEX('Raw Data'!$R$2:$R$50000,MATCH(1217,'Raw Data'!$W$2:$W$50000,0)),"")</f>
        <v/>
      </c>
      <c r="C1218" s="11" t="str">
        <f t="shared" ref="C1218:C1281" si="19">IF($B1218="","",$B1218)</f>
        <v/>
      </c>
      <c r="D1218" s="11" t="str">
        <f>IF($B1218="","",COUNTIFS('Raw Data'!$R$2:$R$50000,$B1218))</f>
        <v/>
      </c>
      <c r="E1218" s="11" t="str">
        <f>IF($B1218="","",SUMIFS('Raw Data'!$I$2:$I$50000,'Raw Data'!$R$2:$R$50000,$B1218))</f>
        <v/>
      </c>
      <c r="F1218" s="11" t="str">
        <f>IF($B1218="","",RANK($E1218,$E$2:$E$1501)+COUNTIF($E$2:E1218,$E1218)-1)</f>
        <v/>
      </c>
      <c r="G1218" s="11" t="str">
        <f>IF($B1218="","",RANK($D1218,$D$2:$D$1501)+COUNTIF($D$2:D1218,$D1218)-1)</f>
        <v/>
      </c>
    </row>
    <row r="1219" spans="1:7">
      <c r="A1219" s="11">
        <v>1218</v>
      </c>
      <c r="B1219" s="11" t="str">
        <f>IFERROR(INDEX('Raw Data'!$R$2:$R$50000,MATCH(1218,'Raw Data'!$W$2:$W$50000,0)),"")</f>
        <v/>
      </c>
      <c r="C1219" s="11" t="str">
        <f t="shared" si="19"/>
        <v/>
      </c>
      <c r="D1219" s="11" t="str">
        <f>IF($B1219="","",COUNTIFS('Raw Data'!$R$2:$R$50000,$B1219))</f>
        <v/>
      </c>
      <c r="E1219" s="11" t="str">
        <f>IF($B1219="","",SUMIFS('Raw Data'!$I$2:$I$50000,'Raw Data'!$R$2:$R$50000,$B1219))</f>
        <v/>
      </c>
      <c r="F1219" s="11" t="str">
        <f>IF($B1219="","",RANK($E1219,$E$2:$E$1501)+COUNTIF($E$2:E1219,$E1219)-1)</f>
        <v/>
      </c>
      <c r="G1219" s="11" t="str">
        <f>IF($B1219="","",RANK($D1219,$D$2:$D$1501)+COUNTIF($D$2:D1219,$D1219)-1)</f>
        <v/>
      </c>
    </row>
    <row r="1220" spans="1:7">
      <c r="A1220" s="11">
        <v>1219</v>
      </c>
      <c r="B1220" s="11" t="str">
        <f>IFERROR(INDEX('Raw Data'!$R$2:$R$50000,MATCH(1219,'Raw Data'!$W$2:$W$50000,0)),"")</f>
        <v/>
      </c>
      <c r="C1220" s="11" t="str">
        <f t="shared" si="19"/>
        <v/>
      </c>
      <c r="D1220" s="11" t="str">
        <f>IF($B1220="","",COUNTIFS('Raw Data'!$R$2:$R$50000,$B1220))</f>
        <v/>
      </c>
      <c r="E1220" s="11" t="str">
        <f>IF($B1220="","",SUMIFS('Raw Data'!$I$2:$I$50000,'Raw Data'!$R$2:$R$50000,$B1220))</f>
        <v/>
      </c>
      <c r="F1220" s="11" t="str">
        <f>IF($B1220="","",RANK($E1220,$E$2:$E$1501)+COUNTIF($E$2:E1220,$E1220)-1)</f>
        <v/>
      </c>
      <c r="G1220" s="11" t="str">
        <f>IF($B1220="","",RANK($D1220,$D$2:$D$1501)+COUNTIF($D$2:D1220,$D1220)-1)</f>
        <v/>
      </c>
    </row>
    <row r="1221" spans="1:7">
      <c r="A1221" s="11">
        <v>1220</v>
      </c>
      <c r="B1221" s="11" t="str">
        <f>IFERROR(INDEX('Raw Data'!$R$2:$R$50000,MATCH(1220,'Raw Data'!$W$2:$W$50000,0)),"")</f>
        <v/>
      </c>
      <c r="C1221" s="11" t="str">
        <f t="shared" si="19"/>
        <v/>
      </c>
      <c r="D1221" s="11" t="str">
        <f>IF($B1221="","",COUNTIFS('Raw Data'!$R$2:$R$50000,$B1221))</f>
        <v/>
      </c>
      <c r="E1221" s="11" t="str">
        <f>IF($B1221="","",SUMIFS('Raw Data'!$I$2:$I$50000,'Raw Data'!$R$2:$R$50000,$B1221))</f>
        <v/>
      </c>
      <c r="F1221" s="11" t="str">
        <f>IF($B1221="","",RANK($E1221,$E$2:$E$1501)+COUNTIF($E$2:E1221,$E1221)-1)</f>
        <v/>
      </c>
      <c r="G1221" s="11" t="str">
        <f>IF($B1221="","",RANK($D1221,$D$2:$D$1501)+COUNTIF($D$2:D1221,$D1221)-1)</f>
        <v/>
      </c>
    </row>
    <row r="1222" spans="1:7">
      <c r="A1222" s="11">
        <v>1221</v>
      </c>
      <c r="B1222" s="11" t="str">
        <f>IFERROR(INDEX('Raw Data'!$R$2:$R$50000,MATCH(1221,'Raw Data'!$W$2:$W$50000,0)),"")</f>
        <v/>
      </c>
      <c r="C1222" s="11" t="str">
        <f t="shared" si="19"/>
        <v/>
      </c>
      <c r="D1222" s="11" t="str">
        <f>IF($B1222="","",COUNTIFS('Raw Data'!$R$2:$R$50000,$B1222))</f>
        <v/>
      </c>
      <c r="E1222" s="11" t="str">
        <f>IF($B1222="","",SUMIFS('Raw Data'!$I$2:$I$50000,'Raw Data'!$R$2:$R$50000,$B1222))</f>
        <v/>
      </c>
      <c r="F1222" s="11" t="str">
        <f>IF($B1222="","",RANK($E1222,$E$2:$E$1501)+COUNTIF($E$2:E1222,$E1222)-1)</f>
        <v/>
      </c>
      <c r="G1222" s="11" t="str">
        <f>IF($B1222="","",RANK($D1222,$D$2:$D$1501)+COUNTIF($D$2:D1222,$D1222)-1)</f>
        <v/>
      </c>
    </row>
    <row r="1223" spans="1:7">
      <c r="A1223" s="11">
        <v>1222</v>
      </c>
      <c r="B1223" s="11" t="str">
        <f>IFERROR(INDEX('Raw Data'!$R$2:$R$50000,MATCH(1222,'Raw Data'!$W$2:$W$50000,0)),"")</f>
        <v/>
      </c>
      <c r="C1223" s="11" t="str">
        <f t="shared" si="19"/>
        <v/>
      </c>
      <c r="D1223" s="11" t="str">
        <f>IF($B1223="","",COUNTIFS('Raw Data'!$R$2:$R$50000,$B1223))</f>
        <v/>
      </c>
      <c r="E1223" s="11" t="str">
        <f>IF($B1223="","",SUMIFS('Raw Data'!$I$2:$I$50000,'Raw Data'!$R$2:$R$50000,$B1223))</f>
        <v/>
      </c>
      <c r="F1223" s="11" t="str">
        <f>IF($B1223="","",RANK($E1223,$E$2:$E$1501)+COUNTIF($E$2:E1223,$E1223)-1)</f>
        <v/>
      </c>
      <c r="G1223" s="11" t="str">
        <f>IF($B1223="","",RANK($D1223,$D$2:$D$1501)+COUNTIF($D$2:D1223,$D1223)-1)</f>
        <v/>
      </c>
    </row>
    <row r="1224" spans="1:7">
      <c r="A1224" s="11">
        <v>1223</v>
      </c>
      <c r="B1224" s="11" t="str">
        <f>IFERROR(INDEX('Raw Data'!$R$2:$R$50000,MATCH(1223,'Raw Data'!$W$2:$W$50000,0)),"")</f>
        <v/>
      </c>
      <c r="C1224" s="11" t="str">
        <f t="shared" si="19"/>
        <v/>
      </c>
      <c r="D1224" s="11" t="str">
        <f>IF($B1224="","",COUNTIFS('Raw Data'!$R$2:$R$50000,$B1224))</f>
        <v/>
      </c>
      <c r="E1224" s="11" t="str">
        <f>IF($B1224="","",SUMIFS('Raw Data'!$I$2:$I$50000,'Raw Data'!$R$2:$R$50000,$B1224))</f>
        <v/>
      </c>
      <c r="F1224" s="11" t="str">
        <f>IF($B1224="","",RANK($E1224,$E$2:$E$1501)+COUNTIF($E$2:E1224,$E1224)-1)</f>
        <v/>
      </c>
      <c r="G1224" s="11" t="str">
        <f>IF($B1224="","",RANK($D1224,$D$2:$D$1501)+COUNTIF($D$2:D1224,$D1224)-1)</f>
        <v/>
      </c>
    </row>
    <row r="1225" spans="1:7">
      <c r="A1225" s="11">
        <v>1224</v>
      </c>
      <c r="B1225" s="11" t="str">
        <f>IFERROR(INDEX('Raw Data'!$R$2:$R$50000,MATCH(1224,'Raw Data'!$W$2:$W$50000,0)),"")</f>
        <v/>
      </c>
      <c r="C1225" s="11" t="str">
        <f t="shared" si="19"/>
        <v/>
      </c>
      <c r="D1225" s="11" t="str">
        <f>IF($B1225="","",COUNTIFS('Raw Data'!$R$2:$R$50000,$B1225))</f>
        <v/>
      </c>
      <c r="E1225" s="11" t="str">
        <f>IF($B1225="","",SUMIFS('Raw Data'!$I$2:$I$50000,'Raw Data'!$R$2:$R$50000,$B1225))</f>
        <v/>
      </c>
      <c r="F1225" s="11" t="str">
        <f>IF($B1225="","",RANK($E1225,$E$2:$E$1501)+COUNTIF($E$2:E1225,$E1225)-1)</f>
        <v/>
      </c>
      <c r="G1225" s="11" t="str">
        <f>IF($B1225="","",RANK($D1225,$D$2:$D$1501)+COUNTIF($D$2:D1225,$D1225)-1)</f>
        <v/>
      </c>
    </row>
    <row r="1226" spans="1:7">
      <c r="A1226" s="11">
        <v>1225</v>
      </c>
      <c r="B1226" s="11" t="str">
        <f>IFERROR(INDEX('Raw Data'!$R$2:$R$50000,MATCH(1225,'Raw Data'!$W$2:$W$50000,0)),"")</f>
        <v/>
      </c>
      <c r="C1226" s="11" t="str">
        <f t="shared" si="19"/>
        <v/>
      </c>
      <c r="D1226" s="11" t="str">
        <f>IF($B1226="","",COUNTIFS('Raw Data'!$R$2:$R$50000,$B1226))</f>
        <v/>
      </c>
      <c r="E1226" s="11" t="str">
        <f>IF($B1226="","",SUMIFS('Raw Data'!$I$2:$I$50000,'Raw Data'!$R$2:$R$50000,$B1226))</f>
        <v/>
      </c>
      <c r="F1226" s="11" t="str">
        <f>IF($B1226="","",RANK($E1226,$E$2:$E$1501)+COUNTIF($E$2:E1226,$E1226)-1)</f>
        <v/>
      </c>
      <c r="G1226" s="11" t="str">
        <f>IF($B1226="","",RANK($D1226,$D$2:$D$1501)+COUNTIF($D$2:D1226,$D1226)-1)</f>
        <v/>
      </c>
    </row>
    <row r="1227" spans="1:7">
      <c r="A1227" s="11">
        <v>1226</v>
      </c>
      <c r="B1227" s="11" t="str">
        <f>IFERROR(INDEX('Raw Data'!$R$2:$R$50000,MATCH(1226,'Raw Data'!$W$2:$W$50000,0)),"")</f>
        <v/>
      </c>
      <c r="C1227" s="11" t="str">
        <f t="shared" si="19"/>
        <v/>
      </c>
      <c r="D1227" s="11" t="str">
        <f>IF($B1227="","",COUNTIFS('Raw Data'!$R$2:$R$50000,$B1227))</f>
        <v/>
      </c>
      <c r="E1227" s="11" t="str">
        <f>IF($B1227="","",SUMIFS('Raw Data'!$I$2:$I$50000,'Raw Data'!$R$2:$R$50000,$B1227))</f>
        <v/>
      </c>
      <c r="F1227" s="11" t="str">
        <f>IF($B1227="","",RANK($E1227,$E$2:$E$1501)+COUNTIF($E$2:E1227,$E1227)-1)</f>
        <v/>
      </c>
      <c r="G1227" s="11" t="str">
        <f>IF($B1227="","",RANK($D1227,$D$2:$D$1501)+COUNTIF($D$2:D1227,$D1227)-1)</f>
        <v/>
      </c>
    </row>
    <row r="1228" spans="1:7">
      <c r="A1228" s="11">
        <v>1227</v>
      </c>
      <c r="B1228" s="11" t="str">
        <f>IFERROR(INDEX('Raw Data'!$R$2:$R$50000,MATCH(1227,'Raw Data'!$W$2:$W$50000,0)),"")</f>
        <v/>
      </c>
      <c r="C1228" s="11" t="str">
        <f t="shared" si="19"/>
        <v/>
      </c>
      <c r="D1228" s="11" t="str">
        <f>IF($B1228="","",COUNTIFS('Raw Data'!$R$2:$R$50000,$B1228))</f>
        <v/>
      </c>
      <c r="E1228" s="11" t="str">
        <f>IF($B1228="","",SUMIFS('Raw Data'!$I$2:$I$50000,'Raw Data'!$R$2:$R$50000,$B1228))</f>
        <v/>
      </c>
      <c r="F1228" s="11" t="str">
        <f>IF($B1228="","",RANK($E1228,$E$2:$E$1501)+COUNTIF($E$2:E1228,$E1228)-1)</f>
        <v/>
      </c>
      <c r="G1228" s="11" t="str">
        <f>IF($B1228="","",RANK($D1228,$D$2:$D$1501)+COUNTIF($D$2:D1228,$D1228)-1)</f>
        <v/>
      </c>
    </row>
    <row r="1229" spans="1:7">
      <c r="A1229" s="11">
        <v>1228</v>
      </c>
      <c r="B1229" s="11" t="str">
        <f>IFERROR(INDEX('Raw Data'!$R$2:$R$50000,MATCH(1228,'Raw Data'!$W$2:$W$50000,0)),"")</f>
        <v/>
      </c>
      <c r="C1229" s="11" t="str">
        <f t="shared" si="19"/>
        <v/>
      </c>
      <c r="D1229" s="11" t="str">
        <f>IF($B1229="","",COUNTIFS('Raw Data'!$R$2:$R$50000,$B1229))</f>
        <v/>
      </c>
      <c r="E1229" s="11" t="str">
        <f>IF($B1229="","",SUMIFS('Raw Data'!$I$2:$I$50000,'Raw Data'!$R$2:$R$50000,$B1229))</f>
        <v/>
      </c>
      <c r="F1229" s="11" t="str">
        <f>IF($B1229="","",RANK($E1229,$E$2:$E$1501)+COUNTIF($E$2:E1229,$E1229)-1)</f>
        <v/>
      </c>
      <c r="G1229" s="11" t="str">
        <f>IF($B1229="","",RANK($D1229,$D$2:$D$1501)+COUNTIF($D$2:D1229,$D1229)-1)</f>
        <v/>
      </c>
    </row>
    <row r="1230" spans="1:7">
      <c r="A1230" s="11">
        <v>1229</v>
      </c>
      <c r="B1230" s="11" t="str">
        <f>IFERROR(INDEX('Raw Data'!$R$2:$R$50000,MATCH(1229,'Raw Data'!$W$2:$W$50000,0)),"")</f>
        <v/>
      </c>
      <c r="C1230" s="11" t="str">
        <f t="shared" si="19"/>
        <v/>
      </c>
      <c r="D1230" s="11" t="str">
        <f>IF($B1230="","",COUNTIFS('Raw Data'!$R$2:$R$50000,$B1230))</f>
        <v/>
      </c>
      <c r="E1230" s="11" t="str">
        <f>IF($B1230="","",SUMIFS('Raw Data'!$I$2:$I$50000,'Raw Data'!$R$2:$R$50000,$B1230))</f>
        <v/>
      </c>
      <c r="F1230" s="11" t="str">
        <f>IF($B1230="","",RANK($E1230,$E$2:$E$1501)+COUNTIF($E$2:E1230,$E1230)-1)</f>
        <v/>
      </c>
      <c r="G1230" s="11" t="str">
        <f>IF($B1230="","",RANK($D1230,$D$2:$D$1501)+COUNTIF($D$2:D1230,$D1230)-1)</f>
        <v/>
      </c>
    </row>
    <row r="1231" spans="1:7">
      <c r="A1231" s="11">
        <v>1230</v>
      </c>
      <c r="B1231" s="11" t="str">
        <f>IFERROR(INDEX('Raw Data'!$R$2:$R$50000,MATCH(1230,'Raw Data'!$W$2:$W$50000,0)),"")</f>
        <v/>
      </c>
      <c r="C1231" s="11" t="str">
        <f t="shared" si="19"/>
        <v/>
      </c>
      <c r="D1231" s="11" t="str">
        <f>IF($B1231="","",COUNTIFS('Raw Data'!$R$2:$R$50000,$B1231))</f>
        <v/>
      </c>
      <c r="E1231" s="11" t="str">
        <f>IF($B1231="","",SUMIFS('Raw Data'!$I$2:$I$50000,'Raw Data'!$R$2:$R$50000,$B1231))</f>
        <v/>
      </c>
      <c r="F1231" s="11" t="str">
        <f>IF($B1231="","",RANK($E1231,$E$2:$E$1501)+COUNTIF($E$2:E1231,$E1231)-1)</f>
        <v/>
      </c>
      <c r="G1231" s="11" t="str">
        <f>IF($B1231="","",RANK($D1231,$D$2:$D$1501)+COUNTIF($D$2:D1231,$D1231)-1)</f>
        <v/>
      </c>
    </row>
    <row r="1232" spans="1:7">
      <c r="A1232" s="11">
        <v>1231</v>
      </c>
      <c r="B1232" s="11" t="str">
        <f>IFERROR(INDEX('Raw Data'!$R$2:$R$50000,MATCH(1231,'Raw Data'!$W$2:$W$50000,0)),"")</f>
        <v/>
      </c>
      <c r="C1232" s="11" t="str">
        <f t="shared" si="19"/>
        <v/>
      </c>
      <c r="D1232" s="11" t="str">
        <f>IF($B1232="","",COUNTIFS('Raw Data'!$R$2:$R$50000,$B1232))</f>
        <v/>
      </c>
      <c r="E1232" s="11" t="str">
        <f>IF($B1232="","",SUMIFS('Raw Data'!$I$2:$I$50000,'Raw Data'!$R$2:$R$50000,$B1232))</f>
        <v/>
      </c>
      <c r="F1232" s="11" t="str">
        <f>IF($B1232="","",RANK($E1232,$E$2:$E$1501)+COUNTIF($E$2:E1232,$E1232)-1)</f>
        <v/>
      </c>
      <c r="G1232" s="11" t="str">
        <f>IF($B1232="","",RANK($D1232,$D$2:$D$1501)+COUNTIF($D$2:D1232,$D1232)-1)</f>
        <v/>
      </c>
    </row>
    <row r="1233" spans="1:7">
      <c r="A1233" s="11">
        <v>1232</v>
      </c>
      <c r="B1233" s="11" t="str">
        <f>IFERROR(INDEX('Raw Data'!$R$2:$R$50000,MATCH(1232,'Raw Data'!$W$2:$W$50000,0)),"")</f>
        <v/>
      </c>
      <c r="C1233" s="11" t="str">
        <f t="shared" si="19"/>
        <v/>
      </c>
      <c r="D1233" s="11" t="str">
        <f>IF($B1233="","",COUNTIFS('Raw Data'!$R$2:$R$50000,$B1233))</f>
        <v/>
      </c>
      <c r="E1233" s="11" t="str">
        <f>IF($B1233="","",SUMIFS('Raw Data'!$I$2:$I$50000,'Raw Data'!$R$2:$R$50000,$B1233))</f>
        <v/>
      </c>
      <c r="F1233" s="11" t="str">
        <f>IF($B1233="","",RANK($E1233,$E$2:$E$1501)+COUNTIF($E$2:E1233,$E1233)-1)</f>
        <v/>
      </c>
      <c r="G1233" s="11" t="str">
        <f>IF($B1233="","",RANK($D1233,$D$2:$D$1501)+COUNTIF($D$2:D1233,$D1233)-1)</f>
        <v/>
      </c>
    </row>
    <row r="1234" spans="1:7">
      <c r="A1234" s="11">
        <v>1233</v>
      </c>
      <c r="B1234" s="11" t="str">
        <f>IFERROR(INDEX('Raw Data'!$R$2:$R$50000,MATCH(1233,'Raw Data'!$W$2:$W$50000,0)),"")</f>
        <v/>
      </c>
      <c r="C1234" s="11" t="str">
        <f t="shared" si="19"/>
        <v/>
      </c>
      <c r="D1234" s="11" t="str">
        <f>IF($B1234="","",COUNTIFS('Raw Data'!$R$2:$R$50000,$B1234))</f>
        <v/>
      </c>
      <c r="E1234" s="11" t="str">
        <f>IF($B1234="","",SUMIFS('Raw Data'!$I$2:$I$50000,'Raw Data'!$R$2:$R$50000,$B1234))</f>
        <v/>
      </c>
      <c r="F1234" s="11" t="str">
        <f>IF($B1234="","",RANK($E1234,$E$2:$E$1501)+COUNTIF($E$2:E1234,$E1234)-1)</f>
        <v/>
      </c>
      <c r="G1234" s="11" t="str">
        <f>IF($B1234="","",RANK($D1234,$D$2:$D$1501)+COUNTIF($D$2:D1234,$D1234)-1)</f>
        <v/>
      </c>
    </row>
    <row r="1235" spans="1:7">
      <c r="A1235" s="11">
        <v>1234</v>
      </c>
      <c r="B1235" s="11" t="str">
        <f>IFERROR(INDEX('Raw Data'!$R$2:$R$50000,MATCH(1234,'Raw Data'!$W$2:$W$50000,0)),"")</f>
        <v/>
      </c>
      <c r="C1235" s="11" t="str">
        <f t="shared" si="19"/>
        <v/>
      </c>
      <c r="D1235" s="11" t="str">
        <f>IF($B1235="","",COUNTIFS('Raw Data'!$R$2:$R$50000,$B1235))</f>
        <v/>
      </c>
      <c r="E1235" s="11" t="str">
        <f>IF($B1235="","",SUMIFS('Raw Data'!$I$2:$I$50000,'Raw Data'!$R$2:$R$50000,$B1235))</f>
        <v/>
      </c>
      <c r="F1235" s="11" t="str">
        <f>IF($B1235="","",RANK($E1235,$E$2:$E$1501)+COUNTIF($E$2:E1235,$E1235)-1)</f>
        <v/>
      </c>
      <c r="G1235" s="11" t="str">
        <f>IF($B1235="","",RANK($D1235,$D$2:$D$1501)+COUNTIF($D$2:D1235,$D1235)-1)</f>
        <v/>
      </c>
    </row>
    <row r="1236" spans="1:7">
      <c r="A1236" s="11">
        <v>1235</v>
      </c>
      <c r="B1236" s="11" t="str">
        <f>IFERROR(INDEX('Raw Data'!$R$2:$R$50000,MATCH(1235,'Raw Data'!$W$2:$W$50000,0)),"")</f>
        <v/>
      </c>
      <c r="C1236" s="11" t="str">
        <f t="shared" si="19"/>
        <v/>
      </c>
      <c r="D1236" s="11" t="str">
        <f>IF($B1236="","",COUNTIFS('Raw Data'!$R$2:$R$50000,$B1236))</f>
        <v/>
      </c>
      <c r="E1236" s="11" t="str">
        <f>IF($B1236="","",SUMIFS('Raw Data'!$I$2:$I$50000,'Raw Data'!$R$2:$R$50000,$B1236))</f>
        <v/>
      </c>
      <c r="F1236" s="11" t="str">
        <f>IF($B1236="","",RANK($E1236,$E$2:$E$1501)+COUNTIF($E$2:E1236,$E1236)-1)</f>
        <v/>
      </c>
      <c r="G1236" s="11" t="str">
        <f>IF($B1236="","",RANK($D1236,$D$2:$D$1501)+COUNTIF($D$2:D1236,$D1236)-1)</f>
        <v/>
      </c>
    </row>
    <row r="1237" spans="1:7">
      <c r="A1237" s="11">
        <v>1236</v>
      </c>
      <c r="B1237" s="11" t="str">
        <f>IFERROR(INDEX('Raw Data'!$R$2:$R$50000,MATCH(1236,'Raw Data'!$W$2:$W$50000,0)),"")</f>
        <v/>
      </c>
      <c r="C1237" s="11" t="str">
        <f t="shared" si="19"/>
        <v/>
      </c>
      <c r="D1237" s="11" t="str">
        <f>IF($B1237="","",COUNTIFS('Raw Data'!$R$2:$R$50000,$B1237))</f>
        <v/>
      </c>
      <c r="E1237" s="11" t="str">
        <f>IF($B1237="","",SUMIFS('Raw Data'!$I$2:$I$50000,'Raw Data'!$R$2:$R$50000,$B1237))</f>
        <v/>
      </c>
      <c r="F1237" s="11" t="str">
        <f>IF($B1237="","",RANK($E1237,$E$2:$E$1501)+COUNTIF($E$2:E1237,$E1237)-1)</f>
        <v/>
      </c>
      <c r="G1237" s="11" t="str">
        <f>IF($B1237="","",RANK($D1237,$D$2:$D$1501)+COUNTIF($D$2:D1237,$D1237)-1)</f>
        <v/>
      </c>
    </row>
    <row r="1238" spans="1:7">
      <c r="A1238" s="11">
        <v>1237</v>
      </c>
      <c r="B1238" s="11" t="str">
        <f>IFERROR(INDEX('Raw Data'!$R$2:$R$50000,MATCH(1237,'Raw Data'!$W$2:$W$50000,0)),"")</f>
        <v/>
      </c>
      <c r="C1238" s="11" t="str">
        <f t="shared" si="19"/>
        <v/>
      </c>
      <c r="D1238" s="11" t="str">
        <f>IF($B1238="","",COUNTIFS('Raw Data'!$R$2:$R$50000,$B1238))</f>
        <v/>
      </c>
      <c r="E1238" s="11" t="str">
        <f>IF($B1238="","",SUMIFS('Raw Data'!$I$2:$I$50000,'Raw Data'!$R$2:$R$50000,$B1238))</f>
        <v/>
      </c>
      <c r="F1238" s="11" t="str">
        <f>IF($B1238="","",RANK($E1238,$E$2:$E$1501)+COUNTIF($E$2:E1238,$E1238)-1)</f>
        <v/>
      </c>
      <c r="G1238" s="11" t="str">
        <f>IF($B1238="","",RANK($D1238,$D$2:$D$1501)+COUNTIF($D$2:D1238,$D1238)-1)</f>
        <v/>
      </c>
    </row>
    <row r="1239" spans="1:7">
      <c r="A1239" s="11">
        <v>1238</v>
      </c>
      <c r="B1239" s="11" t="str">
        <f>IFERROR(INDEX('Raw Data'!$R$2:$R$50000,MATCH(1238,'Raw Data'!$W$2:$W$50000,0)),"")</f>
        <v/>
      </c>
      <c r="C1239" s="11" t="str">
        <f t="shared" si="19"/>
        <v/>
      </c>
      <c r="D1239" s="11" t="str">
        <f>IF($B1239="","",COUNTIFS('Raw Data'!$R$2:$R$50000,$B1239))</f>
        <v/>
      </c>
      <c r="E1239" s="11" t="str">
        <f>IF($B1239="","",SUMIFS('Raw Data'!$I$2:$I$50000,'Raw Data'!$R$2:$R$50000,$B1239))</f>
        <v/>
      </c>
      <c r="F1239" s="11" t="str">
        <f>IF($B1239="","",RANK($E1239,$E$2:$E$1501)+COUNTIF($E$2:E1239,$E1239)-1)</f>
        <v/>
      </c>
      <c r="G1239" s="11" t="str">
        <f>IF($B1239="","",RANK($D1239,$D$2:$D$1501)+COUNTIF($D$2:D1239,$D1239)-1)</f>
        <v/>
      </c>
    </row>
    <row r="1240" spans="1:7">
      <c r="A1240" s="11">
        <v>1239</v>
      </c>
      <c r="B1240" s="11" t="str">
        <f>IFERROR(INDEX('Raw Data'!$R$2:$R$50000,MATCH(1239,'Raw Data'!$W$2:$W$50000,0)),"")</f>
        <v/>
      </c>
      <c r="C1240" s="11" t="str">
        <f t="shared" si="19"/>
        <v/>
      </c>
      <c r="D1240" s="11" t="str">
        <f>IF($B1240="","",COUNTIFS('Raw Data'!$R$2:$R$50000,$B1240))</f>
        <v/>
      </c>
      <c r="E1240" s="11" t="str">
        <f>IF($B1240="","",SUMIFS('Raw Data'!$I$2:$I$50000,'Raw Data'!$R$2:$R$50000,$B1240))</f>
        <v/>
      </c>
      <c r="F1240" s="11" t="str">
        <f>IF($B1240="","",RANK($E1240,$E$2:$E$1501)+COUNTIF($E$2:E1240,$E1240)-1)</f>
        <v/>
      </c>
      <c r="G1240" s="11" t="str">
        <f>IF($B1240="","",RANK($D1240,$D$2:$D$1501)+COUNTIF($D$2:D1240,$D1240)-1)</f>
        <v/>
      </c>
    </row>
    <row r="1241" spans="1:7">
      <c r="A1241" s="11">
        <v>1240</v>
      </c>
      <c r="B1241" s="11" t="str">
        <f>IFERROR(INDEX('Raw Data'!$R$2:$R$50000,MATCH(1240,'Raw Data'!$W$2:$W$50000,0)),"")</f>
        <v/>
      </c>
      <c r="C1241" s="11" t="str">
        <f t="shared" si="19"/>
        <v/>
      </c>
      <c r="D1241" s="11" t="str">
        <f>IF($B1241="","",COUNTIFS('Raw Data'!$R$2:$R$50000,$B1241))</f>
        <v/>
      </c>
      <c r="E1241" s="11" t="str">
        <f>IF($B1241="","",SUMIFS('Raw Data'!$I$2:$I$50000,'Raw Data'!$R$2:$R$50000,$B1241))</f>
        <v/>
      </c>
      <c r="F1241" s="11" t="str">
        <f>IF($B1241="","",RANK($E1241,$E$2:$E$1501)+COUNTIF($E$2:E1241,$E1241)-1)</f>
        <v/>
      </c>
      <c r="G1241" s="11" t="str">
        <f>IF($B1241="","",RANK($D1241,$D$2:$D$1501)+COUNTIF($D$2:D1241,$D1241)-1)</f>
        <v/>
      </c>
    </row>
    <row r="1242" spans="1:7">
      <c r="A1242" s="11">
        <v>1241</v>
      </c>
      <c r="B1242" s="11" t="str">
        <f>IFERROR(INDEX('Raw Data'!$R$2:$R$50000,MATCH(1241,'Raw Data'!$W$2:$W$50000,0)),"")</f>
        <v/>
      </c>
      <c r="C1242" s="11" t="str">
        <f t="shared" si="19"/>
        <v/>
      </c>
      <c r="D1242" s="11" t="str">
        <f>IF($B1242="","",COUNTIFS('Raw Data'!$R$2:$R$50000,$B1242))</f>
        <v/>
      </c>
      <c r="E1242" s="11" t="str">
        <f>IF($B1242="","",SUMIFS('Raw Data'!$I$2:$I$50000,'Raw Data'!$R$2:$R$50000,$B1242))</f>
        <v/>
      </c>
      <c r="F1242" s="11" t="str">
        <f>IF($B1242="","",RANK($E1242,$E$2:$E$1501)+COUNTIF($E$2:E1242,$E1242)-1)</f>
        <v/>
      </c>
      <c r="G1242" s="11" t="str">
        <f>IF($B1242="","",RANK($D1242,$D$2:$D$1501)+COUNTIF($D$2:D1242,$D1242)-1)</f>
        <v/>
      </c>
    </row>
    <row r="1243" spans="1:7">
      <c r="A1243" s="11">
        <v>1242</v>
      </c>
      <c r="B1243" s="11" t="str">
        <f>IFERROR(INDEX('Raw Data'!$R$2:$R$50000,MATCH(1242,'Raw Data'!$W$2:$W$50000,0)),"")</f>
        <v/>
      </c>
      <c r="C1243" s="11" t="str">
        <f t="shared" si="19"/>
        <v/>
      </c>
      <c r="D1243" s="11" t="str">
        <f>IF($B1243="","",COUNTIFS('Raw Data'!$R$2:$R$50000,$B1243))</f>
        <v/>
      </c>
      <c r="E1243" s="11" t="str">
        <f>IF($B1243="","",SUMIFS('Raw Data'!$I$2:$I$50000,'Raw Data'!$R$2:$R$50000,$B1243))</f>
        <v/>
      </c>
      <c r="F1243" s="11" t="str">
        <f>IF($B1243="","",RANK($E1243,$E$2:$E$1501)+COUNTIF($E$2:E1243,$E1243)-1)</f>
        <v/>
      </c>
      <c r="G1243" s="11" t="str">
        <f>IF($B1243="","",RANK($D1243,$D$2:$D$1501)+COUNTIF($D$2:D1243,$D1243)-1)</f>
        <v/>
      </c>
    </row>
    <row r="1244" spans="1:7">
      <c r="A1244" s="11">
        <v>1243</v>
      </c>
      <c r="B1244" s="11" t="str">
        <f>IFERROR(INDEX('Raw Data'!$R$2:$R$50000,MATCH(1243,'Raw Data'!$W$2:$W$50000,0)),"")</f>
        <v/>
      </c>
      <c r="C1244" s="11" t="str">
        <f t="shared" si="19"/>
        <v/>
      </c>
      <c r="D1244" s="11" t="str">
        <f>IF($B1244="","",COUNTIFS('Raw Data'!$R$2:$R$50000,$B1244))</f>
        <v/>
      </c>
      <c r="E1244" s="11" t="str">
        <f>IF($B1244="","",SUMIFS('Raw Data'!$I$2:$I$50000,'Raw Data'!$R$2:$R$50000,$B1244))</f>
        <v/>
      </c>
      <c r="F1244" s="11" t="str">
        <f>IF($B1244="","",RANK($E1244,$E$2:$E$1501)+COUNTIF($E$2:E1244,$E1244)-1)</f>
        <v/>
      </c>
      <c r="G1244" s="11" t="str">
        <f>IF($B1244="","",RANK($D1244,$D$2:$D$1501)+COUNTIF($D$2:D1244,$D1244)-1)</f>
        <v/>
      </c>
    </row>
    <row r="1245" spans="1:7">
      <c r="A1245" s="11">
        <v>1244</v>
      </c>
      <c r="B1245" s="11" t="str">
        <f>IFERROR(INDEX('Raw Data'!$R$2:$R$50000,MATCH(1244,'Raw Data'!$W$2:$W$50000,0)),"")</f>
        <v/>
      </c>
      <c r="C1245" s="11" t="str">
        <f t="shared" si="19"/>
        <v/>
      </c>
      <c r="D1245" s="11" t="str">
        <f>IF($B1245="","",COUNTIFS('Raw Data'!$R$2:$R$50000,$B1245))</f>
        <v/>
      </c>
      <c r="E1245" s="11" t="str">
        <f>IF($B1245="","",SUMIFS('Raw Data'!$I$2:$I$50000,'Raw Data'!$R$2:$R$50000,$B1245))</f>
        <v/>
      </c>
      <c r="F1245" s="11" t="str">
        <f>IF($B1245="","",RANK($E1245,$E$2:$E$1501)+COUNTIF($E$2:E1245,$E1245)-1)</f>
        <v/>
      </c>
      <c r="G1245" s="11" t="str">
        <f>IF($B1245="","",RANK($D1245,$D$2:$D$1501)+COUNTIF($D$2:D1245,$D1245)-1)</f>
        <v/>
      </c>
    </row>
    <row r="1246" spans="1:7">
      <c r="A1246" s="11">
        <v>1245</v>
      </c>
      <c r="B1246" s="11" t="str">
        <f>IFERROR(INDEX('Raw Data'!$R$2:$R$50000,MATCH(1245,'Raw Data'!$W$2:$W$50000,0)),"")</f>
        <v/>
      </c>
      <c r="C1246" s="11" t="str">
        <f t="shared" si="19"/>
        <v/>
      </c>
      <c r="D1246" s="11" t="str">
        <f>IF($B1246="","",COUNTIFS('Raw Data'!$R$2:$R$50000,$B1246))</f>
        <v/>
      </c>
      <c r="E1246" s="11" t="str">
        <f>IF($B1246="","",SUMIFS('Raw Data'!$I$2:$I$50000,'Raw Data'!$R$2:$R$50000,$B1246))</f>
        <v/>
      </c>
      <c r="F1246" s="11" t="str">
        <f>IF($B1246="","",RANK($E1246,$E$2:$E$1501)+COUNTIF($E$2:E1246,$E1246)-1)</f>
        <v/>
      </c>
      <c r="G1246" s="11" t="str">
        <f>IF($B1246="","",RANK($D1246,$D$2:$D$1501)+COUNTIF($D$2:D1246,$D1246)-1)</f>
        <v/>
      </c>
    </row>
    <row r="1247" spans="1:7">
      <c r="A1247" s="11">
        <v>1246</v>
      </c>
      <c r="B1247" s="11" t="str">
        <f>IFERROR(INDEX('Raw Data'!$R$2:$R$50000,MATCH(1246,'Raw Data'!$W$2:$W$50000,0)),"")</f>
        <v/>
      </c>
      <c r="C1247" s="11" t="str">
        <f t="shared" si="19"/>
        <v/>
      </c>
      <c r="D1247" s="11" t="str">
        <f>IF($B1247="","",COUNTIFS('Raw Data'!$R$2:$R$50000,$B1247))</f>
        <v/>
      </c>
      <c r="E1247" s="11" t="str">
        <f>IF($B1247="","",SUMIFS('Raw Data'!$I$2:$I$50000,'Raw Data'!$R$2:$R$50000,$B1247))</f>
        <v/>
      </c>
      <c r="F1247" s="11" t="str">
        <f>IF($B1247="","",RANK($E1247,$E$2:$E$1501)+COUNTIF($E$2:E1247,$E1247)-1)</f>
        <v/>
      </c>
      <c r="G1247" s="11" t="str">
        <f>IF($B1247="","",RANK($D1247,$D$2:$D$1501)+COUNTIF($D$2:D1247,$D1247)-1)</f>
        <v/>
      </c>
    </row>
    <row r="1248" spans="1:7">
      <c r="A1248" s="11">
        <v>1247</v>
      </c>
      <c r="B1248" s="11" t="str">
        <f>IFERROR(INDEX('Raw Data'!$R$2:$R$50000,MATCH(1247,'Raw Data'!$W$2:$W$50000,0)),"")</f>
        <v/>
      </c>
      <c r="C1248" s="11" t="str">
        <f t="shared" si="19"/>
        <v/>
      </c>
      <c r="D1248" s="11" t="str">
        <f>IF($B1248="","",COUNTIFS('Raw Data'!$R$2:$R$50000,$B1248))</f>
        <v/>
      </c>
      <c r="E1248" s="11" t="str">
        <f>IF($B1248="","",SUMIFS('Raw Data'!$I$2:$I$50000,'Raw Data'!$R$2:$R$50000,$B1248))</f>
        <v/>
      </c>
      <c r="F1248" s="11" t="str">
        <f>IF($B1248="","",RANK($E1248,$E$2:$E$1501)+COUNTIF($E$2:E1248,$E1248)-1)</f>
        <v/>
      </c>
      <c r="G1248" s="11" t="str">
        <f>IF($B1248="","",RANK($D1248,$D$2:$D$1501)+COUNTIF($D$2:D1248,$D1248)-1)</f>
        <v/>
      </c>
    </row>
    <row r="1249" spans="1:7">
      <c r="A1249" s="11">
        <v>1248</v>
      </c>
      <c r="B1249" s="11" t="str">
        <f>IFERROR(INDEX('Raw Data'!$R$2:$R$50000,MATCH(1248,'Raw Data'!$W$2:$W$50000,0)),"")</f>
        <v/>
      </c>
      <c r="C1249" s="11" t="str">
        <f t="shared" si="19"/>
        <v/>
      </c>
      <c r="D1249" s="11" t="str">
        <f>IF($B1249="","",COUNTIFS('Raw Data'!$R$2:$R$50000,$B1249))</f>
        <v/>
      </c>
      <c r="E1249" s="11" t="str">
        <f>IF($B1249="","",SUMIFS('Raw Data'!$I$2:$I$50000,'Raw Data'!$R$2:$R$50000,$B1249))</f>
        <v/>
      </c>
      <c r="F1249" s="11" t="str">
        <f>IF($B1249="","",RANK($E1249,$E$2:$E$1501)+COUNTIF($E$2:E1249,$E1249)-1)</f>
        <v/>
      </c>
      <c r="G1249" s="11" t="str">
        <f>IF($B1249="","",RANK($D1249,$D$2:$D$1501)+COUNTIF($D$2:D1249,$D1249)-1)</f>
        <v/>
      </c>
    </row>
    <row r="1250" spans="1:7">
      <c r="A1250" s="11">
        <v>1249</v>
      </c>
      <c r="B1250" s="11" t="str">
        <f>IFERROR(INDEX('Raw Data'!$R$2:$R$50000,MATCH(1249,'Raw Data'!$W$2:$W$50000,0)),"")</f>
        <v/>
      </c>
      <c r="C1250" s="11" t="str">
        <f t="shared" si="19"/>
        <v/>
      </c>
      <c r="D1250" s="11" t="str">
        <f>IF($B1250="","",COUNTIFS('Raw Data'!$R$2:$R$50000,$B1250))</f>
        <v/>
      </c>
      <c r="E1250" s="11" t="str">
        <f>IF($B1250="","",SUMIFS('Raw Data'!$I$2:$I$50000,'Raw Data'!$R$2:$R$50000,$B1250))</f>
        <v/>
      </c>
      <c r="F1250" s="11" t="str">
        <f>IF($B1250="","",RANK($E1250,$E$2:$E$1501)+COUNTIF($E$2:E1250,$E1250)-1)</f>
        <v/>
      </c>
      <c r="G1250" s="11" t="str">
        <f>IF($B1250="","",RANK($D1250,$D$2:$D$1501)+COUNTIF($D$2:D1250,$D1250)-1)</f>
        <v/>
      </c>
    </row>
    <row r="1251" spans="1:7">
      <c r="A1251" s="11">
        <v>1250</v>
      </c>
      <c r="B1251" s="11" t="str">
        <f>IFERROR(INDEX('Raw Data'!$R$2:$R$50000,MATCH(1250,'Raw Data'!$W$2:$W$50000,0)),"")</f>
        <v/>
      </c>
      <c r="C1251" s="11" t="str">
        <f t="shared" si="19"/>
        <v/>
      </c>
      <c r="D1251" s="11" t="str">
        <f>IF($B1251="","",COUNTIFS('Raw Data'!$R$2:$R$50000,$B1251))</f>
        <v/>
      </c>
      <c r="E1251" s="11" t="str">
        <f>IF($B1251="","",SUMIFS('Raw Data'!$I$2:$I$50000,'Raw Data'!$R$2:$R$50000,$B1251))</f>
        <v/>
      </c>
      <c r="F1251" s="11" t="str">
        <f>IF($B1251="","",RANK($E1251,$E$2:$E$1501)+COUNTIF($E$2:E1251,$E1251)-1)</f>
        <v/>
      </c>
      <c r="G1251" s="11" t="str">
        <f>IF($B1251="","",RANK($D1251,$D$2:$D$1501)+COUNTIF($D$2:D1251,$D1251)-1)</f>
        <v/>
      </c>
    </row>
    <row r="1252" spans="1:7">
      <c r="A1252" s="11">
        <v>1251</v>
      </c>
      <c r="B1252" s="11" t="str">
        <f>IFERROR(INDEX('Raw Data'!$R$2:$R$50000,MATCH(1251,'Raw Data'!$W$2:$W$50000,0)),"")</f>
        <v/>
      </c>
      <c r="C1252" s="11" t="str">
        <f t="shared" si="19"/>
        <v/>
      </c>
      <c r="D1252" s="11" t="str">
        <f>IF($B1252="","",COUNTIFS('Raw Data'!$R$2:$R$50000,$B1252))</f>
        <v/>
      </c>
      <c r="E1252" s="11" t="str">
        <f>IF($B1252="","",SUMIFS('Raw Data'!$I$2:$I$50000,'Raw Data'!$R$2:$R$50000,$B1252))</f>
        <v/>
      </c>
      <c r="F1252" s="11" t="str">
        <f>IF($B1252="","",RANK($E1252,$E$2:$E$1501)+COUNTIF($E$2:E1252,$E1252)-1)</f>
        <v/>
      </c>
      <c r="G1252" s="11" t="str">
        <f>IF($B1252="","",RANK($D1252,$D$2:$D$1501)+COUNTIF($D$2:D1252,$D1252)-1)</f>
        <v/>
      </c>
    </row>
    <row r="1253" spans="1:7">
      <c r="A1253" s="11">
        <v>1252</v>
      </c>
      <c r="B1253" s="11" t="str">
        <f>IFERROR(INDEX('Raw Data'!$R$2:$R$50000,MATCH(1252,'Raw Data'!$W$2:$W$50000,0)),"")</f>
        <v/>
      </c>
      <c r="C1253" s="11" t="str">
        <f t="shared" si="19"/>
        <v/>
      </c>
      <c r="D1253" s="11" t="str">
        <f>IF($B1253="","",COUNTIFS('Raw Data'!$R$2:$R$50000,$B1253))</f>
        <v/>
      </c>
      <c r="E1253" s="11" t="str">
        <f>IF($B1253="","",SUMIFS('Raw Data'!$I$2:$I$50000,'Raw Data'!$R$2:$R$50000,$B1253))</f>
        <v/>
      </c>
      <c r="F1253" s="11" t="str">
        <f>IF($B1253="","",RANK($E1253,$E$2:$E$1501)+COUNTIF($E$2:E1253,$E1253)-1)</f>
        <v/>
      </c>
      <c r="G1253" s="11" t="str">
        <f>IF($B1253="","",RANK($D1253,$D$2:$D$1501)+COUNTIF($D$2:D1253,$D1253)-1)</f>
        <v/>
      </c>
    </row>
    <row r="1254" spans="1:7">
      <c r="A1254" s="11">
        <v>1253</v>
      </c>
      <c r="B1254" s="11" t="str">
        <f>IFERROR(INDEX('Raw Data'!$R$2:$R$50000,MATCH(1253,'Raw Data'!$W$2:$W$50000,0)),"")</f>
        <v/>
      </c>
      <c r="C1254" s="11" t="str">
        <f t="shared" si="19"/>
        <v/>
      </c>
      <c r="D1254" s="11" t="str">
        <f>IF($B1254="","",COUNTIFS('Raw Data'!$R$2:$R$50000,$B1254))</f>
        <v/>
      </c>
      <c r="E1254" s="11" t="str">
        <f>IF($B1254="","",SUMIFS('Raw Data'!$I$2:$I$50000,'Raw Data'!$R$2:$R$50000,$B1254))</f>
        <v/>
      </c>
      <c r="F1254" s="11" t="str">
        <f>IF($B1254="","",RANK($E1254,$E$2:$E$1501)+COUNTIF($E$2:E1254,$E1254)-1)</f>
        <v/>
      </c>
      <c r="G1254" s="11" t="str">
        <f>IF($B1254="","",RANK($D1254,$D$2:$D$1501)+COUNTIF($D$2:D1254,$D1254)-1)</f>
        <v/>
      </c>
    </row>
    <row r="1255" spans="1:7">
      <c r="A1255" s="11">
        <v>1254</v>
      </c>
      <c r="B1255" s="11" t="str">
        <f>IFERROR(INDEX('Raw Data'!$R$2:$R$50000,MATCH(1254,'Raw Data'!$W$2:$W$50000,0)),"")</f>
        <v/>
      </c>
      <c r="C1255" s="11" t="str">
        <f t="shared" si="19"/>
        <v/>
      </c>
      <c r="D1255" s="11" t="str">
        <f>IF($B1255="","",COUNTIFS('Raw Data'!$R$2:$R$50000,$B1255))</f>
        <v/>
      </c>
      <c r="E1255" s="11" t="str">
        <f>IF($B1255="","",SUMIFS('Raw Data'!$I$2:$I$50000,'Raw Data'!$R$2:$R$50000,$B1255))</f>
        <v/>
      </c>
      <c r="F1255" s="11" t="str">
        <f>IF($B1255="","",RANK($E1255,$E$2:$E$1501)+COUNTIF($E$2:E1255,$E1255)-1)</f>
        <v/>
      </c>
      <c r="G1255" s="11" t="str">
        <f>IF($B1255="","",RANK($D1255,$D$2:$D$1501)+COUNTIF($D$2:D1255,$D1255)-1)</f>
        <v/>
      </c>
    </row>
    <row r="1256" spans="1:7">
      <c r="A1256" s="11">
        <v>1255</v>
      </c>
      <c r="B1256" s="11" t="str">
        <f>IFERROR(INDEX('Raw Data'!$R$2:$R$50000,MATCH(1255,'Raw Data'!$W$2:$W$50000,0)),"")</f>
        <v/>
      </c>
      <c r="C1256" s="11" t="str">
        <f t="shared" si="19"/>
        <v/>
      </c>
      <c r="D1256" s="11" t="str">
        <f>IF($B1256="","",COUNTIFS('Raw Data'!$R$2:$R$50000,$B1256))</f>
        <v/>
      </c>
      <c r="E1256" s="11" t="str">
        <f>IF($B1256="","",SUMIFS('Raw Data'!$I$2:$I$50000,'Raw Data'!$R$2:$R$50000,$B1256))</f>
        <v/>
      </c>
      <c r="F1256" s="11" t="str">
        <f>IF($B1256="","",RANK($E1256,$E$2:$E$1501)+COUNTIF($E$2:E1256,$E1256)-1)</f>
        <v/>
      </c>
      <c r="G1256" s="11" t="str">
        <f>IF($B1256="","",RANK($D1256,$D$2:$D$1501)+COUNTIF($D$2:D1256,$D1256)-1)</f>
        <v/>
      </c>
    </row>
    <row r="1257" spans="1:7">
      <c r="A1257" s="11">
        <v>1256</v>
      </c>
      <c r="B1257" s="11" t="str">
        <f>IFERROR(INDEX('Raw Data'!$R$2:$R$50000,MATCH(1256,'Raw Data'!$W$2:$W$50000,0)),"")</f>
        <v/>
      </c>
      <c r="C1257" s="11" t="str">
        <f t="shared" si="19"/>
        <v/>
      </c>
      <c r="D1257" s="11" t="str">
        <f>IF($B1257="","",COUNTIFS('Raw Data'!$R$2:$R$50000,$B1257))</f>
        <v/>
      </c>
      <c r="E1257" s="11" t="str">
        <f>IF($B1257="","",SUMIFS('Raw Data'!$I$2:$I$50000,'Raw Data'!$R$2:$R$50000,$B1257))</f>
        <v/>
      </c>
      <c r="F1257" s="11" t="str">
        <f>IF($B1257="","",RANK($E1257,$E$2:$E$1501)+COUNTIF($E$2:E1257,$E1257)-1)</f>
        <v/>
      </c>
      <c r="G1257" s="11" t="str">
        <f>IF($B1257="","",RANK($D1257,$D$2:$D$1501)+COUNTIF($D$2:D1257,$D1257)-1)</f>
        <v/>
      </c>
    </row>
    <row r="1258" spans="1:7">
      <c r="A1258" s="11">
        <v>1257</v>
      </c>
      <c r="B1258" s="11" t="str">
        <f>IFERROR(INDEX('Raw Data'!$R$2:$R$50000,MATCH(1257,'Raw Data'!$W$2:$W$50000,0)),"")</f>
        <v/>
      </c>
      <c r="C1258" s="11" t="str">
        <f t="shared" si="19"/>
        <v/>
      </c>
      <c r="D1258" s="11" t="str">
        <f>IF($B1258="","",COUNTIFS('Raw Data'!$R$2:$R$50000,$B1258))</f>
        <v/>
      </c>
      <c r="E1258" s="11" t="str">
        <f>IF($B1258="","",SUMIFS('Raw Data'!$I$2:$I$50000,'Raw Data'!$R$2:$R$50000,$B1258))</f>
        <v/>
      </c>
      <c r="F1258" s="11" t="str">
        <f>IF($B1258="","",RANK($E1258,$E$2:$E$1501)+COUNTIF($E$2:E1258,$E1258)-1)</f>
        <v/>
      </c>
      <c r="G1258" s="11" t="str">
        <f>IF($B1258="","",RANK($D1258,$D$2:$D$1501)+COUNTIF($D$2:D1258,$D1258)-1)</f>
        <v/>
      </c>
    </row>
    <row r="1259" spans="1:7">
      <c r="A1259" s="11">
        <v>1258</v>
      </c>
      <c r="B1259" s="11" t="str">
        <f>IFERROR(INDEX('Raw Data'!$R$2:$R$50000,MATCH(1258,'Raw Data'!$W$2:$W$50000,0)),"")</f>
        <v/>
      </c>
      <c r="C1259" s="11" t="str">
        <f t="shared" si="19"/>
        <v/>
      </c>
      <c r="D1259" s="11" t="str">
        <f>IF($B1259="","",COUNTIFS('Raw Data'!$R$2:$R$50000,$B1259))</f>
        <v/>
      </c>
      <c r="E1259" s="11" t="str">
        <f>IF($B1259="","",SUMIFS('Raw Data'!$I$2:$I$50000,'Raw Data'!$R$2:$R$50000,$B1259))</f>
        <v/>
      </c>
      <c r="F1259" s="11" t="str">
        <f>IF($B1259="","",RANK($E1259,$E$2:$E$1501)+COUNTIF($E$2:E1259,$E1259)-1)</f>
        <v/>
      </c>
      <c r="G1259" s="11" t="str">
        <f>IF($B1259="","",RANK($D1259,$D$2:$D$1501)+COUNTIF($D$2:D1259,$D1259)-1)</f>
        <v/>
      </c>
    </row>
    <row r="1260" spans="1:7">
      <c r="A1260" s="11">
        <v>1259</v>
      </c>
      <c r="B1260" s="11" t="str">
        <f>IFERROR(INDEX('Raw Data'!$R$2:$R$50000,MATCH(1259,'Raw Data'!$W$2:$W$50000,0)),"")</f>
        <v/>
      </c>
      <c r="C1260" s="11" t="str">
        <f t="shared" si="19"/>
        <v/>
      </c>
      <c r="D1260" s="11" t="str">
        <f>IF($B1260="","",COUNTIFS('Raw Data'!$R$2:$R$50000,$B1260))</f>
        <v/>
      </c>
      <c r="E1260" s="11" t="str">
        <f>IF($B1260="","",SUMIFS('Raw Data'!$I$2:$I$50000,'Raw Data'!$R$2:$R$50000,$B1260))</f>
        <v/>
      </c>
      <c r="F1260" s="11" t="str">
        <f>IF($B1260="","",RANK($E1260,$E$2:$E$1501)+COUNTIF($E$2:E1260,$E1260)-1)</f>
        <v/>
      </c>
      <c r="G1260" s="11" t="str">
        <f>IF($B1260="","",RANK($D1260,$D$2:$D$1501)+COUNTIF($D$2:D1260,$D1260)-1)</f>
        <v/>
      </c>
    </row>
    <row r="1261" spans="1:7">
      <c r="A1261" s="11">
        <v>1260</v>
      </c>
      <c r="B1261" s="11" t="str">
        <f>IFERROR(INDEX('Raw Data'!$R$2:$R$50000,MATCH(1260,'Raw Data'!$W$2:$W$50000,0)),"")</f>
        <v/>
      </c>
      <c r="C1261" s="11" t="str">
        <f t="shared" si="19"/>
        <v/>
      </c>
      <c r="D1261" s="11" t="str">
        <f>IF($B1261="","",COUNTIFS('Raw Data'!$R$2:$R$50000,$B1261))</f>
        <v/>
      </c>
      <c r="E1261" s="11" t="str">
        <f>IF($B1261="","",SUMIFS('Raw Data'!$I$2:$I$50000,'Raw Data'!$R$2:$R$50000,$B1261))</f>
        <v/>
      </c>
      <c r="F1261" s="11" t="str">
        <f>IF($B1261="","",RANK($E1261,$E$2:$E$1501)+COUNTIF($E$2:E1261,$E1261)-1)</f>
        <v/>
      </c>
      <c r="G1261" s="11" t="str">
        <f>IF($B1261="","",RANK($D1261,$D$2:$D$1501)+COUNTIF($D$2:D1261,$D1261)-1)</f>
        <v/>
      </c>
    </row>
    <row r="1262" spans="1:7">
      <c r="A1262" s="11">
        <v>1261</v>
      </c>
      <c r="B1262" s="11" t="str">
        <f>IFERROR(INDEX('Raw Data'!$R$2:$R$50000,MATCH(1261,'Raw Data'!$W$2:$W$50000,0)),"")</f>
        <v/>
      </c>
      <c r="C1262" s="11" t="str">
        <f t="shared" si="19"/>
        <v/>
      </c>
      <c r="D1262" s="11" t="str">
        <f>IF($B1262="","",COUNTIFS('Raw Data'!$R$2:$R$50000,$B1262))</f>
        <v/>
      </c>
      <c r="E1262" s="11" t="str">
        <f>IF($B1262="","",SUMIFS('Raw Data'!$I$2:$I$50000,'Raw Data'!$R$2:$R$50000,$B1262))</f>
        <v/>
      </c>
      <c r="F1262" s="11" t="str">
        <f>IF($B1262="","",RANK($E1262,$E$2:$E$1501)+COUNTIF($E$2:E1262,$E1262)-1)</f>
        <v/>
      </c>
      <c r="G1262" s="11" t="str">
        <f>IF($B1262="","",RANK($D1262,$D$2:$D$1501)+COUNTIF($D$2:D1262,$D1262)-1)</f>
        <v/>
      </c>
    </row>
    <row r="1263" spans="1:7">
      <c r="A1263" s="11">
        <v>1262</v>
      </c>
      <c r="B1263" s="11" t="str">
        <f>IFERROR(INDEX('Raw Data'!$R$2:$R$50000,MATCH(1262,'Raw Data'!$W$2:$W$50000,0)),"")</f>
        <v/>
      </c>
      <c r="C1263" s="11" t="str">
        <f t="shared" si="19"/>
        <v/>
      </c>
      <c r="D1263" s="11" t="str">
        <f>IF($B1263="","",COUNTIFS('Raw Data'!$R$2:$R$50000,$B1263))</f>
        <v/>
      </c>
      <c r="E1263" s="11" t="str">
        <f>IF($B1263="","",SUMIFS('Raw Data'!$I$2:$I$50000,'Raw Data'!$R$2:$R$50000,$B1263))</f>
        <v/>
      </c>
      <c r="F1263" s="11" t="str">
        <f>IF($B1263="","",RANK($E1263,$E$2:$E$1501)+COUNTIF($E$2:E1263,$E1263)-1)</f>
        <v/>
      </c>
      <c r="G1263" s="11" t="str">
        <f>IF($B1263="","",RANK($D1263,$D$2:$D$1501)+COUNTIF($D$2:D1263,$D1263)-1)</f>
        <v/>
      </c>
    </row>
    <row r="1264" spans="1:7">
      <c r="A1264" s="11">
        <v>1263</v>
      </c>
      <c r="B1264" s="11" t="str">
        <f>IFERROR(INDEX('Raw Data'!$R$2:$R$50000,MATCH(1263,'Raw Data'!$W$2:$W$50000,0)),"")</f>
        <v/>
      </c>
      <c r="C1264" s="11" t="str">
        <f t="shared" si="19"/>
        <v/>
      </c>
      <c r="D1264" s="11" t="str">
        <f>IF($B1264="","",COUNTIFS('Raw Data'!$R$2:$R$50000,$B1264))</f>
        <v/>
      </c>
      <c r="E1264" s="11" t="str">
        <f>IF($B1264="","",SUMIFS('Raw Data'!$I$2:$I$50000,'Raw Data'!$R$2:$R$50000,$B1264))</f>
        <v/>
      </c>
      <c r="F1264" s="11" t="str">
        <f>IF($B1264="","",RANK($E1264,$E$2:$E$1501)+COUNTIF($E$2:E1264,$E1264)-1)</f>
        <v/>
      </c>
      <c r="G1264" s="11" t="str">
        <f>IF($B1264="","",RANK($D1264,$D$2:$D$1501)+COUNTIF($D$2:D1264,$D1264)-1)</f>
        <v/>
      </c>
    </row>
    <row r="1265" spans="1:7">
      <c r="A1265" s="11">
        <v>1264</v>
      </c>
      <c r="B1265" s="11" t="str">
        <f>IFERROR(INDEX('Raw Data'!$R$2:$R$50000,MATCH(1264,'Raw Data'!$W$2:$W$50000,0)),"")</f>
        <v/>
      </c>
      <c r="C1265" s="11" t="str">
        <f t="shared" si="19"/>
        <v/>
      </c>
      <c r="D1265" s="11" t="str">
        <f>IF($B1265="","",COUNTIFS('Raw Data'!$R$2:$R$50000,$B1265))</f>
        <v/>
      </c>
      <c r="E1265" s="11" t="str">
        <f>IF($B1265="","",SUMIFS('Raw Data'!$I$2:$I$50000,'Raw Data'!$R$2:$R$50000,$B1265))</f>
        <v/>
      </c>
      <c r="F1265" s="11" t="str">
        <f>IF($B1265="","",RANK($E1265,$E$2:$E$1501)+COUNTIF($E$2:E1265,$E1265)-1)</f>
        <v/>
      </c>
      <c r="G1265" s="11" t="str">
        <f>IF($B1265="","",RANK($D1265,$D$2:$D$1501)+COUNTIF($D$2:D1265,$D1265)-1)</f>
        <v/>
      </c>
    </row>
    <row r="1266" spans="1:7">
      <c r="A1266" s="11">
        <v>1265</v>
      </c>
      <c r="B1266" s="11" t="str">
        <f>IFERROR(INDEX('Raw Data'!$R$2:$R$50000,MATCH(1265,'Raw Data'!$W$2:$W$50000,0)),"")</f>
        <v/>
      </c>
      <c r="C1266" s="11" t="str">
        <f t="shared" si="19"/>
        <v/>
      </c>
      <c r="D1266" s="11" t="str">
        <f>IF($B1266="","",COUNTIFS('Raw Data'!$R$2:$R$50000,$B1266))</f>
        <v/>
      </c>
      <c r="E1266" s="11" t="str">
        <f>IF($B1266="","",SUMIFS('Raw Data'!$I$2:$I$50000,'Raw Data'!$R$2:$R$50000,$B1266))</f>
        <v/>
      </c>
      <c r="F1266" s="11" t="str">
        <f>IF($B1266="","",RANK($E1266,$E$2:$E$1501)+COUNTIF($E$2:E1266,$E1266)-1)</f>
        <v/>
      </c>
      <c r="G1266" s="11" t="str">
        <f>IF($B1266="","",RANK($D1266,$D$2:$D$1501)+COUNTIF($D$2:D1266,$D1266)-1)</f>
        <v/>
      </c>
    </row>
    <row r="1267" spans="1:7">
      <c r="A1267" s="11">
        <v>1266</v>
      </c>
      <c r="B1267" s="11" t="str">
        <f>IFERROR(INDEX('Raw Data'!$R$2:$R$50000,MATCH(1266,'Raw Data'!$W$2:$W$50000,0)),"")</f>
        <v/>
      </c>
      <c r="C1267" s="11" t="str">
        <f t="shared" si="19"/>
        <v/>
      </c>
      <c r="D1267" s="11" t="str">
        <f>IF($B1267="","",COUNTIFS('Raw Data'!$R$2:$R$50000,$B1267))</f>
        <v/>
      </c>
      <c r="E1267" s="11" t="str">
        <f>IF($B1267="","",SUMIFS('Raw Data'!$I$2:$I$50000,'Raw Data'!$R$2:$R$50000,$B1267))</f>
        <v/>
      </c>
      <c r="F1267" s="11" t="str">
        <f>IF($B1267="","",RANK($E1267,$E$2:$E$1501)+COUNTIF($E$2:E1267,$E1267)-1)</f>
        <v/>
      </c>
      <c r="G1267" s="11" t="str">
        <f>IF($B1267="","",RANK($D1267,$D$2:$D$1501)+COUNTIF($D$2:D1267,$D1267)-1)</f>
        <v/>
      </c>
    </row>
    <row r="1268" spans="1:7">
      <c r="A1268" s="11">
        <v>1267</v>
      </c>
      <c r="B1268" s="11" t="str">
        <f>IFERROR(INDEX('Raw Data'!$R$2:$R$50000,MATCH(1267,'Raw Data'!$W$2:$W$50000,0)),"")</f>
        <v/>
      </c>
      <c r="C1268" s="11" t="str">
        <f t="shared" si="19"/>
        <v/>
      </c>
      <c r="D1268" s="11" t="str">
        <f>IF($B1268="","",COUNTIFS('Raw Data'!$R$2:$R$50000,$B1268))</f>
        <v/>
      </c>
      <c r="E1268" s="11" t="str">
        <f>IF($B1268="","",SUMIFS('Raw Data'!$I$2:$I$50000,'Raw Data'!$R$2:$R$50000,$B1268))</f>
        <v/>
      </c>
      <c r="F1268" s="11" t="str">
        <f>IF($B1268="","",RANK($E1268,$E$2:$E$1501)+COUNTIF($E$2:E1268,$E1268)-1)</f>
        <v/>
      </c>
      <c r="G1268" s="11" t="str">
        <f>IF($B1268="","",RANK($D1268,$D$2:$D$1501)+COUNTIF($D$2:D1268,$D1268)-1)</f>
        <v/>
      </c>
    </row>
    <row r="1269" spans="1:7">
      <c r="A1269" s="11">
        <v>1268</v>
      </c>
      <c r="B1269" s="11" t="str">
        <f>IFERROR(INDEX('Raw Data'!$R$2:$R$50000,MATCH(1268,'Raw Data'!$W$2:$W$50000,0)),"")</f>
        <v/>
      </c>
      <c r="C1269" s="11" t="str">
        <f t="shared" si="19"/>
        <v/>
      </c>
      <c r="D1269" s="11" t="str">
        <f>IF($B1269="","",COUNTIFS('Raw Data'!$R$2:$R$50000,$B1269))</f>
        <v/>
      </c>
      <c r="E1269" s="11" t="str">
        <f>IF($B1269="","",SUMIFS('Raw Data'!$I$2:$I$50000,'Raw Data'!$R$2:$R$50000,$B1269))</f>
        <v/>
      </c>
      <c r="F1269" s="11" t="str">
        <f>IF($B1269="","",RANK($E1269,$E$2:$E$1501)+COUNTIF($E$2:E1269,$E1269)-1)</f>
        <v/>
      </c>
      <c r="G1269" s="11" t="str">
        <f>IF($B1269="","",RANK($D1269,$D$2:$D$1501)+COUNTIF($D$2:D1269,$D1269)-1)</f>
        <v/>
      </c>
    </row>
    <row r="1270" spans="1:7">
      <c r="A1270" s="11">
        <v>1269</v>
      </c>
      <c r="B1270" s="11" t="str">
        <f>IFERROR(INDEX('Raw Data'!$R$2:$R$50000,MATCH(1269,'Raw Data'!$W$2:$W$50000,0)),"")</f>
        <v/>
      </c>
      <c r="C1270" s="11" t="str">
        <f t="shared" si="19"/>
        <v/>
      </c>
      <c r="D1270" s="11" t="str">
        <f>IF($B1270="","",COUNTIFS('Raw Data'!$R$2:$R$50000,$B1270))</f>
        <v/>
      </c>
      <c r="E1270" s="11" t="str">
        <f>IF($B1270="","",SUMIFS('Raw Data'!$I$2:$I$50000,'Raw Data'!$R$2:$R$50000,$B1270))</f>
        <v/>
      </c>
      <c r="F1270" s="11" t="str">
        <f>IF($B1270="","",RANK($E1270,$E$2:$E$1501)+COUNTIF($E$2:E1270,$E1270)-1)</f>
        <v/>
      </c>
      <c r="G1270" s="11" t="str">
        <f>IF($B1270="","",RANK($D1270,$D$2:$D$1501)+COUNTIF($D$2:D1270,$D1270)-1)</f>
        <v/>
      </c>
    </row>
    <row r="1271" spans="1:7">
      <c r="A1271" s="11">
        <v>1270</v>
      </c>
      <c r="B1271" s="11" t="str">
        <f>IFERROR(INDEX('Raw Data'!$R$2:$R$50000,MATCH(1270,'Raw Data'!$W$2:$W$50000,0)),"")</f>
        <v/>
      </c>
      <c r="C1271" s="11" t="str">
        <f t="shared" si="19"/>
        <v/>
      </c>
      <c r="D1271" s="11" t="str">
        <f>IF($B1271="","",COUNTIFS('Raw Data'!$R$2:$R$50000,$B1271))</f>
        <v/>
      </c>
      <c r="E1271" s="11" t="str">
        <f>IF($B1271="","",SUMIFS('Raw Data'!$I$2:$I$50000,'Raw Data'!$R$2:$R$50000,$B1271))</f>
        <v/>
      </c>
      <c r="F1271" s="11" t="str">
        <f>IF($B1271="","",RANK($E1271,$E$2:$E$1501)+COUNTIF($E$2:E1271,$E1271)-1)</f>
        <v/>
      </c>
      <c r="G1271" s="11" t="str">
        <f>IF($B1271="","",RANK($D1271,$D$2:$D$1501)+COUNTIF($D$2:D1271,$D1271)-1)</f>
        <v/>
      </c>
    </row>
    <row r="1272" spans="1:7">
      <c r="A1272" s="11">
        <v>1271</v>
      </c>
      <c r="B1272" s="11" t="str">
        <f>IFERROR(INDEX('Raw Data'!$R$2:$R$50000,MATCH(1271,'Raw Data'!$W$2:$W$50000,0)),"")</f>
        <v/>
      </c>
      <c r="C1272" s="11" t="str">
        <f t="shared" si="19"/>
        <v/>
      </c>
      <c r="D1272" s="11" t="str">
        <f>IF($B1272="","",COUNTIFS('Raw Data'!$R$2:$R$50000,$B1272))</f>
        <v/>
      </c>
      <c r="E1272" s="11" t="str">
        <f>IF($B1272="","",SUMIFS('Raw Data'!$I$2:$I$50000,'Raw Data'!$R$2:$R$50000,$B1272))</f>
        <v/>
      </c>
      <c r="F1272" s="11" t="str">
        <f>IF($B1272="","",RANK($E1272,$E$2:$E$1501)+COUNTIF($E$2:E1272,$E1272)-1)</f>
        <v/>
      </c>
      <c r="G1272" s="11" t="str">
        <f>IF($B1272="","",RANK($D1272,$D$2:$D$1501)+COUNTIF($D$2:D1272,$D1272)-1)</f>
        <v/>
      </c>
    </row>
    <row r="1273" spans="1:7">
      <c r="A1273" s="11">
        <v>1272</v>
      </c>
      <c r="B1273" s="11" t="str">
        <f>IFERROR(INDEX('Raw Data'!$R$2:$R$50000,MATCH(1272,'Raw Data'!$W$2:$W$50000,0)),"")</f>
        <v/>
      </c>
      <c r="C1273" s="11" t="str">
        <f t="shared" si="19"/>
        <v/>
      </c>
      <c r="D1273" s="11" t="str">
        <f>IF($B1273="","",COUNTIFS('Raw Data'!$R$2:$R$50000,$B1273))</f>
        <v/>
      </c>
      <c r="E1273" s="11" t="str">
        <f>IF($B1273="","",SUMIFS('Raw Data'!$I$2:$I$50000,'Raw Data'!$R$2:$R$50000,$B1273))</f>
        <v/>
      </c>
      <c r="F1273" s="11" t="str">
        <f>IF($B1273="","",RANK($E1273,$E$2:$E$1501)+COUNTIF($E$2:E1273,$E1273)-1)</f>
        <v/>
      </c>
      <c r="G1273" s="11" t="str">
        <f>IF($B1273="","",RANK($D1273,$D$2:$D$1501)+COUNTIF($D$2:D1273,$D1273)-1)</f>
        <v/>
      </c>
    </row>
    <row r="1274" spans="1:7">
      <c r="A1274" s="11">
        <v>1273</v>
      </c>
      <c r="B1274" s="11" t="str">
        <f>IFERROR(INDEX('Raw Data'!$R$2:$R$50000,MATCH(1273,'Raw Data'!$W$2:$W$50000,0)),"")</f>
        <v/>
      </c>
      <c r="C1274" s="11" t="str">
        <f t="shared" si="19"/>
        <v/>
      </c>
      <c r="D1274" s="11" t="str">
        <f>IF($B1274="","",COUNTIFS('Raw Data'!$R$2:$R$50000,$B1274))</f>
        <v/>
      </c>
      <c r="E1274" s="11" t="str">
        <f>IF($B1274="","",SUMIFS('Raw Data'!$I$2:$I$50000,'Raw Data'!$R$2:$R$50000,$B1274))</f>
        <v/>
      </c>
      <c r="F1274" s="11" t="str">
        <f>IF($B1274="","",RANK($E1274,$E$2:$E$1501)+COUNTIF($E$2:E1274,$E1274)-1)</f>
        <v/>
      </c>
      <c r="G1274" s="11" t="str">
        <f>IF($B1274="","",RANK($D1274,$D$2:$D$1501)+COUNTIF($D$2:D1274,$D1274)-1)</f>
        <v/>
      </c>
    </row>
    <row r="1275" spans="1:7">
      <c r="A1275" s="11">
        <v>1274</v>
      </c>
      <c r="B1275" s="11" t="str">
        <f>IFERROR(INDEX('Raw Data'!$R$2:$R$50000,MATCH(1274,'Raw Data'!$W$2:$W$50000,0)),"")</f>
        <v/>
      </c>
      <c r="C1275" s="11" t="str">
        <f t="shared" si="19"/>
        <v/>
      </c>
      <c r="D1275" s="11" t="str">
        <f>IF($B1275="","",COUNTIFS('Raw Data'!$R$2:$R$50000,$B1275))</f>
        <v/>
      </c>
      <c r="E1275" s="11" t="str">
        <f>IF($B1275="","",SUMIFS('Raw Data'!$I$2:$I$50000,'Raw Data'!$R$2:$R$50000,$B1275))</f>
        <v/>
      </c>
      <c r="F1275" s="11" t="str">
        <f>IF($B1275="","",RANK($E1275,$E$2:$E$1501)+COUNTIF($E$2:E1275,$E1275)-1)</f>
        <v/>
      </c>
      <c r="G1275" s="11" t="str">
        <f>IF($B1275="","",RANK($D1275,$D$2:$D$1501)+COUNTIF($D$2:D1275,$D1275)-1)</f>
        <v/>
      </c>
    </row>
    <row r="1276" spans="1:7">
      <c r="A1276" s="11">
        <v>1275</v>
      </c>
      <c r="B1276" s="11" t="str">
        <f>IFERROR(INDEX('Raw Data'!$R$2:$R$50000,MATCH(1275,'Raw Data'!$W$2:$W$50000,0)),"")</f>
        <v/>
      </c>
      <c r="C1276" s="11" t="str">
        <f t="shared" si="19"/>
        <v/>
      </c>
      <c r="D1276" s="11" t="str">
        <f>IF($B1276="","",COUNTIFS('Raw Data'!$R$2:$R$50000,$B1276))</f>
        <v/>
      </c>
      <c r="E1276" s="11" t="str">
        <f>IF($B1276="","",SUMIFS('Raw Data'!$I$2:$I$50000,'Raw Data'!$R$2:$R$50000,$B1276))</f>
        <v/>
      </c>
      <c r="F1276" s="11" t="str">
        <f>IF($B1276="","",RANK($E1276,$E$2:$E$1501)+COUNTIF($E$2:E1276,$E1276)-1)</f>
        <v/>
      </c>
      <c r="G1276" s="11" t="str">
        <f>IF($B1276="","",RANK($D1276,$D$2:$D$1501)+COUNTIF($D$2:D1276,$D1276)-1)</f>
        <v/>
      </c>
    </row>
    <row r="1277" spans="1:7">
      <c r="A1277" s="11">
        <v>1276</v>
      </c>
      <c r="B1277" s="11" t="str">
        <f>IFERROR(INDEX('Raw Data'!$R$2:$R$50000,MATCH(1276,'Raw Data'!$W$2:$W$50000,0)),"")</f>
        <v/>
      </c>
      <c r="C1277" s="11" t="str">
        <f t="shared" si="19"/>
        <v/>
      </c>
      <c r="D1277" s="11" t="str">
        <f>IF($B1277="","",COUNTIFS('Raw Data'!$R$2:$R$50000,$B1277))</f>
        <v/>
      </c>
      <c r="E1277" s="11" t="str">
        <f>IF($B1277="","",SUMIFS('Raw Data'!$I$2:$I$50000,'Raw Data'!$R$2:$R$50000,$B1277))</f>
        <v/>
      </c>
      <c r="F1277" s="11" t="str">
        <f>IF($B1277="","",RANK($E1277,$E$2:$E$1501)+COUNTIF($E$2:E1277,$E1277)-1)</f>
        <v/>
      </c>
      <c r="G1277" s="11" t="str">
        <f>IF($B1277="","",RANK($D1277,$D$2:$D$1501)+COUNTIF($D$2:D1277,$D1277)-1)</f>
        <v/>
      </c>
    </row>
    <row r="1278" spans="1:7">
      <c r="A1278" s="11">
        <v>1277</v>
      </c>
      <c r="B1278" s="11" t="str">
        <f>IFERROR(INDEX('Raw Data'!$R$2:$R$50000,MATCH(1277,'Raw Data'!$W$2:$W$50000,0)),"")</f>
        <v/>
      </c>
      <c r="C1278" s="11" t="str">
        <f t="shared" si="19"/>
        <v/>
      </c>
      <c r="D1278" s="11" t="str">
        <f>IF($B1278="","",COUNTIFS('Raw Data'!$R$2:$R$50000,$B1278))</f>
        <v/>
      </c>
      <c r="E1278" s="11" t="str">
        <f>IF($B1278="","",SUMIFS('Raw Data'!$I$2:$I$50000,'Raw Data'!$R$2:$R$50000,$B1278))</f>
        <v/>
      </c>
      <c r="F1278" s="11" t="str">
        <f>IF($B1278="","",RANK($E1278,$E$2:$E$1501)+COUNTIF($E$2:E1278,$E1278)-1)</f>
        <v/>
      </c>
      <c r="G1278" s="11" t="str">
        <f>IF($B1278="","",RANK($D1278,$D$2:$D$1501)+COUNTIF($D$2:D1278,$D1278)-1)</f>
        <v/>
      </c>
    </row>
    <row r="1279" spans="1:7">
      <c r="A1279" s="11">
        <v>1278</v>
      </c>
      <c r="B1279" s="11" t="str">
        <f>IFERROR(INDEX('Raw Data'!$R$2:$R$50000,MATCH(1278,'Raw Data'!$W$2:$W$50000,0)),"")</f>
        <v/>
      </c>
      <c r="C1279" s="11" t="str">
        <f t="shared" si="19"/>
        <v/>
      </c>
      <c r="D1279" s="11" t="str">
        <f>IF($B1279="","",COUNTIFS('Raw Data'!$R$2:$R$50000,$B1279))</f>
        <v/>
      </c>
      <c r="E1279" s="11" t="str">
        <f>IF($B1279="","",SUMIFS('Raw Data'!$I$2:$I$50000,'Raw Data'!$R$2:$R$50000,$B1279))</f>
        <v/>
      </c>
      <c r="F1279" s="11" t="str">
        <f>IF($B1279="","",RANK($E1279,$E$2:$E$1501)+COUNTIF($E$2:E1279,$E1279)-1)</f>
        <v/>
      </c>
      <c r="G1279" s="11" t="str">
        <f>IF($B1279="","",RANK($D1279,$D$2:$D$1501)+COUNTIF($D$2:D1279,$D1279)-1)</f>
        <v/>
      </c>
    </row>
    <row r="1280" spans="1:7">
      <c r="A1280" s="11">
        <v>1279</v>
      </c>
      <c r="B1280" s="11" t="str">
        <f>IFERROR(INDEX('Raw Data'!$R$2:$R$50000,MATCH(1279,'Raw Data'!$W$2:$W$50000,0)),"")</f>
        <v/>
      </c>
      <c r="C1280" s="11" t="str">
        <f t="shared" si="19"/>
        <v/>
      </c>
      <c r="D1280" s="11" t="str">
        <f>IF($B1280="","",COUNTIFS('Raw Data'!$R$2:$R$50000,$B1280))</f>
        <v/>
      </c>
      <c r="E1280" s="11" t="str">
        <f>IF($B1280="","",SUMIFS('Raw Data'!$I$2:$I$50000,'Raw Data'!$R$2:$R$50000,$B1280))</f>
        <v/>
      </c>
      <c r="F1280" s="11" t="str">
        <f>IF($B1280="","",RANK($E1280,$E$2:$E$1501)+COUNTIF($E$2:E1280,$E1280)-1)</f>
        <v/>
      </c>
      <c r="G1280" s="11" t="str">
        <f>IF($B1280="","",RANK($D1280,$D$2:$D$1501)+COUNTIF($D$2:D1280,$D1280)-1)</f>
        <v/>
      </c>
    </row>
    <row r="1281" spans="1:7">
      <c r="A1281" s="11">
        <v>1280</v>
      </c>
      <c r="B1281" s="11" t="str">
        <f>IFERROR(INDEX('Raw Data'!$R$2:$R$50000,MATCH(1280,'Raw Data'!$W$2:$W$50000,0)),"")</f>
        <v/>
      </c>
      <c r="C1281" s="11" t="str">
        <f t="shared" si="19"/>
        <v/>
      </c>
      <c r="D1281" s="11" t="str">
        <f>IF($B1281="","",COUNTIFS('Raw Data'!$R$2:$R$50000,$B1281))</f>
        <v/>
      </c>
      <c r="E1281" s="11" t="str">
        <f>IF($B1281="","",SUMIFS('Raw Data'!$I$2:$I$50000,'Raw Data'!$R$2:$R$50000,$B1281))</f>
        <v/>
      </c>
      <c r="F1281" s="11" t="str">
        <f>IF($B1281="","",RANK($E1281,$E$2:$E$1501)+COUNTIF($E$2:E1281,$E1281)-1)</f>
        <v/>
      </c>
      <c r="G1281" s="11" t="str">
        <f>IF($B1281="","",RANK($D1281,$D$2:$D$1501)+COUNTIF($D$2:D1281,$D1281)-1)</f>
        <v/>
      </c>
    </row>
    <row r="1282" spans="1:7">
      <c r="A1282" s="11">
        <v>1281</v>
      </c>
      <c r="B1282" s="11" t="str">
        <f>IFERROR(INDEX('Raw Data'!$R$2:$R$50000,MATCH(1281,'Raw Data'!$W$2:$W$50000,0)),"")</f>
        <v/>
      </c>
      <c r="C1282" s="11" t="str">
        <f t="shared" ref="C1282:C1345" si="20">IF($B1282="","",$B1282)</f>
        <v/>
      </c>
      <c r="D1282" s="11" t="str">
        <f>IF($B1282="","",COUNTIFS('Raw Data'!$R$2:$R$50000,$B1282))</f>
        <v/>
      </c>
      <c r="E1282" s="11" t="str">
        <f>IF($B1282="","",SUMIFS('Raw Data'!$I$2:$I$50000,'Raw Data'!$R$2:$R$50000,$B1282))</f>
        <v/>
      </c>
      <c r="F1282" s="11" t="str">
        <f>IF($B1282="","",RANK($E1282,$E$2:$E$1501)+COUNTIF($E$2:E1282,$E1282)-1)</f>
        <v/>
      </c>
      <c r="G1282" s="11" t="str">
        <f>IF($B1282="","",RANK($D1282,$D$2:$D$1501)+COUNTIF($D$2:D1282,$D1282)-1)</f>
        <v/>
      </c>
    </row>
    <row r="1283" spans="1:7">
      <c r="A1283" s="11">
        <v>1282</v>
      </c>
      <c r="B1283" s="11" t="str">
        <f>IFERROR(INDEX('Raw Data'!$R$2:$R$50000,MATCH(1282,'Raw Data'!$W$2:$W$50000,0)),"")</f>
        <v/>
      </c>
      <c r="C1283" s="11" t="str">
        <f t="shared" si="20"/>
        <v/>
      </c>
      <c r="D1283" s="11" t="str">
        <f>IF($B1283="","",COUNTIFS('Raw Data'!$R$2:$R$50000,$B1283))</f>
        <v/>
      </c>
      <c r="E1283" s="11" t="str">
        <f>IF($B1283="","",SUMIFS('Raw Data'!$I$2:$I$50000,'Raw Data'!$R$2:$R$50000,$B1283))</f>
        <v/>
      </c>
      <c r="F1283" s="11" t="str">
        <f>IF($B1283="","",RANK($E1283,$E$2:$E$1501)+COUNTIF($E$2:E1283,$E1283)-1)</f>
        <v/>
      </c>
      <c r="G1283" s="11" t="str">
        <f>IF($B1283="","",RANK($D1283,$D$2:$D$1501)+COUNTIF($D$2:D1283,$D1283)-1)</f>
        <v/>
      </c>
    </row>
    <row r="1284" spans="1:7">
      <c r="A1284" s="11">
        <v>1283</v>
      </c>
      <c r="B1284" s="11" t="str">
        <f>IFERROR(INDEX('Raw Data'!$R$2:$R$50000,MATCH(1283,'Raw Data'!$W$2:$W$50000,0)),"")</f>
        <v/>
      </c>
      <c r="C1284" s="11" t="str">
        <f t="shared" si="20"/>
        <v/>
      </c>
      <c r="D1284" s="11" t="str">
        <f>IF($B1284="","",COUNTIFS('Raw Data'!$R$2:$R$50000,$B1284))</f>
        <v/>
      </c>
      <c r="E1284" s="11" t="str">
        <f>IF($B1284="","",SUMIFS('Raw Data'!$I$2:$I$50000,'Raw Data'!$R$2:$R$50000,$B1284))</f>
        <v/>
      </c>
      <c r="F1284" s="11" t="str">
        <f>IF($B1284="","",RANK($E1284,$E$2:$E$1501)+COUNTIF($E$2:E1284,$E1284)-1)</f>
        <v/>
      </c>
      <c r="G1284" s="11" t="str">
        <f>IF($B1284="","",RANK($D1284,$D$2:$D$1501)+COUNTIF($D$2:D1284,$D1284)-1)</f>
        <v/>
      </c>
    </row>
    <row r="1285" spans="1:7">
      <c r="A1285" s="11">
        <v>1284</v>
      </c>
      <c r="B1285" s="11" t="str">
        <f>IFERROR(INDEX('Raw Data'!$R$2:$R$50000,MATCH(1284,'Raw Data'!$W$2:$W$50000,0)),"")</f>
        <v/>
      </c>
      <c r="C1285" s="11" t="str">
        <f t="shared" si="20"/>
        <v/>
      </c>
      <c r="D1285" s="11" t="str">
        <f>IF($B1285="","",COUNTIFS('Raw Data'!$R$2:$R$50000,$B1285))</f>
        <v/>
      </c>
      <c r="E1285" s="11" t="str">
        <f>IF($B1285="","",SUMIFS('Raw Data'!$I$2:$I$50000,'Raw Data'!$R$2:$R$50000,$B1285))</f>
        <v/>
      </c>
      <c r="F1285" s="11" t="str">
        <f>IF($B1285="","",RANK($E1285,$E$2:$E$1501)+COUNTIF($E$2:E1285,$E1285)-1)</f>
        <v/>
      </c>
      <c r="G1285" s="11" t="str">
        <f>IF($B1285="","",RANK($D1285,$D$2:$D$1501)+COUNTIF($D$2:D1285,$D1285)-1)</f>
        <v/>
      </c>
    </row>
    <row r="1286" spans="1:7">
      <c r="A1286" s="11">
        <v>1285</v>
      </c>
      <c r="B1286" s="11" t="str">
        <f>IFERROR(INDEX('Raw Data'!$R$2:$R$50000,MATCH(1285,'Raw Data'!$W$2:$W$50000,0)),"")</f>
        <v/>
      </c>
      <c r="C1286" s="11" t="str">
        <f t="shared" si="20"/>
        <v/>
      </c>
      <c r="D1286" s="11" t="str">
        <f>IF($B1286="","",COUNTIFS('Raw Data'!$R$2:$R$50000,$B1286))</f>
        <v/>
      </c>
      <c r="E1286" s="11" t="str">
        <f>IF($B1286="","",SUMIFS('Raw Data'!$I$2:$I$50000,'Raw Data'!$R$2:$R$50000,$B1286))</f>
        <v/>
      </c>
      <c r="F1286" s="11" t="str">
        <f>IF($B1286="","",RANK($E1286,$E$2:$E$1501)+COUNTIF($E$2:E1286,$E1286)-1)</f>
        <v/>
      </c>
      <c r="G1286" s="11" t="str">
        <f>IF($B1286="","",RANK($D1286,$D$2:$D$1501)+COUNTIF($D$2:D1286,$D1286)-1)</f>
        <v/>
      </c>
    </row>
    <row r="1287" spans="1:7">
      <c r="A1287" s="11">
        <v>1286</v>
      </c>
      <c r="B1287" s="11" t="str">
        <f>IFERROR(INDEX('Raw Data'!$R$2:$R$50000,MATCH(1286,'Raw Data'!$W$2:$W$50000,0)),"")</f>
        <v/>
      </c>
      <c r="C1287" s="11" t="str">
        <f t="shared" si="20"/>
        <v/>
      </c>
      <c r="D1287" s="11" t="str">
        <f>IF($B1287="","",COUNTIFS('Raw Data'!$R$2:$R$50000,$B1287))</f>
        <v/>
      </c>
      <c r="E1287" s="11" t="str">
        <f>IF($B1287="","",SUMIFS('Raw Data'!$I$2:$I$50000,'Raw Data'!$R$2:$R$50000,$B1287))</f>
        <v/>
      </c>
      <c r="F1287" s="11" t="str">
        <f>IF($B1287="","",RANK($E1287,$E$2:$E$1501)+COUNTIF($E$2:E1287,$E1287)-1)</f>
        <v/>
      </c>
      <c r="G1287" s="11" t="str">
        <f>IF($B1287="","",RANK($D1287,$D$2:$D$1501)+COUNTIF($D$2:D1287,$D1287)-1)</f>
        <v/>
      </c>
    </row>
    <row r="1288" spans="1:7">
      <c r="A1288" s="11">
        <v>1287</v>
      </c>
      <c r="B1288" s="11" t="str">
        <f>IFERROR(INDEX('Raw Data'!$R$2:$R$50000,MATCH(1287,'Raw Data'!$W$2:$W$50000,0)),"")</f>
        <v/>
      </c>
      <c r="C1288" s="11" t="str">
        <f t="shared" si="20"/>
        <v/>
      </c>
      <c r="D1288" s="11" t="str">
        <f>IF($B1288="","",COUNTIFS('Raw Data'!$R$2:$R$50000,$B1288))</f>
        <v/>
      </c>
      <c r="E1288" s="11" t="str">
        <f>IF($B1288="","",SUMIFS('Raw Data'!$I$2:$I$50000,'Raw Data'!$R$2:$R$50000,$B1288))</f>
        <v/>
      </c>
      <c r="F1288" s="11" t="str">
        <f>IF($B1288="","",RANK($E1288,$E$2:$E$1501)+COUNTIF($E$2:E1288,$E1288)-1)</f>
        <v/>
      </c>
      <c r="G1288" s="11" t="str">
        <f>IF($B1288="","",RANK($D1288,$D$2:$D$1501)+COUNTIF($D$2:D1288,$D1288)-1)</f>
        <v/>
      </c>
    </row>
    <row r="1289" spans="1:7">
      <c r="A1289" s="11">
        <v>1288</v>
      </c>
      <c r="B1289" s="11" t="str">
        <f>IFERROR(INDEX('Raw Data'!$R$2:$R$50000,MATCH(1288,'Raw Data'!$W$2:$W$50000,0)),"")</f>
        <v/>
      </c>
      <c r="C1289" s="11" t="str">
        <f t="shared" si="20"/>
        <v/>
      </c>
      <c r="D1289" s="11" t="str">
        <f>IF($B1289="","",COUNTIFS('Raw Data'!$R$2:$R$50000,$B1289))</f>
        <v/>
      </c>
      <c r="E1289" s="11" t="str">
        <f>IF($B1289="","",SUMIFS('Raw Data'!$I$2:$I$50000,'Raw Data'!$R$2:$R$50000,$B1289))</f>
        <v/>
      </c>
      <c r="F1289" s="11" t="str">
        <f>IF($B1289="","",RANK($E1289,$E$2:$E$1501)+COUNTIF($E$2:E1289,$E1289)-1)</f>
        <v/>
      </c>
      <c r="G1289" s="11" t="str">
        <f>IF($B1289="","",RANK($D1289,$D$2:$D$1501)+COUNTIF($D$2:D1289,$D1289)-1)</f>
        <v/>
      </c>
    </row>
    <row r="1290" spans="1:7">
      <c r="A1290" s="11">
        <v>1289</v>
      </c>
      <c r="B1290" s="11" t="str">
        <f>IFERROR(INDEX('Raw Data'!$R$2:$R$50000,MATCH(1289,'Raw Data'!$W$2:$W$50000,0)),"")</f>
        <v/>
      </c>
      <c r="C1290" s="11" t="str">
        <f t="shared" si="20"/>
        <v/>
      </c>
      <c r="D1290" s="11" t="str">
        <f>IF($B1290="","",COUNTIFS('Raw Data'!$R$2:$R$50000,$B1290))</f>
        <v/>
      </c>
      <c r="E1290" s="11" t="str">
        <f>IF($B1290="","",SUMIFS('Raw Data'!$I$2:$I$50000,'Raw Data'!$R$2:$R$50000,$B1290))</f>
        <v/>
      </c>
      <c r="F1290" s="11" t="str">
        <f>IF($B1290="","",RANK($E1290,$E$2:$E$1501)+COUNTIF($E$2:E1290,$E1290)-1)</f>
        <v/>
      </c>
      <c r="G1290" s="11" t="str">
        <f>IF($B1290="","",RANK($D1290,$D$2:$D$1501)+COUNTIF($D$2:D1290,$D1290)-1)</f>
        <v/>
      </c>
    </row>
    <row r="1291" spans="1:7">
      <c r="A1291" s="11">
        <v>1290</v>
      </c>
      <c r="B1291" s="11" t="str">
        <f>IFERROR(INDEX('Raw Data'!$R$2:$R$50000,MATCH(1290,'Raw Data'!$W$2:$W$50000,0)),"")</f>
        <v/>
      </c>
      <c r="C1291" s="11" t="str">
        <f t="shared" si="20"/>
        <v/>
      </c>
      <c r="D1291" s="11" t="str">
        <f>IF($B1291="","",COUNTIFS('Raw Data'!$R$2:$R$50000,$B1291))</f>
        <v/>
      </c>
      <c r="E1291" s="11" t="str">
        <f>IF($B1291="","",SUMIFS('Raw Data'!$I$2:$I$50000,'Raw Data'!$R$2:$R$50000,$B1291))</f>
        <v/>
      </c>
      <c r="F1291" s="11" t="str">
        <f>IF($B1291="","",RANK($E1291,$E$2:$E$1501)+COUNTIF($E$2:E1291,$E1291)-1)</f>
        <v/>
      </c>
      <c r="G1291" s="11" t="str">
        <f>IF($B1291="","",RANK($D1291,$D$2:$D$1501)+COUNTIF($D$2:D1291,$D1291)-1)</f>
        <v/>
      </c>
    </row>
    <row r="1292" spans="1:7">
      <c r="A1292" s="11">
        <v>1291</v>
      </c>
      <c r="B1292" s="11" t="str">
        <f>IFERROR(INDEX('Raw Data'!$R$2:$R$50000,MATCH(1291,'Raw Data'!$W$2:$W$50000,0)),"")</f>
        <v/>
      </c>
      <c r="C1292" s="11" t="str">
        <f t="shared" si="20"/>
        <v/>
      </c>
      <c r="D1292" s="11" t="str">
        <f>IF($B1292="","",COUNTIFS('Raw Data'!$R$2:$R$50000,$B1292))</f>
        <v/>
      </c>
      <c r="E1292" s="11" t="str">
        <f>IF($B1292="","",SUMIFS('Raw Data'!$I$2:$I$50000,'Raw Data'!$R$2:$R$50000,$B1292))</f>
        <v/>
      </c>
      <c r="F1292" s="11" t="str">
        <f>IF($B1292="","",RANK($E1292,$E$2:$E$1501)+COUNTIF($E$2:E1292,$E1292)-1)</f>
        <v/>
      </c>
      <c r="G1292" s="11" t="str">
        <f>IF($B1292="","",RANK($D1292,$D$2:$D$1501)+COUNTIF($D$2:D1292,$D1292)-1)</f>
        <v/>
      </c>
    </row>
    <row r="1293" spans="1:7">
      <c r="A1293" s="11">
        <v>1292</v>
      </c>
      <c r="B1293" s="11" t="str">
        <f>IFERROR(INDEX('Raw Data'!$R$2:$R$50000,MATCH(1292,'Raw Data'!$W$2:$W$50000,0)),"")</f>
        <v/>
      </c>
      <c r="C1293" s="11" t="str">
        <f t="shared" si="20"/>
        <v/>
      </c>
      <c r="D1293" s="11" t="str">
        <f>IF($B1293="","",COUNTIFS('Raw Data'!$R$2:$R$50000,$B1293))</f>
        <v/>
      </c>
      <c r="E1293" s="11" t="str">
        <f>IF($B1293="","",SUMIFS('Raw Data'!$I$2:$I$50000,'Raw Data'!$R$2:$R$50000,$B1293))</f>
        <v/>
      </c>
      <c r="F1293" s="11" t="str">
        <f>IF($B1293="","",RANK($E1293,$E$2:$E$1501)+COUNTIF($E$2:E1293,$E1293)-1)</f>
        <v/>
      </c>
      <c r="G1293" s="11" t="str">
        <f>IF($B1293="","",RANK($D1293,$D$2:$D$1501)+COUNTIF($D$2:D1293,$D1293)-1)</f>
        <v/>
      </c>
    </row>
    <row r="1294" spans="1:7">
      <c r="A1294" s="11">
        <v>1293</v>
      </c>
      <c r="B1294" s="11" t="str">
        <f>IFERROR(INDEX('Raw Data'!$R$2:$R$50000,MATCH(1293,'Raw Data'!$W$2:$W$50000,0)),"")</f>
        <v/>
      </c>
      <c r="C1294" s="11" t="str">
        <f t="shared" si="20"/>
        <v/>
      </c>
      <c r="D1294" s="11" t="str">
        <f>IF($B1294="","",COUNTIFS('Raw Data'!$R$2:$R$50000,$B1294))</f>
        <v/>
      </c>
      <c r="E1294" s="11" t="str">
        <f>IF($B1294="","",SUMIFS('Raw Data'!$I$2:$I$50000,'Raw Data'!$R$2:$R$50000,$B1294))</f>
        <v/>
      </c>
      <c r="F1294" s="11" t="str">
        <f>IF($B1294="","",RANK($E1294,$E$2:$E$1501)+COUNTIF($E$2:E1294,$E1294)-1)</f>
        <v/>
      </c>
      <c r="G1294" s="11" t="str">
        <f>IF($B1294="","",RANK($D1294,$D$2:$D$1501)+COUNTIF($D$2:D1294,$D1294)-1)</f>
        <v/>
      </c>
    </row>
    <row r="1295" spans="1:7">
      <c r="A1295" s="11">
        <v>1294</v>
      </c>
      <c r="B1295" s="11" t="str">
        <f>IFERROR(INDEX('Raw Data'!$R$2:$R$50000,MATCH(1294,'Raw Data'!$W$2:$W$50000,0)),"")</f>
        <v/>
      </c>
      <c r="C1295" s="11" t="str">
        <f t="shared" si="20"/>
        <v/>
      </c>
      <c r="D1295" s="11" t="str">
        <f>IF($B1295="","",COUNTIFS('Raw Data'!$R$2:$R$50000,$B1295))</f>
        <v/>
      </c>
      <c r="E1295" s="11" t="str">
        <f>IF($B1295="","",SUMIFS('Raw Data'!$I$2:$I$50000,'Raw Data'!$R$2:$R$50000,$B1295))</f>
        <v/>
      </c>
      <c r="F1295" s="11" t="str">
        <f>IF($B1295="","",RANK($E1295,$E$2:$E$1501)+COUNTIF($E$2:E1295,$E1295)-1)</f>
        <v/>
      </c>
      <c r="G1295" s="11" t="str">
        <f>IF($B1295="","",RANK($D1295,$D$2:$D$1501)+COUNTIF($D$2:D1295,$D1295)-1)</f>
        <v/>
      </c>
    </row>
    <row r="1296" spans="1:7">
      <c r="A1296" s="11">
        <v>1295</v>
      </c>
      <c r="B1296" s="11" t="str">
        <f>IFERROR(INDEX('Raw Data'!$R$2:$R$50000,MATCH(1295,'Raw Data'!$W$2:$W$50000,0)),"")</f>
        <v/>
      </c>
      <c r="C1296" s="11" t="str">
        <f t="shared" si="20"/>
        <v/>
      </c>
      <c r="D1296" s="11" t="str">
        <f>IF($B1296="","",COUNTIFS('Raw Data'!$R$2:$R$50000,$B1296))</f>
        <v/>
      </c>
      <c r="E1296" s="11" t="str">
        <f>IF($B1296="","",SUMIFS('Raw Data'!$I$2:$I$50000,'Raw Data'!$R$2:$R$50000,$B1296))</f>
        <v/>
      </c>
      <c r="F1296" s="11" t="str">
        <f>IF($B1296="","",RANK($E1296,$E$2:$E$1501)+COUNTIF($E$2:E1296,$E1296)-1)</f>
        <v/>
      </c>
      <c r="G1296" s="11" t="str">
        <f>IF($B1296="","",RANK($D1296,$D$2:$D$1501)+COUNTIF($D$2:D1296,$D1296)-1)</f>
        <v/>
      </c>
    </row>
    <row r="1297" spans="1:7">
      <c r="A1297" s="11">
        <v>1296</v>
      </c>
      <c r="B1297" s="11" t="str">
        <f>IFERROR(INDEX('Raw Data'!$R$2:$R$50000,MATCH(1296,'Raw Data'!$W$2:$W$50000,0)),"")</f>
        <v/>
      </c>
      <c r="C1297" s="11" t="str">
        <f t="shared" si="20"/>
        <v/>
      </c>
      <c r="D1297" s="11" t="str">
        <f>IF($B1297="","",COUNTIFS('Raw Data'!$R$2:$R$50000,$B1297))</f>
        <v/>
      </c>
      <c r="E1297" s="11" t="str">
        <f>IF($B1297="","",SUMIFS('Raw Data'!$I$2:$I$50000,'Raw Data'!$R$2:$R$50000,$B1297))</f>
        <v/>
      </c>
      <c r="F1297" s="11" t="str">
        <f>IF($B1297="","",RANK($E1297,$E$2:$E$1501)+COUNTIF($E$2:E1297,$E1297)-1)</f>
        <v/>
      </c>
      <c r="G1297" s="11" t="str">
        <f>IF($B1297="","",RANK($D1297,$D$2:$D$1501)+COUNTIF($D$2:D1297,$D1297)-1)</f>
        <v/>
      </c>
    </row>
    <row r="1298" spans="1:7">
      <c r="A1298" s="11">
        <v>1297</v>
      </c>
      <c r="B1298" s="11" t="str">
        <f>IFERROR(INDEX('Raw Data'!$R$2:$R$50000,MATCH(1297,'Raw Data'!$W$2:$W$50000,0)),"")</f>
        <v/>
      </c>
      <c r="C1298" s="11" t="str">
        <f t="shared" si="20"/>
        <v/>
      </c>
      <c r="D1298" s="11" t="str">
        <f>IF($B1298="","",COUNTIFS('Raw Data'!$R$2:$R$50000,$B1298))</f>
        <v/>
      </c>
      <c r="E1298" s="11" t="str">
        <f>IF($B1298="","",SUMIFS('Raw Data'!$I$2:$I$50000,'Raw Data'!$R$2:$R$50000,$B1298))</f>
        <v/>
      </c>
      <c r="F1298" s="11" t="str">
        <f>IF($B1298="","",RANK($E1298,$E$2:$E$1501)+COUNTIF($E$2:E1298,$E1298)-1)</f>
        <v/>
      </c>
      <c r="G1298" s="11" t="str">
        <f>IF($B1298="","",RANK($D1298,$D$2:$D$1501)+COUNTIF($D$2:D1298,$D1298)-1)</f>
        <v/>
      </c>
    </row>
    <row r="1299" spans="1:7">
      <c r="A1299" s="11">
        <v>1298</v>
      </c>
      <c r="B1299" s="11" t="str">
        <f>IFERROR(INDEX('Raw Data'!$R$2:$R$50000,MATCH(1298,'Raw Data'!$W$2:$W$50000,0)),"")</f>
        <v/>
      </c>
      <c r="C1299" s="11" t="str">
        <f t="shared" si="20"/>
        <v/>
      </c>
      <c r="D1299" s="11" t="str">
        <f>IF($B1299="","",COUNTIFS('Raw Data'!$R$2:$R$50000,$B1299))</f>
        <v/>
      </c>
      <c r="E1299" s="11" t="str">
        <f>IF($B1299="","",SUMIFS('Raw Data'!$I$2:$I$50000,'Raw Data'!$R$2:$R$50000,$B1299))</f>
        <v/>
      </c>
      <c r="F1299" s="11" t="str">
        <f>IF($B1299="","",RANK($E1299,$E$2:$E$1501)+COUNTIF($E$2:E1299,$E1299)-1)</f>
        <v/>
      </c>
      <c r="G1299" s="11" t="str">
        <f>IF($B1299="","",RANK($D1299,$D$2:$D$1501)+COUNTIF($D$2:D1299,$D1299)-1)</f>
        <v/>
      </c>
    </row>
    <row r="1300" spans="1:7">
      <c r="A1300" s="11">
        <v>1299</v>
      </c>
      <c r="B1300" s="11" t="str">
        <f>IFERROR(INDEX('Raw Data'!$R$2:$R$50000,MATCH(1299,'Raw Data'!$W$2:$W$50000,0)),"")</f>
        <v/>
      </c>
      <c r="C1300" s="11" t="str">
        <f t="shared" si="20"/>
        <v/>
      </c>
      <c r="D1300" s="11" t="str">
        <f>IF($B1300="","",COUNTIFS('Raw Data'!$R$2:$R$50000,$B1300))</f>
        <v/>
      </c>
      <c r="E1300" s="11" t="str">
        <f>IF($B1300="","",SUMIFS('Raw Data'!$I$2:$I$50000,'Raw Data'!$R$2:$R$50000,$B1300))</f>
        <v/>
      </c>
      <c r="F1300" s="11" t="str">
        <f>IF($B1300="","",RANK($E1300,$E$2:$E$1501)+COUNTIF($E$2:E1300,$E1300)-1)</f>
        <v/>
      </c>
      <c r="G1300" s="11" t="str">
        <f>IF($B1300="","",RANK($D1300,$D$2:$D$1501)+COUNTIF($D$2:D1300,$D1300)-1)</f>
        <v/>
      </c>
    </row>
    <row r="1301" spans="1:7">
      <c r="A1301" s="11">
        <v>1300</v>
      </c>
      <c r="B1301" s="11" t="str">
        <f>IFERROR(INDEX('Raw Data'!$R$2:$R$50000,MATCH(1300,'Raw Data'!$W$2:$W$50000,0)),"")</f>
        <v/>
      </c>
      <c r="C1301" s="11" t="str">
        <f t="shared" si="20"/>
        <v/>
      </c>
      <c r="D1301" s="11" t="str">
        <f>IF($B1301="","",COUNTIFS('Raw Data'!$R$2:$R$50000,$B1301))</f>
        <v/>
      </c>
      <c r="E1301" s="11" t="str">
        <f>IF($B1301="","",SUMIFS('Raw Data'!$I$2:$I$50000,'Raw Data'!$R$2:$R$50000,$B1301))</f>
        <v/>
      </c>
      <c r="F1301" s="11" t="str">
        <f>IF($B1301="","",RANK($E1301,$E$2:$E$1501)+COUNTIF($E$2:E1301,$E1301)-1)</f>
        <v/>
      </c>
      <c r="G1301" s="11" t="str">
        <f>IF($B1301="","",RANK($D1301,$D$2:$D$1501)+COUNTIF($D$2:D1301,$D1301)-1)</f>
        <v/>
      </c>
    </row>
    <row r="1302" spans="1:7">
      <c r="A1302" s="11">
        <v>1301</v>
      </c>
      <c r="B1302" s="11" t="str">
        <f>IFERROR(INDEX('Raw Data'!$R$2:$R$50000,MATCH(1301,'Raw Data'!$W$2:$W$50000,0)),"")</f>
        <v/>
      </c>
      <c r="C1302" s="11" t="str">
        <f t="shared" si="20"/>
        <v/>
      </c>
      <c r="D1302" s="11" t="str">
        <f>IF($B1302="","",COUNTIFS('Raw Data'!$R$2:$R$50000,$B1302))</f>
        <v/>
      </c>
      <c r="E1302" s="11" t="str">
        <f>IF($B1302="","",SUMIFS('Raw Data'!$I$2:$I$50000,'Raw Data'!$R$2:$R$50000,$B1302))</f>
        <v/>
      </c>
      <c r="F1302" s="11" t="str">
        <f>IF($B1302="","",RANK($E1302,$E$2:$E$1501)+COUNTIF($E$2:E1302,$E1302)-1)</f>
        <v/>
      </c>
      <c r="G1302" s="11" t="str">
        <f>IF($B1302="","",RANK($D1302,$D$2:$D$1501)+COUNTIF($D$2:D1302,$D1302)-1)</f>
        <v/>
      </c>
    </row>
    <row r="1303" spans="1:7">
      <c r="A1303" s="11">
        <v>1302</v>
      </c>
      <c r="B1303" s="11" t="str">
        <f>IFERROR(INDEX('Raw Data'!$R$2:$R$50000,MATCH(1302,'Raw Data'!$W$2:$W$50000,0)),"")</f>
        <v/>
      </c>
      <c r="C1303" s="11" t="str">
        <f t="shared" si="20"/>
        <v/>
      </c>
      <c r="D1303" s="11" t="str">
        <f>IF($B1303="","",COUNTIFS('Raw Data'!$R$2:$R$50000,$B1303))</f>
        <v/>
      </c>
      <c r="E1303" s="11" t="str">
        <f>IF($B1303="","",SUMIFS('Raw Data'!$I$2:$I$50000,'Raw Data'!$R$2:$R$50000,$B1303))</f>
        <v/>
      </c>
      <c r="F1303" s="11" t="str">
        <f>IF($B1303="","",RANK($E1303,$E$2:$E$1501)+COUNTIF($E$2:E1303,$E1303)-1)</f>
        <v/>
      </c>
      <c r="G1303" s="11" t="str">
        <f>IF($B1303="","",RANK($D1303,$D$2:$D$1501)+COUNTIF($D$2:D1303,$D1303)-1)</f>
        <v/>
      </c>
    </row>
    <row r="1304" spans="1:7">
      <c r="A1304" s="11">
        <v>1303</v>
      </c>
      <c r="B1304" s="11" t="str">
        <f>IFERROR(INDEX('Raw Data'!$R$2:$R$50000,MATCH(1303,'Raw Data'!$W$2:$W$50000,0)),"")</f>
        <v/>
      </c>
      <c r="C1304" s="11" t="str">
        <f t="shared" si="20"/>
        <v/>
      </c>
      <c r="D1304" s="11" t="str">
        <f>IF($B1304="","",COUNTIFS('Raw Data'!$R$2:$R$50000,$B1304))</f>
        <v/>
      </c>
      <c r="E1304" s="11" t="str">
        <f>IF($B1304="","",SUMIFS('Raw Data'!$I$2:$I$50000,'Raw Data'!$R$2:$R$50000,$B1304))</f>
        <v/>
      </c>
      <c r="F1304" s="11" t="str">
        <f>IF($B1304="","",RANK($E1304,$E$2:$E$1501)+COUNTIF($E$2:E1304,$E1304)-1)</f>
        <v/>
      </c>
      <c r="G1304" s="11" t="str">
        <f>IF($B1304="","",RANK($D1304,$D$2:$D$1501)+COUNTIF($D$2:D1304,$D1304)-1)</f>
        <v/>
      </c>
    </row>
    <row r="1305" spans="1:7">
      <c r="A1305" s="11">
        <v>1304</v>
      </c>
      <c r="B1305" s="11" t="str">
        <f>IFERROR(INDEX('Raw Data'!$R$2:$R$50000,MATCH(1304,'Raw Data'!$W$2:$W$50000,0)),"")</f>
        <v/>
      </c>
      <c r="C1305" s="11" t="str">
        <f t="shared" si="20"/>
        <v/>
      </c>
      <c r="D1305" s="11" t="str">
        <f>IF($B1305="","",COUNTIFS('Raw Data'!$R$2:$R$50000,$B1305))</f>
        <v/>
      </c>
      <c r="E1305" s="11" t="str">
        <f>IF($B1305="","",SUMIFS('Raw Data'!$I$2:$I$50000,'Raw Data'!$R$2:$R$50000,$B1305))</f>
        <v/>
      </c>
      <c r="F1305" s="11" t="str">
        <f>IF($B1305="","",RANK($E1305,$E$2:$E$1501)+COUNTIF($E$2:E1305,$E1305)-1)</f>
        <v/>
      </c>
      <c r="G1305" s="11" t="str">
        <f>IF($B1305="","",RANK($D1305,$D$2:$D$1501)+COUNTIF($D$2:D1305,$D1305)-1)</f>
        <v/>
      </c>
    </row>
    <row r="1306" spans="1:7">
      <c r="A1306" s="11">
        <v>1305</v>
      </c>
      <c r="B1306" s="11" t="str">
        <f>IFERROR(INDEX('Raw Data'!$R$2:$R$50000,MATCH(1305,'Raw Data'!$W$2:$W$50000,0)),"")</f>
        <v/>
      </c>
      <c r="C1306" s="11" t="str">
        <f t="shared" si="20"/>
        <v/>
      </c>
      <c r="D1306" s="11" t="str">
        <f>IF($B1306="","",COUNTIFS('Raw Data'!$R$2:$R$50000,$B1306))</f>
        <v/>
      </c>
      <c r="E1306" s="11" t="str">
        <f>IF($B1306="","",SUMIFS('Raw Data'!$I$2:$I$50000,'Raw Data'!$R$2:$R$50000,$B1306))</f>
        <v/>
      </c>
      <c r="F1306" s="11" t="str">
        <f>IF($B1306="","",RANK($E1306,$E$2:$E$1501)+COUNTIF($E$2:E1306,$E1306)-1)</f>
        <v/>
      </c>
      <c r="G1306" s="11" t="str">
        <f>IF($B1306="","",RANK($D1306,$D$2:$D$1501)+COUNTIF($D$2:D1306,$D1306)-1)</f>
        <v/>
      </c>
    </row>
    <row r="1307" spans="1:7">
      <c r="A1307" s="11">
        <v>1306</v>
      </c>
      <c r="B1307" s="11" t="str">
        <f>IFERROR(INDEX('Raw Data'!$R$2:$R$50000,MATCH(1306,'Raw Data'!$W$2:$W$50000,0)),"")</f>
        <v/>
      </c>
      <c r="C1307" s="11" t="str">
        <f t="shared" si="20"/>
        <v/>
      </c>
      <c r="D1307" s="11" t="str">
        <f>IF($B1307="","",COUNTIFS('Raw Data'!$R$2:$R$50000,$B1307))</f>
        <v/>
      </c>
      <c r="E1307" s="11" t="str">
        <f>IF($B1307="","",SUMIFS('Raw Data'!$I$2:$I$50000,'Raw Data'!$R$2:$R$50000,$B1307))</f>
        <v/>
      </c>
      <c r="F1307" s="11" t="str">
        <f>IF($B1307="","",RANK($E1307,$E$2:$E$1501)+COUNTIF($E$2:E1307,$E1307)-1)</f>
        <v/>
      </c>
      <c r="G1307" s="11" t="str">
        <f>IF($B1307="","",RANK($D1307,$D$2:$D$1501)+COUNTIF($D$2:D1307,$D1307)-1)</f>
        <v/>
      </c>
    </row>
    <row r="1308" spans="1:7">
      <c r="A1308" s="11">
        <v>1307</v>
      </c>
      <c r="B1308" s="11" t="str">
        <f>IFERROR(INDEX('Raw Data'!$R$2:$R$50000,MATCH(1307,'Raw Data'!$W$2:$W$50000,0)),"")</f>
        <v/>
      </c>
      <c r="C1308" s="11" t="str">
        <f t="shared" si="20"/>
        <v/>
      </c>
      <c r="D1308" s="11" t="str">
        <f>IF($B1308="","",COUNTIFS('Raw Data'!$R$2:$R$50000,$B1308))</f>
        <v/>
      </c>
      <c r="E1308" s="11" t="str">
        <f>IF($B1308="","",SUMIFS('Raw Data'!$I$2:$I$50000,'Raw Data'!$R$2:$R$50000,$B1308))</f>
        <v/>
      </c>
      <c r="F1308" s="11" t="str">
        <f>IF($B1308="","",RANK($E1308,$E$2:$E$1501)+COUNTIF($E$2:E1308,$E1308)-1)</f>
        <v/>
      </c>
      <c r="G1308" s="11" t="str">
        <f>IF($B1308="","",RANK($D1308,$D$2:$D$1501)+COUNTIF($D$2:D1308,$D1308)-1)</f>
        <v/>
      </c>
    </row>
    <row r="1309" spans="1:7">
      <c r="A1309" s="11">
        <v>1308</v>
      </c>
      <c r="B1309" s="11" t="str">
        <f>IFERROR(INDEX('Raw Data'!$R$2:$R$50000,MATCH(1308,'Raw Data'!$W$2:$W$50000,0)),"")</f>
        <v/>
      </c>
      <c r="C1309" s="11" t="str">
        <f t="shared" si="20"/>
        <v/>
      </c>
      <c r="D1309" s="11" t="str">
        <f>IF($B1309="","",COUNTIFS('Raw Data'!$R$2:$R$50000,$B1309))</f>
        <v/>
      </c>
      <c r="E1309" s="11" t="str">
        <f>IF($B1309="","",SUMIFS('Raw Data'!$I$2:$I$50000,'Raw Data'!$R$2:$R$50000,$B1309))</f>
        <v/>
      </c>
      <c r="F1309" s="11" t="str">
        <f>IF($B1309="","",RANK($E1309,$E$2:$E$1501)+COUNTIF($E$2:E1309,$E1309)-1)</f>
        <v/>
      </c>
      <c r="G1309" s="11" t="str">
        <f>IF($B1309="","",RANK($D1309,$D$2:$D$1501)+COUNTIF($D$2:D1309,$D1309)-1)</f>
        <v/>
      </c>
    </row>
    <row r="1310" spans="1:7">
      <c r="A1310" s="11">
        <v>1309</v>
      </c>
      <c r="B1310" s="11" t="str">
        <f>IFERROR(INDEX('Raw Data'!$R$2:$R$50000,MATCH(1309,'Raw Data'!$W$2:$W$50000,0)),"")</f>
        <v/>
      </c>
      <c r="C1310" s="11" t="str">
        <f t="shared" si="20"/>
        <v/>
      </c>
      <c r="D1310" s="11" t="str">
        <f>IF($B1310="","",COUNTIFS('Raw Data'!$R$2:$R$50000,$B1310))</f>
        <v/>
      </c>
      <c r="E1310" s="11" t="str">
        <f>IF($B1310="","",SUMIFS('Raw Data'!$I$2:$I$50000,'Raw Data'!$R$2:$R$50000,$B1310))</f>
        <v/>
      </c>
      <c r="F1310" s="11" t="str">
        <f>IF($B1310="","",RANK($E1310,$E$2:$E$1501)+COUNTIF($E$2:E1310,$E1310)-1)</f>
        <v/>
      </c>
      <c r="G1310" s="11" t="str">
        <f>IF($B1310="","",RANK($D1310,$D$2:$D$1501)+COUNTIF($D$2:D1310,$D1310)-1)</f>
        <v/>
      </c>
    </row>
    <row r="1311" spans="1:7">
      <c r="A1311" s="11">
        <v>1310</v>
      </c>
      <c r="B1311" s="11" t="str">
        <f>IFERROR(INDEX('Raw Data'!$R$2:$R$50000,MATCH(1310,'Raw Data'!$W$2:$W$50000,0)),"")</f>
        <v/>
      </c>
      <c r="C1311" s="11" t="str">
        <f t="shared" si="20"/>
        <v/>
      </c>
      <c r="D1311" s="11" t="str">
        <f>IF($B1311="","",COUNTIFS('Raw Data'!$R$2:$R$50000,$B1311))</f>
        <v/>
      </c>
      <c r="E1311" s="11" t="str">
        <f>IF($B1311="","",SUMIFS('Raw Data'!$I$2:$I$50000,'Raw Data'!$R$2:$R$50000,$B1311))</f>
        <v/>
      </c>
      <c r="F1311" s="11" t="str">
        <f>IF($B1311="","",RANK($E1311,$E$2:$E$1501)+COUNTIF($E$2:E1311,$E1311)-1)</f>
        <v/>
      </c>
      <c r="G1311" s="11" t="str">
        <f>IF($B1311="","",RANK($D1311,$D$2:$D$1501)+COUNTIF($D$2:D1311,$D1311)-1)</f>
        <v/>
      </c>
    </row>
    <row r="1312" spans="1:7">
      <c r="A1312" s="11">
        <v>1311</v>
      </c>
      <c r="B1312" s="11" t="str">
        <f>IFERROR(INDEX('Raw Data'!$R$2:$R$50000,MATCH(1311,'Raw Data'!$W$2:$W$50000,0)),"")</f>
        <v/>
      </c>
      <c r="C1312" s="11" t="str">
        <f t="shared" si="20"/>
        <v/>
      </c>
      <c r="D1312" s="11" t="str">
        <f>IF($B1312="","",COUNTIFS('Raw Data'!$R$2:$R$50000,$B1312))</f>
        <v/>
      </c>
      <c r="E1312" s="11" t="str">
        <f>IF($B1312="","",SUMIFS('Raw Data'!$I$2:$I$50000,'Raw Data'!$R$2:$R$50000,$B1312))</f>
        <v/>
      </c>
      <c r="F1312" s="11" t="str">
        <f>IF($B1312="","",RANK($E1312,$E$2:$E$1501)+COUNTIF($E$2:E1312,$E1312)-1)</f>
        <v/>
      </c>
      <c r="G1312" s="11" t="str">
        <f>IF($B1312="","",RANK($D1312,$D$2:$D$1501)+COUNTIF($D$2:D1312,$D1312)-1)</f>
        <v/>
      </c>
    </row>
    <row r="1313" spans="1:7">
      <c r="A1313" s="11">
        <v>1312</v>
      </c>
      <c r="B1313" s="11" t="str">
        <f>IFERROR(INDEX('Raw Data'!$R$2:$R$50000,MATCH(1312,'Raw Data'!$W$2:$W$50000,0)),"")</f>
        <v/>
      </c>
      <c r="C1313" s="11" t="str">
        <f t="shared" si="20"/>
        <v/>
      </c>
      <c r="D1313" s="11" t="str">
        <f>IF($B1313="","",COUNTIFS('Raw Data'!$R$2:$R$50000,$B1313))</f>
        <v/>
      </c>
      <c r="E1313" s="11" t="str">
        <f>IF($B1313="","",SUMIFS('Raw Data'!$I$2:$I$50000,'Raw Data'!$R$2:$R$50000,$B1313))</f>
        <v/>
      </c>
      <c r="F1313" s="11" t="str">
        <f>IF($B1313="","",RANK($E1313,$E$2:$E$1501)+COUNTIF($E$2:E1313,$E1313)-1)</f>
        <v/>
      </c>
      <c r="G1313" s="11" t="str">
        <f>IF($B1313="","",RANK($D1313,$D$2:$D$1501)+COUNTIF($D$2:D1313,$D1313)-1)</f>
        <v/>
      </c>
    </row>
    <row r="1314" spans="1:7">
      <c r="A1314" s="11">
        <v>1313</v>
      </c>
      <c r="B1314" s="11" t="str">
        <f>IFERROR(INDEX('Raw Data'!$R$2:$R$50000,MATCH(1313,'Raw Data'!$W$2:$W$50000,0)),"")</f>
        <v/>
      </c>
      <c r="C1314" s="11" t="str">
        <f t="shared" si="20"/>
        <v/>
      </c>
      <c r="D1314" s="11" t="str">
        <f>IF($B1314="","",COUNTIFS('Raw Data'!$R$2:$R$50000,$B1314))</f>
        <v/>
      </c>
      <c r="E1314" s="11" t="str">
        <f>IF($B1314="","",SUMIFS('Raw Data'!$I$2:$I$50000,'Raw Data'!$R$2:$R$50000,$B1314))</f>
        <v/>
      </c>
      <c r="F1314" s="11" t="str">
        <f>IF($B1314="","",RANK($E1314,$E$2:$E$1501)+COUNTIF($E$2:E1314,$E1314)-1)</f>
        <v/>
      </c>
      <c r="G1314" s="11" t="str">
        <f>IF($B1314="","",RANK($D1314,$D$2:$D$1501)+COUNTIF($D$2:D1314,$D1314)-1)</f>
        <v/>
      </c>
    </row>
    <row r="1315" spans="1:7">
      <c r="A1315" s="11">
        <v>1314</v>
      </c>
      <c r="B1315" s="11" t="str">
        <f>IFERROR(INDEX('Raw Data'!$R$2:$R$50000,MATCH(1314,'Raw Data'!$W$2:$W$50000,0)),"")</f>
        <v/>
      </c>
      <c r="C1315" s="11" t="str">
        <f t="shared" si="20"/>
        <v/>
      </c>
      <c r="D1315" s="11" t="str">
        <f>IF($B1315="","",COUNTIFS('Raw Data'!$R$2:$R$50000,$B1315))</f>
        <v/>
      </c>
      <c r="E1315" s="11" t="str">
        <f>IF($B1315="","",SUMIFS('Raw Data'!$I$2:$I$50000,'Raw Data'!$R$2:$R$50000,$B1315))</f>
        <v/>
      </c>
      <c r="F1315" s="11" t="str">
        <f>IF($B1315="","",RANK($E1315,$E$2:$E$1501)+COUNTIF($E$2:E1315,$E1315)-1)</f>
        <v/>
      </c>
      <c r="G1315" s="11" t="str">
        <f>IF($B1315="","",RANK($D1315,$D$2:$D$1501)+COUNTIF($D$2:D1315,$D1315)-1)</f>
        <v/>
      </c>
    </row>
    <row r="1316" spans="1:7">
      <c r="A1316" s="11">
        <v>1315</v>
      </c>
      <c r="B1316" s="11" t="str">
        <f>IFERROR(INDEX('Raw Data'!$R$2:$R$50000,MATCH(1315,'Raw Data'!$W$2:$W$50000,0)),"")</f>
        <v/>
      </c>
      <c r="C1316" s="11" t="str">
        <f t="shared" si="20"/>
        <v/>
      </c>
      <c r="D1316" s="11" t="str">
        <f>IF($B1316="","",COUNTIFS('Raw Data'!$R$2:$R$50000,$B1316))</f>
        <v/>
      </c>
      <c r="E1316" s="11" t="str">
        <f>IF($B1316="","",SUMIFS('Raw Data'!$I$2:$I$50000,'Raw Data'!$R$2:$R$50000,$B1316))</f>
        <v/>
      </c>
      <c r="F1316" s="11" t="str">
        <f>IF($B1316="","",RANK($E1316,$E$2:$E$1501)+COUNTIF($E$2:E1316,$E1316)-1)</f>
        <v/>
      </c>
      <c r="G1316" s="11" t="str">
        <f>IF($B1316="","",RANK($D1316,$D$2:$D$1501)+COUNTIF($D$2:D1316,$D1316)-1)</f>
        <v/>
      </c>
    </row>
    <row r="1317" spans="1:7">
      <c r="A1317" s="11">
        <v>1316</v>
      </c>
      <c r="B1317" s="11" t="str">
        <f>IFERROR(INDEX('Raw Data'!$R$2:$R$50000,MATCH(1316,'Raw Data'!$W$2:$W$50000,0)),"")</f>
        <v/>
      </c>
      <c r="C1317" s="11" t="str">
        <f t="shared" si="20"/>
        <v/>
      </c>
      <c r="D1317" s="11" t="str">
        <f>IF($B1317="","",COUNTIFS('Raw Data'!$R$2:$R$50000,$B1317))</f>
        <v/>
      </c>
      <c r="E1317" s="11" t="str">
        <f>IF($B1317="","",SUMIFS('Raw Data'!$I$2:$I$50000,'Raw Data'!$R$2:$R$50000,$B1317))</f>
        <v/>
      </c>
      <c r="F1317" s="11" t="str">
        <f>IF($B1317="","",RANK($E1317,$E$2:$E$1501)+COUNTIF($E$2:E1317,$E1317)-1)</f>
        <v/>
      </c>
      <c r="G1317" s="11" t="str">
        <f>IF($B1317="","",RANK($D1317,$D$2:$D$1501)+COUNTIF($D$2:D1317,$D1317)-1)</f>
        <v/>
      </c>
    </row>
    <row r="1318" spans="1:7">
      <c r="A1318" s="11">
        <v>1317</v>
      </c>
      <c r="B1318" s="11" t="str">
        <f>IFERROR(INDEX('Raw Data'!$R$2:$R$50000,MATCH(1317,'Raw Data'!$W$2:$W$50000,0)),"")</f>
        <v/>
      </c>
      <c r="C1318" s="11" t="str">
        <f t="shared" si="20"/>
        <v/>
      </c>
      <c r="D1318" s="11" t="str">
        <f>IF($B1318="","",COUNTIFS('Raw Data'!$R$2:$R$50000,$B1318))</f>
        <v/>
      </c>
      <c r="E1318" s="11" t="str">
        <f>IF($B1318="","",SUMIFS('Raw Data'!$I$2:$I$50000,'Raw Data'!$R$2:$R$50000,$B1318))</f>
        <v/>
      </c>
      <c r="F1318" s="11" t="str">
        <f>IF($B1318="","",RANK($E1318,$E$2:$E$1501)+COUNTIF($E$2:E1318,$E1318)-1)</f>
        <v/>
      </c>
      <c r="G1318" s="11" t="str">
        <f>IF($B1318="","",RANK($D1318,$D$2:$D$1501)+COUNTIF($D$2:D1318,$D1318)-1)</f>
        <v/>
      </c>
    </row>
    <row r="1319" spans="1:7">
      <c r="A1319" s="11">
        <v>1318</v>
      </c>
      <c r="B1319" s="11" t="str">
        <f>IFERROR(INDEX('Raw Data'!$R$2:$R$50000,MATCH(1318,'Raw Data'!$W$2:$W$50000,0)),"")</f>
        <v/>
      </c>
      <c r="C1319" s="11" t="str">
        <f t="shared" si="20"/>
        <v/>
      </c>
      <c r="D1319" s="11" t="str">
        <f>IF($B1319="","",COUNTIFS('Raw Data'!$R$2:$R$50000,$B1319))</f>
        <v/>
      </c>
      <c r="E1319" s="11" t="str">
        <f>IF($B1319="","",SUMIFS('Raw Data'!$I$2:$I$50000,'Raw Data'!$R$2:$R$50000,$B1319))</f>
        <v/>
      </c>
      <c r="F1319" s="11" t="str">
        <f>IF($B1319="","",RANK($E1319,$E$2:$E$1501)+COUNTIF($E$2:E1319,$E1319)-1)</f>
        <v/>
      </c>
      <c r="G1319" s="11" t="str">
        <f>IF($B1319="","",RANK($D1319,$D$2:$D$1501)+COUNTIF($D$2:D1319,$D1319)-1)</f>
        <v/>
      </c>
    </row>
    <row r="1320" spans="1:7">
      <c r="A1320" s="11">
        <v>1319</v>
      </c>
      <c r="B1320" s="11" t="str">
        <f>IFERROR(INDEX('Raw Data'!$R$2:$R$50000,MATCH(1319,'Raw Data'!$W$2:$W$50000,0)),"")</f>
        <v/>
      </c>
      <c r="C1320" s="11" t="str">
        <f t="shared" si="20"/>
        <v/>
      </c>
      <c r="D1320" s="11" t="str">
        <f>IF($B1320="","",COUNTIFS('Raw Data'!$R$2:$R$50000,$B1320))</f>
        <v/>
      </c>
      <c r="E1320" s="11" t="str">
        <f>IF($B1320="","",SUMIFS('Raw Data'!$I$2:$I$50000,'Raw Data'!$R$2:$R$50000,$B1320))</f>
        <v/>
      </c>
      <c r="F1320" s="11" t="str">
        <f>IF($B1320="","",RANK($E1320,$E$2:$E$1501)+COUNTIF($E$2:E1320,$E1320)-1)</f>
        <v/>
      </c>
      <c r="G1320" s="11" t="str">
        <f>IF($B1320="","",RANK($D1320,$D$2:$D$1501)+COUNTIF($D$2:D1320,$D1320)-1)</f>
        <v/>
      </c>
    </row>
    <row r="1321" spans="1:7">
      <c r="A1321" s="11">
        <v>1320</v>
      </c>
      <c r="B1321" s="11" t="str">
        <f>IFERROR(INDEX('Raw Data'!$R$2:$R$50000,MATCH(1320,'Raw Data'!$W$2:$W$50000,0)),"")</f>
        <v/>
      </c>
      <c r="C1321" s="11" t="str">
        <f t="shared" si="20"/>
        <v/>
      </c>
      <c r="D1321" s="11" t="str">
        <f>IF($B1321="","",COUNTIFS('Raw Data'!$R$2:$R$50000,$B1321))</f>
        <v/>
      </c>
      <c r="E1321" s="11" t="str">
        <f>IF($B1321="","",SUMIFS('Raw Data'!$I$2:$I$50000,'Raw Data'!$R$2:$R$50000,$B1321))</f>
        <v/>
      </c>
      <c r="F1321" s="11" t="str">
        <f>IF($B1321="","",RANK($E1321,$E$2:$E$1501)+COUNTIF($E$2:E1321,$E1321)-1)</f>
        <v/>
      </c>
      <c r="G1321" s="11" t="str">
        <f>IF($B1321="","",RANK($D1321,$D$2:$D$1501)+COUNTIF($D$2:D1321,$D1321)-1)</f>
        <v/>
      </c>
    </row>
    <row r="1322" spans="1:7">
      <c r="A1322" s="11">
        <v>1321</v>
      </c>
      <c r="B1322" s="11" t="str">
        <f>IFERROR(INDEX('Raw Data'!$R$2:$R$50000,MATCH(1321,'Raw Data'!$W$2:$W$50000,0)),"")</f>
        <v/>
      </c>
      <c r="C1322" s="11" t="str">
        <f t="shared" si="20"/>
        <v/>
      </c>
      <c r="D1322" s="11" t="str">
        <f>IF($B1322="","",COUNTIFS('Raw Data'!$R$2:$R$50000,$B1322))</f>
        <v/>
      </c>
      <c r="E1322" s="11" t="str">
        <f>IF($B1322="","",SUMIFS('Raw Data'!$I$2:$I$50000,'Raw Data'!$R$2:$R$50000,$B1322))</f>
        <v/>
      </c>
      <c r="F1322" s="11" t="str">
        <f>IF($B1322="","",RANK($E1322,$E$2:$E$1501)+COUNTIF($E$2:E1322,$E1322)-1)</f>
        <v/>
      </c>
      <c r="G1322" s="11" t="str">
        <f>IF($B1322="","",RANK($D1322,$D$2:$D$1501)+COUNTIF($D$2:D1322,$D1322)-1)</f>
        <v/>
      </c>
    </row>
    <row r="1323" spans="1:7">
      <c r="A1323" s="11">
        <v>1322</v>
      </c>
      <c r="B1323" s="11" t="str">
        <f>IFERROR(INDEX('Raw Data'!$R$2:$R$50000,MATCH(1322,'Raw Data'!$W$2:$W$50000,0)),"")</f>
        <v/>
      </c>
      <c r="C1323" s="11" t="str">
        <f t="shared" si="20"/>
        <v/>
      </c>
      <c r="D1323" s="11" t="str">
        <f>IF($B1323="","",COUNTIFS('Raw Data'!$R$2:$R$50000,$B1323))</f>
        <v/>
      </c>
      <c r="E1323" s="11" t="str">
        <f>IF($B1323="","",SUMIFS('Raw Data'!$I$2:$I$50000,'Raw Data'!$R$2:$R$50000,$B1323))</f>
        <v/>
      </c>
      <c r="F1323" s="11" t="str">
        <f>IF($B1323="","",RANK($E1323,$E$2:$E$1501)+COUNTIF($E$2:E1323,$E1323)-1)</f>
        <v/>
      </c>
      <c r="G1323" s="11" t="str">
        <f>IF($B1323="","",RANK($D1323,$D$2:$D$1501)+COUNTIF($D$2:D1323,$D1323)-1)</f>
        <v/>
      </c>
    </row>
    <row r="1324" spans="1:7">
      <c r="A1324" s="11">
        <v>1323</v>
      </c>
      <c r="B1324" s="11" t="str">
        <f>IFERROR(INDEX('Raw Data'!$R$2:$R$50000,MATCH(1323,'Raw Data'!$W$2:$W$50000,0)),"")</f>
        <v/>
      </c>
      <c r="C1324" s="11" t="str">
        <f t="shared" si="20"/>
        <v/>
      </c>
      <c r="D1324" s="11" t="str">
        <f>IF($B1324="","",COUNTIFS('Raw Data'!$R$2:$R$50000,$B1324))</f>
        <v/>
      </c>
      <c r="E1324" s="11" t="str">
        <f>IF($B1324="","",SUMIFS('Raw Data'!$I$2:$I$50000,'Raw Data'!$R$2:$R$50000,$B1324))</f>
        <v/>
      </c>
      <c r="F1324" s="11" t="str">
        <f>IF($B1324="","",RANK($E1324,$E$2:$E$1501)+COUNTIF($E$2:E1324,$E1324)-1)</f>
        <v/>
      </c>
      <c r="G1324" s="11" t="str">
        <f>IF($B1324="","",RANK($D1324,$D$2:$D$1501)+COUNTIF($D$2:D1324,$D1324)-1)</f>
        <v/>
      </c>
    </row>
    <row r="1325" spans="1:7">
      <c r="A1325" s="11">
        <v>1324</v>
      </c>
      <c r="B1325" s="11" t="str">
        <f>IFERROR(INDEX('Raw Data'!$R$2:$R$50000,MATCH(1324,'Raw Data'!$W$2:$W$50000,0)),"")</f>
        <v/>
      </c>
      <c r="C1325" s="11" t="str">
        <f t="shared" si="20"/>
        <v/>
      </c>
      <c r="D1325" s="11" t="str">
        <f>IF($B1325="","",COUNTIFS('Raw Data'!$R$2:$R$50000,$B1325))</f>
        <v/>
      </c>
      <c r="E1325" s="11" t="str">
        <f>IF($B1325="","",SUMIFS('Raw Data'!$I$2:$I$50000,'Raw Data'!$R$2:$R$50000,$B1325))</f>
        <v/>
      </c>
      <c r="F1325" s="11" t="str">
        <f>IF($B1325="","",RANK($E1325,$E$2:$E$1501)+COUNTIF($E$2:E1325,$E1325)-1)</f>
        <v/>
      </c>
      <c r="G1325" s="11" t="str">
        <f>IF($B1325="","",RANK($D1325,$D$2:$D$1501)+COUNTIF($D$2:D1325,$D1325)-1)</f>
        <v/>
      </c>
    </row>
    <row r="1326" spans="1:7">
      <c r="A1326" s="11">
        <v>1325</v>
      </c>
      <c r="B1326" s="11" t="str">
        <f>IFERROR(INDEX('Raw Data'!$R$2:$R$50000,MATCH(1325,'Raw Data'!$W$2:$W$50000,0)),"")</f>
        <v/>
      </c>
      <c r="C1326" s="11" t="str">
        <f t="shared" si="20"/>
        <v/>
      </c>
      <c r="D1326" s="11" t="str">
        <f>IF($B1326="","",COUNTIFS('Raw Data'!$R$2:$R$50000,$B1326))</f>
        <v/>
      </c>
      <c r="E1326" s="11" t="str">
        <f>IF($B1326="","",SUMIFS('Raw Data'!$I$2:$I$50000,'Raw Data'!$R$2:$R$50000,$B1326))</f>
        <v/>
      </c>
      <c r="F1326" s="11" t="str">
        <f>IF($B1326="","",RANK($E1326,$E$2:$E$1501)+COUNTIF($E$2:E1326,$E1326)-1)</f>
        <v/>
      </c>
      <c r="G1326" s="11" t="str">
        <f>IF($B1326="","",RANK($D1326,$D$2:$D$1501)+COUNTIF($D$2:D1326,$D1326)-1)</f>
        <v/>
      </c>
    </row>
    <row r="1327" spans="1:7">
      <c r="A1327" s="11">
        <v>1326</v>
      </c>
      <c r="B1327" s="11" t="str">
        <f>IFERROR(INDEX('Raw Data'!$R$2:$R$50000,MATCH(1326,'Raw Data'!$W$2:$W$50000,0)),"")</f>
        <v/>
      </c>
      <c r="C1327" s="11" t="str">
        <f t="shared" si="20"/>
        <v/>
      </c>
      <c r="D1327" s="11" t="str">
        <f>IF($B1327="","",COUNTIFS('Raw Data'!$R$2:$R$50000,$B1327))</f>
        <v/>
      </c>
      <c r="E1327" s="11" t="str">
        <f>IF($B1327="","",SUMIFS('Raw Data'!$I$2:$I$50000,'Raw Data'!$R$2:$R$50000,$B1327))</f>
        <v/>
      </c>
      <c r="F1327" s="11" t="str">
        <f>IF($B1327="","",RANK($E1327,$E$2:$E$1501)+COUNTIF($E$2:E1327,$E1327)-1)</f>
        <v/>
      </c>
      <c r="G1327" s="11" t="str">
        <f>IF($B1327="","",RANK($D1327,$D$2:$D$1501)+COUNTIF($D$2:D1327,$D1327)-1)</f>
        <v/>
      </c>
    </row>
    <row r="1328" spans="1:7">
      <c r="A1328" s="11">
        <v>1327</v>
      </c>
      <c r="B1328" s="11" t="str">
        <f>IFERROR(INDEX('Raw Data'!$R$2:$R$50000,MATCH(1327,'Raw Data'!$W$2:$W$50000,0)),"")</f>
        <v/>
      </c>
      <c r="C1328" s="11" t="str">
        <f t="shared" si="20"/>
        <v/>
      </c>
      <c r="D1328" s="11" t="str">
        <f>IF($B1328="","",COUNTIFS('Raw Data'!$R$2:$R$50000,$B1328))</f>
        <v/>
      </c>
      <c r="E1328" s="11" t="str">
        <f>IF($B1328="","",SUMIFS('Raw Data'!$I$2:$I$50000,'Raw Data'!$R$2:$R$50000,$B1328))</f>
        <v/>
      </c>
      <c r="F1328" s="11" t="str">
        <f>IF($B1328="","",RANK($E1328,$E$2:$E$1501)+COUNTIF($E$2:E1328,$E1328)-1)</f>
        <v/>
      </c>
      <c r="G1328" s="11" t="str">
        <f>IF($B1328="","",RANK($D1328,$D$2:$D$1501)+COUNTIF($D$2:D1328,$D1328)-1)</f>
        <v/>
      </c>
    </row>
    <row r="1329" spans="1:7">
      <c r="A1329" s="11">
        <v>1328</v>
      </c>
      <c r="B1329" s="11" t="str">
        <f>IFERROR(INDEX('Raw Data'!$R$2:$R$50000,MATCH(1328,'Raw Data'!$W$2:$W$50000,0)),"")</f>
        <v/>
      </c>
      <c r="C1329" s="11" t="str">
        <f t="shared" si="20"/>
        <v/>
      </c>
      <c r="D1329" s="11" t="str">
        <f>IF($B1329="","",COUNTIFS('Raw Data'!$R$2:$R$50000,$B1329))</f>
        <v/>
      </c>
      <c r="E1329" s="11" t="str">
        <f>IF($B1329="","",SUMIFS('Raw Data'!$I$2:$I$50000,'Raw Data'!$R$2:$R$50000,$B1329))</f>
        <v/>
      </c>
      <c r="F1329" s="11" t="str">
        <f>IF($B1329="","",RANK($E1329,$E$2:$E$1501)+COUNTIF($E$2:E1329,$E1329)-1)</f>
        <v/>
      </c>
      <c r="G1329" s="11" t="str">
        <f>IF($B1329="","",RANK($D1329,$D$2:$D$1501)+COUNTIF($D$2:D1329,$D1329)-1)</f>
        <v/>
      </c>
    </row>
    <row r="1330" spans="1:7">
      <c r="A1330" s="11">
        <v>1329</v>
      </c>
      <c r="B1330" s="11" t="str">
        <f>IFERROR(INDEX('Raw Data'!$R$2:$R$50000,MATCH(1329,'Raw Data'!$W$2:$W$50000,0)),"")</f>
        <v/>
      </c>
      <c r="C1330" s="11" t="str">
        <f t="shared" si="20"/>
        <v/>
      </c>
      <c r="D1330" s="11" t="str">
        <f>IF($B1330="","",COUNTIFS('Raw Data'!$R$2:$R$50000,$B1330))</f>
        <v/>
      </c>
      <c r="E1330" s="11" t="str">
        <f>IF($B1330="","",SUMIFS('Raw Data'!$I$2:$I$50000,'Raw Data'!$R$2:$R$50000,$B1330))</f>
        <v/>
      </c>
      <c r="F1330" s="11" t="str">
        <f>IF($B1330="","",RANK($E1330,$E$2:$E$1501)+COUNTIF($E$2:E1330,$E1330)-1)</f>
        <v/>
      </c>
      <c r="G1330" s="11" t="str">
        <f>IF($B1330="","",RANK($D1330,$D$2:$D$1501)+COUNTIF($D$2:D1330,$D1330)-1)</f>
        <v/>
      </c>
    </row>
    <row r="1331" spans="1:7">
      <c r="A1331" s="11">
        <v>1330</v>
      </c>
      <c r="B1331" s="11" t="str">
        <f>IFERROR(INDEX('Raw Data'!$R$2:$R$50000,MATCH(1330,'Raw Data'!$W$2:$W$50000,0)),"")</f>
        <v/>
      </c>
      <c r="C1331" s="11" t="str">
        <f t="shared" si="20"/>
        <v/>
      </c>
      <c r="D1331" s="11" t="str">
        <f>IF($B1331="","",COUNTIFS('Raw Data'!$R$2:$R$50000,$B1331))</f>
        <v/>
      </c>
      <c r="E1331" s="11" t="str">
        <f>IF($B1331="","",SUMIFS('Raw Data'!$I$2:$I$50000,'Raw Data'!$R$2:$R$50000,$B1331))</f>
        <v/>
      </c>
      <c r="F1331" s="11" t="str">
        <f>IF($B1331="","",RANK($E1331,$E$2:$E$1501)+COUNTIF($E$2:E1331,$E1331)-1)</f>
        <v/>
      </c>
      <c r="G1331" s="11" t="str">
        <f>IF($B1331="","",RANK($D1331,$D$2:$D$1501)+COUNTIF($D$2:D1331,$D1331)-1)</f>
        <v/>
      </c>
    </row>
    <row r="1332" spans="1:7">
      <c r="A1332" s="11">
        <v>1331</v>
      </c>
      <c r="B1332" s="11" t="str">
        <f>IFERROR(INDEX('Raw Data'!$R$2:$R$50000,MATCH(1331,'Raw Data'!$W$2:$W$50000,0)),"")</f>
        <v/>
      </c>
      <c r="C1332" s="11" t="str">
        <f t="shared" si="20"/>
        <v/>
      </c>
      <c r="D1332" s="11" t="str">
        <f>IF($B1332="","",COUNTIFS('Raw Data'!$R$2:$R$50000,$B1332))</f>
        <v/>
      </c>
      <c r="E1332" s="11" t="str">
        <f>IF($B1332="","",SUMIFS('Raw Data'!$I$2:$I$50000,'Raw Data'!$R$2:$R$50000,$B1332))</f>
        <v/>
      </c>
      <c r="F1332" s="11" t="str">
        <f>IF($B1332="","",RANK($E1332,$E$2:$E$1501)+COUNTIF($E$2:E1332,$E1332)-1)</f>
        <v/>
      </c>
      <c r="G1332" s="11" t="str">
        <f>IF($B1332="","",RANK($D1332,$D$2:$D$1501)+COUNTIF($D$2:D1332,$D1332)-1)</f>
        <v/>
      </c>
    </row>
    <row r="1333" spans="1:7">
      <c r="A1333" s="11">
        <v>1332</v>
      </c>
      <c r="B1333" s="11" t="str">
        <f>IFERROR(INDEX('Raw Data'!$R$2:$R$50000,MATCH(1332,'Raw Data'!$W$2:$W$50000,0)),"")</f>
        <v/>
      </c>
      <c r="C1333" s="11" t="str">
        <f t="shared" si="20"/>
        <v/>
      </c>
      <c r="D1333" s="11" t="str">
        <f>IF($B1333="","",COUNTIFS('Raw Data'!$R$2:$R$50000,$B1333))</f>
        <v/>
      </c>
      <c r="E1333" s="11" t="str">
        <f>IF($B1333="","",SUMIFS('Raw Data'!$I$2:$I$50000,'Raw Data'!$R$2:$R$50000,$B1333))</f>
        <v/>
      </c>
      <c r="F1333" s="11" t="str">
        <f>IF($B1333="","",RANK($E1333,$E$2:$E$1501)+COUNTIF($E$2:E1333,$E1333)-1)</f>
        <v/>
      </c>
      <c r="G1333" s="11" t="str">
        <f>IF($B1333="","",RANK($D1333,$D$2:$D$1501)+COUNTIF($D$2:D1333,$D1333)-1)</f>
        <v/>
      </c>
    </row>
    <row r="1334" spans="1:7">
      <c r="A1334" s="11">
        <v>1333</v>
      </c>
      <c r="B1334" s="11" t="str">
        <f>IFERROR(INDEX('Raw Data'!$R$2:$R$50000,MATCH(1333,'Raw Data'!$W$2:$W$50000,0)),"")</f>
        <v/>
      </c>
      <c r="C1334" s="11" t="str">
        <f t="shared" si="20"/>
        <v/>
      </c>
      <c r="D1334" s="11" t="str">
        <f>IF($B1334="","",COUNTIFS('Raw Data'!$R$2:$R$50000,$B1334))</f>
        <v/>
      </c>
      <c r="E1334" s="11" t="str">
        <f>IF($B1334="","",SUMIFS('Raw Data'!$I$2:$I$50000,'Raw Data'!$R$2:$R$50000,$B1334))</f>
        <v/>
      </c>
      <c r="F1334" s="11" t="str">
        <f>IF($B1334="","",RANK($E1334,$E$2:$E$1501)+COUNTIF($E$2:E1334,$E1334)-1)</f>
        <v/>
      </c>
      <c r="G1334" s="11" t="str">
        <f>IF($B1334="","",RANK($D1334,$D$2:$D$1501)+COUNTIF($D$2:D1334,$D1334)-1)</f>
        <v/>
      </c>
    </row>
    <row r="1335" spans="1:7">
      <c r="A1335" s="11">
        <v>1334</v>
      </c>
      <c r="B1335" s="11" t="str">
        <f>IFERROR(INDEX('Raw Data'!$R$2:$R$50000,MATCH(1334,'Raw Data'!$W$2:$W$50000,0)),"")</f>
        <v/>
      </c>
      <c r="C1335" s="11" t="str">
        <f t="shared" si="20"/>
        <v/>
      </c>
      <c r="D1335" s="11" t="str">
        <f>IF($B1335="","",COUNTIFS('Raw Data'!$R$2:$R$50000,$B1335))</f>
        <v/>
      </c>
      <c r="E1335" s="11" t="str">
        <f>IF($B1335="","",SUMIFS('Raw Data'!$I$2:$I$50000,'Raw Data'!$R$2:$R$50000,$B1335))</f>
        <v/>
      </c>
      <c r="F1335" s="11" t="str">
        <f>IF($B1335="","",RANK($E1335,$E$2:$E$1501)+COUNTIF($E$2:E1335,$E1335)-1)</f>
        <v/>
      </c>
      <c r="G1335" s="11" t="str">
        <f>IF($B1335="","",RANK($D1335,$D$2:$D$1501)+COUNTIF($D$2:D1335,$D1335)-1)</f>
        <v/>
      </c>
    </row>
    <row r="1336" spans="1:7">
      <c r="A1336" s="11">
        <v>1335</v>
      </c>
      <c r="B1336" s="11" t="str">
        <f>IFERROR(INDEX('Raw Data'!$R$2:$R$50000,MATCH(1335,'Raw Data'!$W$2:$W$50000,0)),"")</f>
        <v/>
      </c>
      <c r="C1336" s="11" t="str">
        <f t="shared" si="20"/>
        <v/>
      </c>
      <c r="D1336" s="11" t="str">
        <f>IF($B1336="","",COUNTIFS('Raw Data'!$R$2:$R$50000,$B1336))</f>
        <v/>
      </c>
      <c r="E1336" s="11" t="str">
        <f>IF($B1336="","",SUMIFS('Raw Data'!$I$2:$I$50000,'Raw Data'!$R$2:$R$50000,$B1336))</f>
        <v/>
      </c>
      <c r="F1336" s="11" t="str">
        <f>IF($B1336="","",RANK($E1336,$E$2:$E$1501)+COUNTIF($E$2:E1336,$E1336)-1)</f>
        <v/>
      </c>
      <c r="G1336" s="11" t="str">
        <f>IF($B1336="","",RANK($D1336,$D$2:$D$1501)+COUNTIF($D$2:D1336,$D1336)-1)</f>
        <v/>
      </c>
    </row>
    <row r="1337" spans="1:7">
      <c r="A1337" s="11">
        <v>1336</v>
      </c>
      <c r="B1337" s="11" t="str">
        <f>IFERROR(INDEX('Raw Data'!$R$2:$R$50000,MATCH(1336,'Raw Data'!$W$2:$W$50000,0)),"")</f>
        <v/>
      </c>
      <c r="C1337" s="11" t="str">
        <f t="shared" si="20"/>
        <v/>
      </c>
      <c r="D1337" s="11" t="str">
        <f>IF($B1337="","",COUNTIFS('Raw Data'!$R$2:$R$50000,$B1337))</f>
        <v/>
      </c>
      <c r="E1337" s="11" t="str">
        <f>IF($B1337="","",SUMIFS('Raw Data'!$I$2:$I$50000,'Raw Data'!$R$2:$R$50000,$B1337))</f>
        <v/>
      </c>
      <c r="F1337" s="11" t="str">
        <f>IF($B1337="","",RANK($E1337,$E$2:$E$1501)+COUNTIF($E$2:E1337,$E1337)-1)</f>
        <v/>
      </c>
      <c r="G1337" s="11" t="str">
        <f>IF($B1337="","",RANK($D1337,$D$2:$D$1501)+COUNTIF($D$2:D1337,$D1337)-1)</f>
        <v/>
      </c>
    </row>
    <row r="1338" spans="1:7">
      <c r="A1338" s="11">
        <v>1337</v>
      </c>
      <c r="B1338" s="11" t="str">
        <f>IFERROR(INDEX('Raw Data'!$R$2:$R$50000,MATCH(1337,'Raw Data'!$W$2:$W$50000,0)),"")</f>
        <v/>
      </c>
      <c r="C1338" s="11" t="str">
        <f t="shared" si="20"/>
        <v/>
      </c>
      <c r="D1338" s="11" t="str">
        <f>IF($B1338="","",COUNTIFS('Raw Data'!$R$2:$R$50000,$B1338))</f>
        <v/>
      </c>
      <c r="E1338" s="11" t="str">
        <f>IF($B1338="","",SUMIFS('Raw Data'!$I$2:$I$50000,'Raw Data'!$R$2:$R$50000,$B1338))</f>
        <v/>
      </c>
      <c r="F1338" s="11" t="str">
        <f>IF($B1338="","",RANK($E1338,$E$2:$E$1501)+COUNTIF($E$2:E1338,$E1338)-1)</f>
        <v/>
      </c>
      <c r="G1338" s="11" t="str">
        <f>IF($B1338="","",RANK($D1338,$D$2:$D$1501)+COUNTIF($D$2:D1338,$D1338)-1)</f>
        <v/>
      </c>
    </row>
    <row r="1339" spans="1:7">
      <c r="A1339" s="11">
        <v>1338</v>
      </c>
      <c r="B1339" s="11" t="str">
        <f>IFERROR(INDEX('Raw Data'!$R$2:$R$50000,MATCH(1338,'Raw Data'!$W$2:$W$50000,0)),"")</f>
        <v/>
      </c>
      <c r="C1339" s="11" t="str">
        <f t="shared" si="20"/>
        <v/>
      </c>
      <c r="D1339" s="11" t="str">
        <f>IF($B1339="","",COUNTIFS('Raw Data'!$R$2:$R$50000,$B1339))</f>
        <v/>
      </c>
      <c r="E1339" s="11" t="str">
        <f>IF($B1339="","",SUMIFS('Raw Data'!$I$2:$I$50000,'Raw Data'!$R$2:$R$50000,$B1339))</f>
        <v/>
      </c>
      <c r="F1339" s="11" t="str">
        <f>IF($B1339="","",RANK($E1339,$E$2:$E$1501)+COUNTIF($E$2:E1339,$E1339)-1)</f>
        <v/>
      </c>
      <c r="G1339" s="11" t="str">
        <f>IF($B1339="","",RANK($D1339,$D$2:$D$1501)+COUNTIF($D$2:D1339,$D1339)-1)</f>
        <v/>
      </c>
    </row>
    <row r="1340" spans="1:7">
      <c r="A1340" s="11">
        <v>1339</v>
      </c>
      <c r="B1340" s="11" t="str">
        <f>IFERROR(INDEX('Raw Data'!$R$2:$R$50000,MATCH(1339,'Raw Data'!$W$2:$W$50000,0)),"")</f>
        <v/>
      </c>
      <c r="C1340" s="11" t="str">
        <f t="shared" si="20"/>
        <v/>
      </c>
      <c r="D1340" s="11" t="str">
        <f>IF($B1340="","",COUNTIFS('Raw Data'!$R$2:$R$50000,$B1340))</f>
        <v/>
      </c>
      <c r="E1340" s="11" t="str">
        <f>IF($B1340="","",SUMIFS('Raw Data'!$I$2:$I$50000,'Raw Data'!$R$2:$R$50000,$B1340))</f>
        <v/>
      </c>
      <c r="F1340" s="11" t="str">
        <f>IF($B1340="","",RANK($E1340,$E$2:$E$1501)+COUNTIF($E$2:E1340,$E1340)-1)</f>
        <v/>
      </c>
      <c r="G1340" s="11" t="str">
        <f>IF($B1340="","",RANK($D1340,$D$2:$D$1501)+COUNTIF($D$2:D1340,$D1340)-1)</f>
        <v/>
      </c>
    </row>
    <row r="1341" spans="1:7">
      <c r="A1341" s="11">
        <v>1340</v>
      </c>
      <c r="B1341" s="11" t="str">
        <f>IFERROR(INDEX('Raw Data'!$R$2:$R$50000,MATCH(1340,'Raw Data'!$W$2:$W$50000,0)),"")</f>
        <v/>
      </c>
      <c r="C1341" s="11" t="str">
        <f t="shared" si="20"/>
        <v/>
      </c>
      <c r="D1341" s="11" t="str">
        <f>IF($B1341="","",COUNTIFS('Raw Data'!$R$2:$R$50000,$B1341))</f>
        <v/>
      </c>
      <c r="E1341" s="11" t="str">
        <f>IF($B1341="","",SUMIFS('Raw Data'!$I$2:$I$50000,'Raw Data'!$R$2:$R$50000,$B1341))</f>
        <v/>
      </c>
      <c r="F1341" s="11" t="str">
        <f>IF($B1341="","",RANK($E1341,$E$2:$E$1501)+COUNTIF($E$2:E1341,$E1341)-1)</f>
        <v/>
      </c>
      <c r="G1341" s="11" t="str">
        <f>IF($B1341="","",RANK($D1341,$D$2:$D$1501)+COUNTIF($D$2:D1341,$D1341)-1)</f>
        <v/>
      </c>
    </row>
    <row r="1342" spans="1:7">
      <c r="A1342" s="11">
        <v>1341</v>
      </c>
      <c r="B1342" s="11" t="str">
        <f>IFERROR(INDEX('Raw Data'!$R$2:$R$50000,MATCH(1341,'Raw Data'!$W$2:$W$50000,0)),"")</f>
        <v/>
      </c>
      <c r="C1342" s="11" t="str">
        <f t="shared" si="20"/>
        <v/>
      </c>
      <c r="D1342" s="11" t="str">
        <f>IF($B1342="","",COUNTIFS('Raw Data'!$R$2:$R$50000,$B1342))</f>
        <v/>
      </c>
      <c r="E1342" s="11" t="str">
        <f>IF($B1342="","",SUMIFS('Raw Data'!$I$2:$I$50000,'Raw Data'!$R$2:$R$50000,$B1342))</f>
        <v/>
      </c>
      <c r="F1342" s="11" t="str">
        <f>IF($B1342="","",RANK($E1342,$E$2:$E$1501)+COUNTIF($E$2:E1342,$E1342)-1)</f>
        <v/>
      </c>
      <c r="G1342" s="11" t="str">
        <f>IF($B1342="","",RANK($D1342,$D$2:$D$1501)+COUNTIF($D$2:D1342,$D1342)-1)</f>
        <v/>
      </c>
    </row>
    <row r="1343" spans="1:7">
      <c r="A1343" s="11">
        <v>1342</v>
      </c>
      <c r="B1343" s="11" t="str">
        <f>IFERROR(INDEX('Raw Data'!$R$2:$R$50000,MATCH(1342,'Raw Data'!$W$2:$W$50000,0)),"")</f>
        <v/>
      </c>
      <c r="C1343" s="11" t="str">
        <f t="shared" si="20"/>
        <v/>
      </c>
      <c r="D1343" s="11" t="str">
        <f>IF($B1343="","",COUNTIFS('Raw Data'!$R$2:$R$50000,$B1343))</f>
        <v/>
      </c>
      <c r="E1343" s="11" t="str">
        <f>IF($B1343="","",SUMIFS('Raw Data'!$I$2:$I$50000,'Raw Data'!$R$2:$R$50000,$B1343))</f>
        <v/>
      </c>
      <c r="F1343" s="11" t="str">
        <f>IF($B1343="","",RANK($E1343,$E$2:$E$1501)+COUNTIF($E$2:E1343,$E1343)-1)</f>
        <v/>
      </c>
      <c r="G1343" s="11" t="str">
        <f>IF($B1343="","",RANK($D1343,$D$2:$D$1501)+COUNTIF($D$2:D1343,$D1343)-1)</f>
        <v/>
      </c>
    </row>
    <row r="1344" spans="1:7">
      <c r="A1344" s="11">
        <v>1343</v>
      </c>
      <c r="B1344" s="11" t="str">
        <f>IFERROR(INDEX('Raw Data'!$R$2:$R$50000,MATCH(1343,'Raw Data'!$W$2:$W$50000,0)),"")</f>
        <v/>
      </c>
      <c r="C1344" s="11" t="str">
        <f t="shared" si="20"/>
        <v/>
      </c>
      <c r="D1344" s="11" t="str">
        <f>IF($B1344="","",COUNTIFS('Raw Data'!$R$2:$R$50000,$B1344))</f>
        <v/>
      </c>
      <c r="E1344" s="11" t="str">
        <f>IF($B1344="","",SUMIFS('Raw Data'!$I$2:$I$50000,'Raw Data'!$R$2:$R$50000,$B1344))</f>
        <v/>
      </c>
      <c r="F1344" s="11" t="str">
        <f>IF($B1344="","",RANK($E1344,$E$2:$E$1501)+COUNTIF($E$2:E1344,$E1344)-1)</f>
        <v/>
      </c>
      <c r="G1344" s="11" t="str">
        <f>IF($B1344="","",RANK($D1344,$D$2:$D$1501)+COUNTIF($D$2:D1344,$D1344)-1)</f>
        <v/>
      </c>
    </row>
    <row r="1345" spans="1:7">
      <c r="A1345" s="11">
        <v>1344</v>
      </c>
      <c r="B1345" s="11" t="str">
        <f>IFERROR(INDEX('Raw Data'!$R$2:$R$50000,MATCH(1344,'Raw Data'!$W$2:$W$50000,0)),"")</f>
        <v/>
      </c>
      <c r="C1345" s="11" t="str">
        <f t="shared" si="20"/>
        <v/>
      </c>
      <c r="D1345" s="11" t="str">
        <f>IF($B1345="","",COUNTIFS('Raw Data'!$R$2:$R$50000,$B1345))</f>
        <v/>
      </c>
      <c r="E1345" s="11" t="str">
        <f>IF($B1345="","",SUMIFS('Raw Data'!$I$2:$I$50000,'Raw Data'!$R$2:$R$50000,$B1345))</f>
        <v/>
      </c>
      <c r="F1345" s="11" t="str">
        <f>IF($B1345="","",RANK($E1345,$E$2:$E$1501)+COUNTIF($E$2:E1345,$E1345)-1)</f>
        <v/>
      </c>
      <c r="G1345" s="11" t="str">
        <f>IF($B1345="","",RANK($D1345,$D$2:$D$1501)+COUNTIF($D$2:D1345,$D1345)-1)</f>
        <v/>
      </c>
    </row>
    <row r="1346" spans="1:7">
      <c r="A1346" s="11">
        <v>1345</v>
      </c>
      <c r="B1346" s="11" t="str">
        <f>IFERROR(INDEX('Raw Data'!$R$2:$R$50000,MATCH(1345,'Raw Data'!$W$2:$W$50000,0)),"")</f>
        <v/>
      </c>
      <c r="C1346" s="11" t="str">
        <f t="shared" ref="C1346:C1409" si="21">IF($B1346="","",$B1346)</f>
        <v/>
      </c>
      <c r="D1346" s="11" t="str">
        <f>IF($B1346="","",COUNTIFS('Raw Data'!$R$2:$R$50000,$B1346))</f>
        <v/>
      </c>
      <c r="E1346" s="11" t="str">
        <f>IF($B1346="","",SUMIFS('Raw Data'!$I$2:$I$50000,'Raw Data'!$R$2:$R$50000,$B1346))</f>
        <v/>
      </c>
      <c r="F1346" s="11" t="str">
        <f>IF($B1346="","",RANK($E1346,$E$2:$E$1501)+COUNTIF($E$2:E1346,$E1346)-1)</f>
        <v/>
      </c>
      <c r="G1346" s="11" t="str">
        <f>IF($B1346="","",RANK($D1346,$D$2:$D$1501)+COUNTIF($D$2:D1346,$D1346)-1)</f>
        <v/>
      </c>
    </row>
    <row r="1347" spans="1:7">
      <c r="A1347" s="11">
        <v>1346</v>
      </c>
      <c r="B1347" s="11" t="str">
        <f>IFERROR(INDEX('Raw Data'!$R$2:$R$50000,MATCH(1346,'Raw Data'!$W$2:$W$50000,0)),"")</f>
        <v/>
      </c>
      <c r="C1347" s="11" t="str">
        <f t="shared" si="21"/>
        <v/>
      </c>
      <c r="D1347" s="11" t="str">
        <f>IF($B1347="","",COUNTIFS('Raw Data'!$R$2:$R$50000,$B1347))</f>
        <v/>
      </c>
      <c r="E1347" s="11" t="str">
        <f>IF($B1347="","",SUMIFS('Raw Data'!$I$2:$I$50000,'Raw Data'!$R$2:$R$50000,$B1347))</f>
        <v/>
      </c>
      <c r="F1347" s="11" t="str">
        <f>IF($B1347="","",RANK($E1347,$E$2:$E$1501)+COUNTIF($E$2:E1347,$E1347)-1)</f>
        <v/>
      </c>
      <c r="G1347" s="11" t="str">
        <f>IF($B1347="","",RANK($D1347,$D$2:$D$1501)+COUNTIF($D$2:D1347,$D1347)-1)</f>
        <v/>
      </c>
    </row>
    <row r="1348" spans="1:7">
      <c r="A1348" s="11">
        <v>1347</v>
      </c>
      <c r="B1348" s="11" t="str">
        <f>IFERROR(INDEX('Raw Data'!$R$2:$R$50000,MATCH(1347,'Raw Data'!$W$2:$W$50000,0)),"")</f>
        <v/>
      </c>
      <c r="C1348" s="11" t="str">
        <f t="shared" si="21"/>
        <v/>
      </c>
      <c r="D1348" s="11" t="str">
        <f>IF($B1348="","",COUNTIFS('Raw Data'!$R$2:$R$50000,$B1348))</f>
        <v/>
      </c>
      <c r="E1348" s="11" t="str">
        <f>IF($B1348="","",SUMIFS('Raw Data'!$I$2:$I$50000,'Raw Data'!$R$2:$R$50000,$B1348))</f>
        <v/>
      </c>
      <c r="F1348" s="11" t="str">
        <f>IF($B1348="","",RANK($E1348,$E$2:$E$1501)+COUNTIF($E$2:E1348,$E1348)-1)</f>
        <v/>
      </c>
      <c r="G1348" s="11" t="str">
        <f>IF($B1348="","",RANK($D1348,$D$2:$D$1501)+COUNTIF($D$2:D1348,$D1348)-1)</f>
        <v/>
      </c>
    </row>
    <row r="1349" spans="1:7">
      <c r="A1349" s="11">
        <v>1348</v>
      </c>
      <c r="B1349" s="11" t="str">
        <f>IFERROR(INDEX('Raw Data'!$R$2:$R$50000,MATCH(1348,'Raw Data'!$W$2:$W$50000,0)),"")</f>
        <v/>
      </c>
      <c r="C1349" s="11" t="str">
        <f t="shared" si="21"/>
        <v/>
      </c>
      <c r="D1349" s="11" t="str">
        <f>IF($B1349="","",COUNTIFS('Raw Data'!$R$2:$R$50000,$B1349))</f>
        <v/>
      </c>
      <c r="E1349" s="11" t="str">
        <f>IF($B1349="","",SUMIFS('Raw Data'!$I$2:$I$50000,'Raw Data'!$R$2:$R$50000,$B1349))</f>
        <v/>
      </c>
      <c r="F1349" s="11" t="str">
        <f>IF($B1349="","",RANK($E1349,$E$2:$E$1501)+COUNTIF($E$2:E1349,$E1349)-1)</f>
        <v/>
      </c>
      <c r="G1349" s="11" t="str">
        <f>IF($B1349="","",RANK($D1349,$D$2:$D$1501)+COUNTIF($D$2:D1349,$D1349)-1)</f>
        <v/>
      </c>
    </row>
    <row r="1350" spans="1:7">
      <c r="A1350" s="11">
        <v>1349</v>
      </c>
      <c r="B1350" s="11" t="str">
        <f>IFERROR(INDEX('Raw Data'!$R$2:$R$50000,MATCH(1349,'Raw Data'!$W$2:$W$50000,0)),"")</f>
        <v/>
      </c>
      <c r="C1350" s="11" t="str">
        <f t="shared" si="21"/>
        <v/>
      </c>
      <c r="D1350" s="11" t="str">
        <f>IF($B1350="","",COUNTIFS('Raw Data'!$R$2:$R$50000,$B1350))</f>
        <v/>
      </c>
      <c r="E1350" s="11" t="str">
        <f>IF($B1350="","",SUMIFS('Raw Data'!$I$2:$I$50000,'Raw Data'!$R$2:$R$50000,$B1350))</f>
        <v/>
      </c>
      <c r="F1350" s="11" t="str">
        <f>IF($B1350="","",RANK($E1350,$E$2:$E$1501)+COUNTIF($E$2:E1350,$E1350)-1)</f>
        <v/>
      </c>
      <c r="G1350" s="11" t="str">
        <f>IF($B1350="","",RANK($D1350,$D$2:$D$1501)+COUNTIF($D$2:D1350,$D1350)-1)</f>
        <v/>
      </c>
    </row>
    <row r="1351" spans="1:7">
      <c r="A1351" s="11">
        <v>1350</v>
      </c>
      <c r="B1351" s="11" t="str">
        <f>IFERROR(INDEX('Raw Data'!$R$2:$R$50000,MATCH(1350,'Raw Data'!$W$2:$W$50000,0)),"")</f>
        <v/>
      </c>
      <c r="C1351" s="11" t="str">
        <f t="shared" si="21"/>
        <v/>
      </c>
      <c r="D1351" s="11" t="str">
        <f>IF($B1351="","",COUNTIFS('Raw Data'!$R$2:$R$50000,$B1351))</f>
        <v/>
      </c>
      <c r="E1351" s="11" t="str">
        <f>IF($B1351="","",SUMIFS('Raw Data'!$I$2:$I$50000,'Raw Data'!$R$2:$R$50000,$B1351))</f>
        <v/>
      </c>
      <c r="F1351" s="11" t="str">
        <f>IF($B1351="","",RANK($E1351,$E$2:$E$1501)+COUNTIF($E$2:E1351,$E1351)-1)</f>
        <v/>
      </c>
      <c r="G1351" s="11" t="str">
        <f>IF($B1351="","",RANK($D1351,$D$2:$D$1501)+COUNTIF($D$2:D1351,$D1351)-1)</f>
        <v/>
      </c>
    </row>
    <row r="1352" spans="1:7">
      <c r="A1352" s="11">
        <v>1351</v>
      </c>
      <c r="B1352" s="11" t="str">
        <f>IFERROR(INDEX('Raw Data'!$R$2:$R$50000,MATCH(1351,'Raw Data'!$W$2:$W$50000,0)),"")</f>
        <v/>
      </c>
      <c r="C1352" s="11" t="str">
        <f t="shared" si="21"/>
        <v/>
      </c>
      <c r="D1352" s="11" t="str">
        <f>IF($B1352="","",COUNTIFS('Raw Data'!$R$2:$R$50000,$B1352))</f>
        <v/>
      </c>
      <c r="E1352" s="11" t="str">
        <f>IF($B1352="","",SUMIFS('Raw Data'!$I$2:$I$50000,'Raw Data'!$R$2:$R$50000,$B1352))</f>
        <v/>
      </c>
      <c r="F1352" s="11" t="str">
        <f>IF($B1352="","",RANK($E1352,$E$2:$E$1501)+COUNTIF($E$2:E1352,$E1352)-1)</f>
        <v/>
      </c>
      <c r="G1352" s="11" t="str">
        <f>IF($B1352="","",RANK($D1352,$D$2:$D$1501)+COUNTIF($D$2:D1352,$D1352)-1)</f>
        <v/>
      </c>
    </row>
    <row r="1353" spans="1:7">
      <c r="A1353" s="11">
        <v>1352</v>
      </c>
      <c r="B1353" s="11" t="str">
        <f>IFERROR(INDEX('Raw Data'!$R$2:$R$50000,MATCH(1352,'Raw Data'!$W$2:$W$50000,0)),"")</f>
        <v/>
      </c>
      <c r="C1353" s="11" t="str">
        <f t="shared" si="21"/>
        <v/>
      </c>
      <c r="D1353" s="11" t="str">
        <f>IF($B1353="","",COUNTIFS('Raw Data'!$R$2:$R$50000,$B1353))</f>
        <v/>
      </c>
      <c r="E1353" s="11" t="str">
        <f>IF($B1353="","",SUMIFS('Raw Data'!$I$2:$I$50000,'Raw Data'!$R$2:$R$50000,$B1353))</f>
        <v/>
      </c>
      <c r="F1353" s="11" t="str">
        <f>IF($B1353="","",RANK($E1353,$E$2:$E$1501)+COUNTIF($E$2:E1353,$E1353)-1)</f>
        <v/>
      </c>
      <c r="G1353" s="11" t="str">
        <f>IF($B1353="","",RANK($D1353,$D$2:$D$1501)+COUNTIF($D$2:D1353,$D1353)-1)</f>
        <v/>
      </c>
    </row>
    <row r="1354" spans="1:7">
      <c r="A1354" s="11">
        <v>1353</v>
      </c>
      <c r="B1354" s="11" t="str">
        <f>IFERROR(INDEX('Raw Data'!$R$2:$R$50000,MATCH(1353,'Raw Data'!$W$2:$W$50000,0)),"")</f>
        <v/>
      </c>
      <c r="C1354" s="11" t="str">
        <f t="shared" si="21"/>
        <v/>
      </c>
      <c r="D1354" s="11" t="str">
        <f>IF($B1354="","",COUNTIFS('Raw Data'!$R$2:$R$50000,$B1354))</f>
        <v/>
      </c>
      <c r="E1354" s="11" t="str">
        <f>IF($B1354="","",SUMIFS('Raw Data'!$I$2:$I$50000,'Raw Data'!$R$2:$R$50000,$B1354))</f>
        <v/>
      </c>
      <c r="F1354" s="11" t="str">
        <f>IF($B1354="","",RANK($E1354,$E$2:$E$1501)+COUNTIF($E$2:E1354,$E1354)-1)</f>
        <v/>
      </c>
      <c r="G1354" s="11" t="str">
        <f>IF($B1354="","",RANK($D1354,$D$2:$D$1501)+COUNTIF($D$2:D1354,$D1354)-1)</f>
        <v/>
      </c>
    </row>
    <row r="1355" spans="1:7">
      <c r="A1355" s="11">
        <v>1354</v>
      </c>
      <c r="B1355" s="11" t="str">
        <f>IFERROR(INDEX('Raw Data'!$R$2:$R$50000,MATCH(1354,'Raw Data'!$W$2:$W$50000,0)),"")</f>
        <v/>
      </c>
      <c r="C1355" s="11" t="str">
        <f t="shared" si="21"/>
        <v/>
      </c>
      <c r="D1355" s="11" t="str">
        <f>IF($B1355="","",COUNTIFS('Raw Data'!$R$2:$R$50000,$B1355))</f>
        <v/>
      </c>
      <c r="E1355" s="11" t="str">
        <f>IF($B1355="","",SUMIFS('Raw Data'!$I$2:$I$50000,'Raw Data'!$R$2:$R$50000,$B1355))</f>
        <v/>
      </c>
      <c r="F1355" s="11" t="str">
        <f>IF($B1355="","",RANK($E1355,$E$2:$E$1501)+COUNTIF($E$2:E1355,$E1355)-1)</f>
        <v/>
      </c>
      <c r="G1355" s="11" t="str">
        <f>IF($B1355="","",RANK($D1355,$D$2:$D$1501)+COUNTIF($D$2:D1355,$D1355)-1)</f>
        <v/>
      </c>
    </row>
    <row r="1356" spans="1:7">
      <c r="A1356" s="11">
        <v>1355</v>
      </c>
      <c r="B1356" s="11" t="str">
        <f>IFERROR(INDEX('Raw Data'!$R$2:$R$50000,MATCH(1355,'Raw Data'!$W$2:$W$50000,0)),"")</f>
        <v/>
      </c>
      <c r="C1356" s="11" t="str">
        <f t="shared" si="21"/>
        <v/>
      </c>
      <c r="D1356" s="11" t="str">
        <f>IF($B1356="","",COUNTIFS('Raw Data'!$R$2:$R$50000,$B1356))</f>
        <v/>
      </c>
      <c r="E1356" s="11" t="str">
        <f>IF($B1356="","",SUMIFS('Raw Data'!$I$2:$I$50000,'Raw Data'!$R$2:$R$50000,$B1356))</f>
        <v/>
      </c>
      <c r="F1356" s="11" t="str">
        <f>IF($B1356="","",RANK($E1356,$E$2:$E$1501)+COUNTIF($E$2:E1356,$E1356)-1)</f>
        <v/>
      </c>
      <c r="G1356" s="11" t="str">
        <f>IF($B1356="","",RANK($D1356,$D$2:$D$1501)+COUNTIF($D$2:D1356,$D1356)-1)</f>
        <v/>
      </c>
    </row>
    <row r="1357" spans="1:7">
      <c r="A1357" s="11">
        <v>1356</v>
      </c>
      <c r="B1357" s="11" t="str">
        <f>IFERROR(INDEX('Raw Data'!$R$2:$R$50000,MATCH(1356,'Raw Data'!$W$2:$W$50000,0)),"")</f>
        <v/>
      </c>
      <c r="C1357" s="11" t="str">
        <f t="shared" si="21"/>
        <v/>
      </c>
      <c r="D1357" s="11" t="str">
        <f>IF($B1357="","",COUNTIFS('Raw Data'!$R$2:$R$50000,$B1357))</f>
        <v/>
      </c>
      <c r="E1357" s="11" t="str">
        <f>IF($B1357="","",SUMIFS('Raw Data'!$I$2:$I$50000,'Raw Data'!$R$2:$R$50000,$B1357))</f>
        <v/>
      </c>
      <c r="F1357" s="11" t="str">
        <f>IF($B1357="","",RANK($E1357,$E$2:$E$1501)+COUNTIF($E$2:E1357,$E1357)-1)</f>
        <v/>
      </c>
      <c r="G1357" s="11" t="str">
        <f>IF($B1357="","",RANK($D1357,$D$2:$D$1501)+COUNTIF($D$2:D1357,$D1357)-1)</f>
        <v/>
      </c>
    </row>
    <row r="1358" spans="1:7">
      <c r="A1358" s="11">
        <v>1357</v>
      </c>
      <c r="B1358" s="11" t="str">
        <f>IFERROR(INDEX('Raw Data'!$R$2:$R$50000,MATCH(1357,'Raw Data'!$W$2:$W$50000,0)),"")</f>
        <v/>
      </c>
      <c r="C1358" s="11" t="str">
        <f t="shared" si="21"/>
        <v/>
      </c>
      <c r="D1358" s="11" t="str">
        <f>IF($B1358="","",COUNTIFS('Raw Data'!$R$2:$R$50000,$B1358))</f>
        <v/>
      </c>
      <c r="E1358" s="11" t="str">
        <f>IF($B1358="","",SUMIFS('Raw Data'!$I$2:$I$50000,'Raw Data'!$R$2:$R$50000,$B1358))</f>
        <v/>
      </c>
      <c r="F1358" s="11" t="str">
        <f>IF($B1358="","",RANK($E1358,$E$2:$E$1501)+COUNTIF($E$2:E1358,$E1358)-1)</f>
        <v/>
      </c>
      <c r="G1358" s="11" t="str">
        <f>IF($B1358="","",RANK($D1358,$D$2:$D$1501)+COUNTIF($D$2:D1358,$D1358)-1)</f>
        <v/>
      </c>
    </row>
    <row r="1359" spans="1:7">
      <c r="A1359" s="11">
        <v>1358</v>
      </c>
      <c r="B1359" s="11" t="str">
        <f>IFERROR(INDEX('Raw Data'!$R$2:$R$50000,MATCH(1358,'Raw Data'!$W$2:$W$50000,0)),"")</f>
        <v/>
      </c>
      <c r="C1359" s="11" t="str">
        <f t="shared" si="21"/>
        <v/>
      </c>
      <c r="D1359" s="11" t="str">
        <f>IF($B1359="","",COUNTIFS('Raw Data'!$R$2:$R$50000,$B1359))</f>
        <v/>
      </c>
      <c r="E1359" s="11" t="str">
        <f>IF($B1359="","",SUMIFS('Raw Data'!$I$2:$I$50000,'Raw Data'!$R$2:$R$50000,$B1359))</f>
        <v/>
      </c>
      <c r="F1359" s="11" t="str">
        <f>IF($B1359="","",RANK($E1359,$E$2:$E$1501)+COUNTIF($E$2:E1359,$E1359)-1)</f>
        <v/>
      </c>
      <c r="G1359" s="11" t="str">
        <f>IF($B1359="","",RANK($D1359,$D$2:$D$1501)+COUNTIF($D$2:D1359,$D1359)-1)</f>
        <v/>
      </c>
    </row>
    <row r="1360" spans="1:7">
      <c r="A1360" s="11">
        <v>1359</v>
      </c>
      <c r="B1360" s="11" t="str">
        <f>IFERROR(INDEX('Raw Data'!$R$2:$R$50000,MATCH(1359,'Raw Data'!$W$2:$W$50000,0)),"")</f>
        <v/>
      </c>
      <c r="C1360" s="11" t="str">
        <f t="shared" si="21"/>
        <v/>
      </c>
      <c r="D1360" s="11" t="str">
        <f>IF($B1360="","",COUNTIFS('Raw Data'!$R$2:$R$50000,$B1360))</f>
        <v/>
      </c>
      <c r="E1360" s="11" t="str">
        <f>IF($B1360="","",SUMIFS('Raw Data'!$I$2:$I$50000,'Raw Data'!$R$2:$R$50000,$B1360))</f>
        <v/>
      </c>
      <c r="F1360" s="11" t="str">
        <f>IF($B1360="","",RANK($E1360,$E$2:$E$1501)+COUNTIF($E$2:E1360,$E1360)-1)</f>
        <v/>
      </c>
      <c r="G1360" s="11" t="str">
        <f>IF($B1360="","",RANK($D1360,$D$2:$D$1501)+COUNTIF($D$2:D1360,$D1360)-1)</f>
        <v/>
      </c>
    </row>
    <row r="1361" spans="1:7">
      <c r="A1361" s="11">
        <v>1360</v>
      </c>
      <c r="B1361" s="11" t="str">
        <f>IFERROR(INDEX('Raw Data'!$R$2:$R$50000,MATCH(1360,'Raw Data'!$W$2:$W$50000,0)),"")</f>
        <v/>
      </c>
      <c r="C1361" s="11" t="str">
        <f t="shared" si="21"/>
        <v/>
      </c>
      <c r="D1361" s="11" t="str">
        <f>IF($B1361="","",COUNTIFS('Raw Data'!$R$2:$R$50000,$B1361))</f>
        <v/>
      </c>
      <c r="E1361" s="11" t="str">
        <f>IF($B1361="","",SUMIFS('Raw Data'!$I$2:$I$50000,'Raw Data'!$R$2:$R$50000,$B1361))</f>
        <v/>
      </c>
      <c r="F1361" s="11" t="str">
        <f>IF($B1361="","",RANK($E1361,$E$2:$E$1501)+COUNTIF($E$2:E1361,$E1361)-1)</f>
        <v/>
      </c>
      <c r="G1361" s="11" t="str">
        <f>IF($B1361="","",RANK($D1361,$D$2:$D$1501)+COUNTIF($D$2:D1361,$D1361)-1)</f>
        <v/>
      </c>
    </row>
    <row r="1362" spans="1:7">
      <c r="A1362" s="11">
        <v>1361</v>
      </c>
      <c r="B1362" s="11" t="str">
        <f>IFERROR(INDEX('Raw Data'!$R$2:$R$50000,MATCH(1361,'Raw Data'!$W$2:$W$50000,0)),"")</f>
        <v/>
      </c>
      <c r="C1362" s="11" t="str">
        <f t="shared" si="21"/>
        <v/>
      </c>
      <c r="D1362" s="11" t="str">
        <f>IF($B1362="","",COUNTIFS('Raw Data'!$R$2:$R$50000,$B1362))</f>
        <v/>
      </c>
      <c r="E1362" s="11" t="str">
        <f>IF($B1362="","",SUMIFS('Raw Data'!$I$2:$I$50000,'Raw Data'!$R$2:$R$50000,$B1362))</f>
        <v/>
      </c>
      <c r="F1362" s="11" t="str">
        <f>IF($B1362="","",RANK($E1362,$E$2:$E$1501)+COUNTIF($E$2:E1362,$E1362)-1)</f>
        <v/>
      </c>
      <c r="G1362" s="11" t="str">
        <f>IF($B1362="","",RANK($D1362,$D$2:$D$1501)+COUNTIF($D$2:D1362,$D1362)-1)</f>
        <v/>
      </c>
    </row>
    <row r="1363" spans="1:7">
      <c r="A1363" s="11">
        <v>1362</v>
      </c>
      <c r="B1363" s="11" t="str">
        <f>IFERROR(INDEX('Raw Data'!$R$2:$R$50000,MATCH(1362,'Raw Data'!$W$2:$W$50000,0)),"")</f>
        <v/>
      </c>
      <c r="C1363" s="11" t="str">
        <f t="shared" si="21"/>
        <v/>
      </c>
      <c r="D1363" s="11" t="str">
        <f>IF($B1363="","",COUNTIFS('Raw Data'!$R$2:$R$50000,$B1363))</f>
        <v/>
      </c>
      <c r="E1363" s="11" t="str">
        <f>IF($B1363="","",SUMIFS('Raw Data'!$I$2:$I$50000,'Raw Data'!$R$2:$R$50000,$B1363))</f>
        <v/>
      </c>
      <c r="F1363" s="11" t="str">
        <f>IF($B1363="","",RANK($E1363,$E$2:$E$1501)+COUNTIF($E$2:E1363,$E1363)-1)</f>
        <v/>
      </c>
      <c r="G1363" s="11" t="str">
        <f>IF($B1363="","",RANK($D1363,$D$2:$D$1501)+COUNTIF($D$2:D1363,$D1363)-1)</f>
        <v/>
      </c>
    </row>
    <row r="1364" spans="1:7">
      <c r="A1364" s="11">
        <v>1363</v>
      </c>
      <c r="B1364" s="11" t="str">
        <f>IFERROR(INDEX('Raw Data'!$R$2:$R$50000,MATCH(1363,'Raw Data'!$W$2:$W$50000,0)),"")</f>
        <v/>
      </c>
      <c r="C1364" s="11" t="str">
        <f t="shared" si="21"/>
        <v/>
      </c>
      <c r="D1364" s="11" t="str">
        <f>IF($B1364="","",COUNTIFS('Raw Data'!$R$2:$R$50000,$B1364))</f>
        <v/>
      </c>
      <c r="E1364" s="11" t="str">
        <f>IF($B1364="","",SUMIFS('Raw Data'!$I$2:$I$50000,'Raw Data'!$R$2:$R$50000,$B1364))</f>
        <v/>
      </c>
      <c r="F1364" s="11" t="str">
        <f>IF($B1364="","",RANK($E1364,$E$2:$E$1501)+COUNTIF($E$2:E1364,$E1364)-1)</f>
        <v/>
      </c>
      <c r="G1364" s="11" t="str">
        <f>IF($B1364="","",RANK($D1364,$D$2:$D$1501)+COUNTIF($D$2:D1364,$D1364)-1)</f>
        <v/>
      </c>
    </row>
    <row r="1365" spans="1:7">
      <c r="A1365" s="11">
        <v>1364</v>
      </c>
      <c r="B1365" s="11" t="str">
        <f>IFERROR(INDEX('Raw Data'!$R$2:$R$50000,MATCH(1364,'Raw Data'!$W$2:$W$50000,0)),"")</f>
        <v/>
      </c>
      <c r="C1365" s="11" t="str">
        <f t="shared" si="21"/>
        <v/>
      </c>
      <c r="D1365" s="11" t="str">
        <f>IF($B1365="","",COUNTIFS('Raw Data'!$R$2:$R$50000,$B1365))</f>
        <v/>
      </c>
      <c r="E1365" s="11" t="str">
        <f>IF($B1365="","",SUMIFS('Raw Data'!$I$2:$I$50000,'Raw Data'!$R$2:$R$50000,$B1365))</f>
        <v/>
      </c>
      <c r="F1365" s="11" t="str">
        <f>IF($B1365="","",RANK($E1365,$E$2:$E$1501)+COUNTIF($E$2:E1365,$E1365)-1)</f>
        <v/>
      </c>
      <c r="G1365" s="11" t="str">
        <f>IF($B1365="","",RANK($D1365,$D$2:$D$1501)+COUNTIF($D$2:D1365,$D1365)-1)</f>
        <v/>
      </c>
    </row>
    <row r="1366" spans="1:7">
      <c r="A1366" s="11">
        <v>1365</v>
      </c>
      <c r="B1366" s="11" t="str">
        <f>IFERROR(INDEX('Raw Data'!$R$2:$R$50000,MATCH(1365,'Raw Data'!$W$2:$W$50000,0)),"")</f>
        <v/>
      </c>
      <c r="C1366" s="11" t="str">
        <f t="shared" si="21"/>
        <v/>
      </c>
      <c r="D1366" s="11" t="str">
        <f>IF($B1366="","",COUNTIFS('Raw Data'!$R$2:$R$50000,$B1366))</f>
        <v/>
      </c>
      <c r="E1366" s="11" t="str">
        <f>IF($B1366="","",SUMIFS('Raw Data'!$I$2:$I$50000,'Raw Data'!$R$2:$R$50000,$B1366))</f>
        <v/>
      </c>
      <c r="F1366" s="11" t="str">
        <f>IF($B1366="","",RANK($E1366,$E$2:$E$1501)+COUNTIF($E$2:E1366,$E1366)-1)</f>
        <v/>
      </c>
      <c r="G1366" s="11" t="str">
        <f>IF($B1366="","",RANK($D1366,$D$2:$D$1501)+COUNTIF($D$2:D1366,$D1366)-1)</f>
        <v/>
      </c>
    </row>
    <row r="1367" spans="1:7">
      <c r="A1367" s="11">
        <v>1366</v>
      </c>
      <c r="B1367" s="11" t="str">
        <f>IFERROR(INDEX('Raw Data'!$R$2:$R$50000,MATCH(1366,'Raw Data'!$W$2:$W$50000,0)),"")</f>
        <v/>
      </c>
      <c r="C1367" s="11" t="str">
        <f t="shared" si="21"/>
        <v/>
      </c>
      <c r="D1367" s="11" t="str">
        <f>IF($B1367="","",COUNTIFS('Raw Data'!$R$2:$R$50000,$B1367))</f>
        <v/>
      </c>
      <c r="E1367" s="11" t="str">
        <f>IF($B1367="","",SUMIFS('Raw Data'!$I$2:$I$50000,'Raw Data'!$R$2:$R$50000,$B1367))</f>
        <v/>
      </c>
      <c r="F1367" s="11" t="str">
        <f>IF($B1367="","",RANK($E1367,$E$2:$E$1501)+COUNTIF($E$2:E1367,$E1367)-1)</f>
        <v/>
      </c>
      <c r="G1367" s="11" t="str">
        <f>IF($B1367="","",RANK($D1367,$D$2:$D$1501)+COUNTIF($D$2:D1367,$D1367)-1)</f>
        <v/>
      </c>
    </row>
    <row r="1368" spans="1:7">
      <c r="A1368" s="11">
        <v>1367</v>
      </c>
      <c r="B1368" s="11" t="str">
        <f>IFERROR(INDEX('Raw Data'!$R$2:$R$50000,MATCH(1367,'Raw Data'!$W$2:$W$50000,0)),"")</f>
        <v/>
      </c>
      <c r="C1368" s="11" t="str">
        <f t="shared" si="21"/>
        <v/>
      </c>
      <c r="D1368" s="11" t="str">
        <f>IF($B1368="","",COUNTIFS('Raw Data'!$R$2:$R$50000,$B1368))</f>
        <v/>
      </c>
      <c r="E1368" s="11" t="str">
        <f>IF($B1368="","",SUMIFS('Raw Data'!$I$2:$I$50000,'Raw Data'!$R$2:$R$50000,$B1368))</f>
        <v/>
      </c>
      <c r="F1368" s="11" t="str">
        <f>IF($B1368="","",RANK($E1368,$E$2:$E$1501)+COUNTIF($E$2:E1368,$E1368)-1)</f>
        <v/>
      </c>
      <c r="G1368" s="11" t="str">
        <f>IF($B1368="","",RANK($D1368,$D$2:$D$1501)+COUNTIF($D$2:D1368,$D1368)-1)</f>
        <v/>
      </c>
    </row>
    <row r="1369" spans="1:7">
      <c r="A1369" s="11">
        <v>1368</v>
      </c>
      <c r="B1369" s="11" t="str">
        <f>IFERROR(INDEX('Raw Data'!$R$2:$R$50000,MATCH(1368,'Raw Data'!$W$2:$W$50000,0)),"")</f>
        <v/>
      </c>
      <c r="C1369" s="11" t="str">
        <f t="shared" si="21"/>
        <v/>
      </c>
      <c r="D1369" s="11" t="str">
        <f>IF($B1369="","",COUNTIFS('Raw Data'!$R$2:$R$50000,$B1369))</f>
        <v/>
      </c>
      <c r="E1369" s="11" t="str">
        <f>IF($B1369="","",SUMIFS('Raw Data'!$I$2:$I$50000,'Raw Data'!$R$2:$R$50000,$B1369))</f>
        <v/>
      </c>
      <c r="F1369" s="11" t="str">
        <f>IF($B1369="","",RANK($E1369,$E$2:$E$1501)+COUNTIF($E$2:E1369,$E1369)-1)</f>
        <v/>
      </c>
      <c r="G1369" s="11" t="str">
        <f>IF($B1369="","",RANK($D1369,$D$2:$D$1501)+COUNTIF($D$2:D1369,$D1369)-1)</f>
        <v/>
      </c>
    </row>
    <row r="1370" spans="1:7">
      <c r="A1370" s="11">
        <v>1369</v>
      </c>
      <c r="B1370" s="11" t="str">
        <f>IFERROR(INDEX('Raw Data'!$R$2:$R$50000,MATCH(1369,'Raw Data'!$W$2:$W$50000,0)),"")</f>
        <v/>
      </c>
      <c r="C1370" s="11" t="str">
        <f t="shared" si="21"/>
        <v/>
      </c>
      <c r="D1370" s="11" t="str">
        <f>IF($B1370="","",COUNTIFS('Raw Data'!$R$2:$R$50000,$B1370))</f>
        <v/>
      </c>
      <c r="E1370" s="11" t="str">
        <f>IF($B1370="","",SUMIFS('Raw Data'!$I$2:$I$50000,'Raw Data'!$R$2:$R$50000,$B1370))</f>
        <v/>
      </c>
      <c r="F1370" s="11" t="str">
        <f>IF($B1370="","",RANK($E1370,$E$2:$E$1501)+COUNTIF($E$2:E1370,$E1370)-1)</f>
        <v/>
      </c>
      <c r="G1370" s="11" t="str">
        <f>IF($B1370="","",RANK($D1370,$D$2:$D$1501)+COUNTIF($D$2:D1370,$D1370)-1)</f>
        <v/>
      </c>
    </row>
    <row r="1371" spans="1:7">
      <c r="A1371" s="11">
        <v>1370</v>
      </c>
      <c r="B1371" s="11" t="str">
        <f>IFERROR(INDEX('Raw Data'!$R$2:$R$50000,MATCH(1370,'Raw Data'!$W$2:$W$50000,0)),"")</f>
        <v/>
      </c>
      <c r="C1371" s="11" t="str">
        <f t="shared" si="21"/>
        <v/>
      </c>
      <c r="D1371" s="11" t="str">
        <f>IF($B1371="","",COUNTIFS('Raw Data'!$R$2:$R$50000,$B1371))</f>
        <v/>
      </c>
      <c r="E1371" s="11" t="str">
        <f>IF($B1371="","",SUMIFS('Raw Data'!$I$2:$I$50000,'Raw Data'!$R$2:$R$50000,$B1371))</f>
        <v/>
      </c>
      <c r="F1371" s="11" t="str">
        <f>IF($B1371="","",RANK($E1371,$E$2:$E$1501)+COUNTIF($E$2:E1371,$E1371)-1)</f>
        <v/>
      </c>
      <c r="G1371" s="11" t="str">
        <f>IF($B1371="","",RANK($D1371,$D$2:$D$1501)+COUNTIF($D$2:D1371,$D1371)-1)</f>
        <v/>
      </c>
    </row>
    <row r="1372" spans="1:7">
      <c r="A1372" s="11">
        <v>1371</v>
      </c>
      <c r="B1372" s="11" t="str">
        <f>IFERROR(INDEX('Raw Data'!$R$2:$R$50000,MATCH(1371,'Raw Data'!$W$2:$W$50000,0)),"")</f>
        <v/>
      </c>
      <c r="C1372" s="11" t="str">
        <f t="shared" si="21"/>
        <v/>
      </c>
      <c r="D1372" s="11" t="str">
        <f>IF($B1372="","",COUNTIFS('Raw Data'!$R$2:$R$50000,$B1372))</f>
        <v/>
      </c>
      <c r="E1372" s="11" t="str">
        <f>IF($B1372="","",SUMIFS('Raw Data'!$I$2:$I$50000,'Raw Data'!$R$2:$R$50000,$B1372))</f>
        <v/>
      </c>
      <c r="F1372" s="11" t="str">
        <f>IF($B1372="","",RANK($E1372,$E$2:$E$1501)+COUNTIF($E$2:E1372,$E1372)-1)</f>
        <v/>
      </c>
      <c r="G1372" s="11" t="str">
        <f>IF($B1372="","",RANK($D1372,$D$2:$D$1501)+COUNTIF($D$2:D1372,$D1372)-1)</f>
        <v/>
      </c>
    </row>
    <row r="1373" spans="1:7">
      <c r="A1373" s="11">
        <v>1372</v>
      </c>
      <c r="B1373" s="11" t="str">
        <f>IFERROR(INDEX('Raw Data'!$R$2:$R$50000,MATCH(1372,'Raw Data'!$W$2:$W$50000,0)),"")</f>
        <v/>
      </c>
      <c r="C1373" s="11" t="str">
        <f t="shared" si="21"/>
        <v/>
      </c>
      <c r="D1373" s="11" t="str">
        <f>IF($B1373="","",COUNTIFS('Raw Data'!$R$2:$R$50000,$B1373))</f>
        <v/>
      </c>
      <c r="E1373" s="11" t="str">
        <f>IF($B1373="","",SUMIFS('Raw Data'!$I$2:$I$50000,'Raw Data'!$R$2:$R$50000,$B1373))</f>
        <v/>
      </c>
      <c r="F1373" s="11" t="str">
        <f>IF($B1373="","",RANK($E1373,$E$2:$E$1501)+COUNTIF($E$2:E1373,$E1373)-1)</f>
        <v/>
      </c>
      <c r="G1373" s="11" t="str">
        <f>IF($B1373="","",RANK($D1373,$D$2:$D$1501)+COUNTIF($D$2:D1373,$D1373)-1)</f>
        <v/>
      </c>
    </row>
    <row r="1374" spans="1:7">
      <c r="A1374" s="11">
        <v>1373</v>
      </c>
      <c r="B1374" s="11" t="str">
        <f>IFERROR(INDEX('Raw Data'!$R$2:$R$50000,MATCH(1373,'Raw Data'!$W$2:$W$50000,0)),"")</f>
        <v/>
      </c>
      <c r="C1374" s="11" t="str">
        <f t="shared" si="21"/>
        <v/>
      </c>
      <c r="D1374" s="11" t="str">
        <f>IF($B1374="","",COUNTIFS('Raw Data'!$R$2:$R$50000,$B1374))</f>
        <v/>
      </c>
      <c r="E1374" s="11" t="str">
        <f>IF($B1374="","",SUMIFS('Raw Data'!$I$2:$I$50000,'Raw Data'!$R$2:$R$50000,$B1374))</f>
        <v/>
      </c>
      <c r="F1374" s="11" t="str">
        <f>IF($B1374="","",RANK($E1374,$E$2:$E$1501)+COUNTIF($E$2:E1374,$E1374)-1)</f>
        <v/>
      </c>
      <c r="G1374" s="11" t="str">
        <f>IF($B1374="","",RANK($D1374,$D$2:$D$1501)+COUNTIF($D$2:D1374,$D1374)-1)</f>
        <v/>
      </c>
    </row>
    <row r="1375" spans="1:7">
      <c r="A1375" s="11">
        <v>1374</v>
      </c>
      <c r="B1375" s="11" t="str">
        <f>IFERROR(INDEX('Raw Data'!$R$2:$R$50000,MATCH(1374,'Raw Data'!$W$2:$W$50000,0)),"")</f>
        <v/>
      </c>
      <c r="C1375" s="11" t="str">
        <f t="shared" si="21"/>
        <v/>
      </c>
      <c r="D1375" s="11" t="str">
        <f>IF($B1375="","",COUNTIFS('Raw Data'!$R$2:$R$50000,$B1375))</f>
        <v/>
      </c>
      <c r="E1375" s="11" t="str">
        <f>IF($B1375="","",SUMIFS('Raw Data'!$I$2:$I$50000,'Raw Data'!$R$2:$R$50000,$B1375))</f>
        <v/>
      </c>
      <c r="F1375" s="11" t="str">
        <f>IF($B1375="","",RANK($E1375,$E$2:$E$1501)+COUNTIF($E$2:E1375,$E1375)-1)</f>
        <v/>
      </c>
      <c r="G1375" s="11" t="str">
        <f>IF($B1375="","",RANK($D1375,$D$2:$D$1501)+COUNTIF($D$2:D1375,$D1375)-1)</f>
        <v/>
      </c>
    </row>
    <row r="1376" spans="1:7">
      <c r="A1376" s="11">
        <v>1375</v>
      </c>
      <c r="B1376" s="11" t="str">
        <f>IFERROR(INDEX('Raw Data'!$R$2:$R$50000,MATCH(1375,'Raw Data'!$W$2:$W$50000,0)),"")</f>
        <v/>
      </c>
      <c r="C1376" s="11" t="str">
        <f t="shared" si="21"/>
        <v/>
      </c>
      <c r="D1376" s="11" t="str">
        <f>IF($B1376="","",COUNTIFS('Raw Data'!$R$2:$R$50000,$B1376))</f>
        <v/>
      </c>
      <c r="E1376" s="11" t="str">
        <f>IF($B1376="","",SUMIFS('Raw Data'!$I$2:$I$50000,'Raw Data'!$R$2:$R$50000,$B1376))</f>
        <v/>
      </c>
      <c r="F1376" s="11" t="str">
        <f>IF($B1376="","",RANK($E1376,$E$2:$E$1501)+COUNTIF($E$2:E1376,$E1376)-1)</f>
        <v/>
      </c>
      <c r="G1376" s="11" t="str">
        <f>IF($B1376="","",RANK($D1376,$D$2:$D$1501)+COUNTIF($D$2:D1376,$D1376)-1)</f>
        <v/>
      </c>
    </row>
    <row r="1377" spans="1:7">
      <c r="A1377" s="11">
        <v>1376</v>
      </c>
      <c r="B1377" s="11" t="str">
        <f>IFERROR(INDEX('Raw Data'!$R$2:$R$50000,MATCH(1376,'Raw Data'!$W$2:$W$50000,0)),"")</f>
        <v/>
      </c>
      <c r="C1377" s="11" t="str">
        <f t="shared" si="21"/>
        <v/>
      </c>
      <c r="D1377" s="11" t="str">
        <f>IF($B1377="","",COUNTIFS('Raw Data'!$R$2:$R$50000,$B1377))</f>
        <v/>
      </c>
      <c r="E1377" s="11" t="str">
        <f>IF($B1377="","",SUMIFS('Raw Data'!$I$2:$I$50000,'Raw Data'!$R$2:$R$50000,$B1377))</f>
        <v/>
      </c>
      <c r="F1377" s="11" t="str">
        <f>IF($B1377="","",RANK($E1377,$E$2:$E$1501)+COUNTIF($E$2:E1377,$E1377)-1)</f>
        <v/>
      </c>
      <c r="G1377" s="11" t="str">
        <f>IF($B1377="","",RANK($D1377,$D$2:$D$1501)+COUNTIF($D$2:D1377,$D1377)-1)</f>
        <v/>
      </c>
    </row>
    <row r="1378" spans="1:7">
      <c r="A1378" s="11">
        <v>1377</v>
      </c>
      <c r="B1378" s="11" t="str">
        <f>IFERROR(INDEX('Raw Data'!$R$2:$R$50000,MATCH(1377,'Raw Data'!$W$2:$W$50000,0)),"")</f>
        <v/>
      </c>
      <c r="C1378" s="11" t="str">
        <f t="shared" si="21"/>
        <v/>
      </c>
      <c r="D1378" s="11" t="str">
        <f>IF($B1378="","",COUNTIFS('Raw Data'!$R$2:$R$50000,$B1378))</f>
        <v/>
      </c>
      <c r="E1378" s="11" t="str">
        <f>IF($B1378="","",SUMIFS('Raw Data'!$I$2:$I$50000,'Raw Data'!$R$2:$R$50000,$B1378))</f>
        <v/>
      </c>
      <c r="F1378" s="11" t="str">
        <f>IF($B1378="","",RANK($E1378,$E$2:$E$1501)+COUNTIF($E$2:E1378,$E1378)-1)</f>
        <v/>
      </c>
      <c r="G1378" s="11" t="str">
        <f>IF($B1378="","",RANK($D1378,$D$2:$D$1501)+COUNTIF($D$2:D1378,$D1378)-1)</f>
        <v/>
      </c>
    </row>
    <row r="1379" spans="1:7">
      <c r="A1379" s="11">
        <v>1378</v>
      </c>
      <c r="B1379" s="11" t="str">
        <f>IFERROR(INDEX('Raw Data'!$R$2:$R$50000,MATCH(1378,'Raw Data'!$W$2:$W$50000,0)),"")</f>
        <v/>
      </c>
      <c r="C1379" s="11" t="str">
        <f t="shared" si="21"/>
        <v/>
      </c>
      <c r="D1379" s="11" t="str">
        <f>IF($B1379="","",COUNTIFS('Raw Data'!$R$2:$R$50000,$B1379))</f>
        <v/>
      </c>
      <c r="E1379" s="11" t="str">
        <f>IF($B1379="","",SUMIFS('Raw Data'!$I$2:$I$50000,'Raw Data'!$R$2:$R$50000,$B1379))</f>
        <v/>
      </c>
      <c r="F1379" s="11" t="str">
        <f>IF($B1379="","",RANK($E1379,$E$2:$E$1501)+COUNTIF($E$2:E1379,$E1379)-1)</f>
        <v/>
      </c>
      <c r="G1379" s="11" t="str">
        <f>IF($B1379="","",RANK($D1379,$D$2:$D$1501)+COUNTIF($D$2:D1379,$D1379)-1)</f>
        <v/>
      </c>
    </row>
    <row r="1380" spans="1:7">
      <c r="A1380" s="11">
        <v>1379</v>
      </c>
      <c r="B1380" s="11" t="str">
        <f>IFERROR(INDEX('Raw Data'!$R$2:$R$50000,MATCH(1379,'Raw Data'!$W$2:$W$50000,0)),"")</f>
        <v/>
      </c>
      <c r="C1380" s="11" t="str">
        <f t="shared" si="21"/>
        <v/>
      </c>
      <c r="D1380" s="11" t="str">
        <f>IF($B1380="","",COUNTIFS('Raw Data'!$R$2:$R$50000,$B1380))</f>
        <v/>
      </c>
      <c r="E1380" s="11" t="str">
        <f>IF($B1380="","",SUMIFS('Raw Data'!$I$2:$I$50000,'Raw Data'!$R$2:$R$50000,$B1380))</f>
        <v/>
      </c>
      <c r="F1380" s="11" t="str">
        <f>IF($B1380="","",RANK($E1380,$E$2:$E$1501)+COUNTIF($E$2:E1380,$E1380)-1)</f>
        <v/>
      </c>
      <c r="G1380" s="11" t="str">
        <f>IF($B1380="","",RANK($D1380,$D$2:$D$1501)+COUNTIF($D$2:D1380,$D1380)-1)</f>
        <v/>
      </c>
    </row>
    <row r="1381" spans="1:7">
      <c r="A1381" s="11">
        <v>1380</v>
      </c>
      <c r="B1381" s="11" t="str">
        <f>IFERROR(INDEX('Raw Data'!$R$2:$R$50000,MATCH(1380,'Raw Data'!$W$2:$W$50000,0)),"")</f>
        <v/>
      </c>
      <c r="C1381" s="11" t="str">
        <f t="shared" si="21"/>
        <v/>
      </c>
      <c r="D1381" s="11" t="str">
        <f>IF($B1381="","",COUNTIFS('Raw Data'!$R$2:$R$50000,$B1381))</f>
        <v/>
      </c>
      <c r="E1381" s="11" t="str">
        <f>IF($B1381="","",SUMIFS('Raw Data'!$I$2:$I$50000,'Raw Data'!$R$2:$R$50000,$B1381))</f>
        <v/>
      </c>
      <c r="F1381" s="11" t="str">
        <f>IF($B1381="","",RANK($E1381,$E$2:$E$1501)+COUNTIF($E$2:E1381,$E1381)-1)</f>
        <v/>
      </c>
      <c r="G1381" s="11" t="str">
        <f>IF($B1381="","",RANK($D1381,$D$2:$D$1501)+COUNTIF($D$2:D1381,$D1381)-1)</f>
        <v/>
      </c>
    </row>
    <row r="1382" spans="1:7">
      <c r="A1382" s="11">
        <v>1381</v>
      </c>
      <c r="B1382" s="11" t="str">
        <f>IFERROR(INDEX('Raw Data'!$R$2:$R$50000,MATCH(1381,'Raw Data'!$W$2:$W$50000,0)),"")</f>
        <v/>
      </c>
      <c r="C1382" s="11" t="str">
        <f t="shared" si="21"/>
        <v/>
      </c>
      <c r="D1382" s="11" t="str">
        <f>IF($B1382="","",COUNTIFS('Raw Data'!$R$2:$R$50000,$B1382))</f>
        <v/>
      </c>
      <c r="E1382" s="11" t="str">
        <f>IF($B1382="","",SUMIFS('Raw Data'!$I$2:$I$50000,'Raw Data'!$R$2:$R$50000,$B1382))</f>
        <v/>
      </c>
      <c r="F1382" s="11" t="str">
        <f>IF($B1382="","",RANK($E1382,$E$2:$E$1501)+COUNTIF($E$2:E1382,$E1382)-1)</f>
        <v/>
      </c>
      <c r="G1382" s="11" t="str">
        <f>IF($B1382="","",RANK($D1382,$D$2:$D$1501)+COUNTIF($D$2:D1382,$D1382)-1)</f>
        <v/>
      </c>
    </row>
    <row r="1383" spans="1:7">
      <c r="A1383" s="11">
        <v>1382</v>
      </c>
      <c r="B1383" s="11" t="str">
        <f>IFERROR(INDEX('Raw Data'!$R$2:$R$50000,MATCH(1382,'Raw Data'!$W$2:$W$50000,0)),"")</f>
        <v/>
      </c>
      <c r="C1383" s="11" t="str">
        <f t="shared" si="21"/>
        <v/>
      </c>
      <c r="D1383" s="11" t="str">
        <f>IF($B1383="","",COUNTIFS('Raw Data'!$R$2:$R$50000,$B1383))</f>
        <v/>
      </c>
      <c r="E1383" s="11" t="str">
        <f>IF($B1383="","",SUMIFS('Raw Data'!$I$2:$I$50000,'Raw Data'!$R$2:$R$50000,$B1383))</f>
        <v/>
      </c>
      <c r="F1383" s="11" t="str">
        <f>IF($B1383="","",RANK($E1383,$E$2:$E$1501)+COUNTIF($E$2:E1383,$E1383)-1)</f>
        <v/>
      </c>
      <c r="G1383" s="11" t="str">
        <f>IF($B1383="","",RANK($D1383,$D$2:$D$1501)+COUNTIF($D$2:D1383,$D1383)-1)</f>
        <v/>
      </c>
    </row>
    <row r="1384" spans="1:7">
      <c r="A1384" s="11">
        <v>1383</v>
      </c>
      <c r="B1384" s="11" t="str">
        <f>IFERROR(INDEX('Raw Data'!$R$2:$R$50000,MATCH(1383,'Raw Data'!$W$2:$W$50000,0)),"")</f>
        <v/>
      </c>
      <c r="C1384" s="11" t="str">
        <f t="shared" si="21"/>
        <v/>
      </c>
      <c r="D1384" s="11" t="str">
        <f>IF($B1384="","",COUNTIFS('Raw Data'!$R$2:$R$50000,$B1384))</f>
        <v/>
      </c>
      <c r="E1384" s="11" t="str">
        <f>IF($B1384="","",SUMIFS('Raw Data'!$I$2:$I$50000,'Raw Data'!$R$2:$R$50000,$B1384))</f>
        <v/>
      </c>
      <c r="F1384" s="11" t="str">
        <f>IF($B1384="","",RANK($E1384,$E$2:$E$1501)+COUNTIF($E$2:E1384,$E1384)-1)</f>
        <v/>
      </c>
      <c r="G1384" s="11" t="str">
        <f>IF($B1384="","",RANK($D1384,$D$2:$D$1501)+COUNTIF($D$2:D1384,$D1384)-1)</f>
        <v/>
      </c>
    </row>
    <row r="1385" spans="1:7">
      <c r="A1385" s="11">
        <v>1384</v>
      </c>
      <c r="B1385" s="11" t="str">
        <f>IFERROR(INDEX('Raw Data'!$R$2:$R$50000,MATCH(1384,'Raw Data'!$W$2:$W$50000,0)),"")</f>
        <v/>
      </c>
      <c r="C1385" s="11" t="str">
        <f t="shared" si="21"/>
        <v/>
      </c>
      <c r="D1385" s="11" t="str">
        <f>IF($B1385="","",COUNTIFS('Raw Data'!$R$2:$R$50000,$B1385))</f>
        <v/>
      </c>
      <c r="E1385" s="11" t="str">
        <f>IF($B1385="","",SUMIFS('Raw Data'!$I$2:$I$50000,'Raw Data'!$R$2:$R$50000,$B1385))</f>
        <v/>
      </c>
      <c r="F1385" s="11" t="str">
        <f>IF($B1385="","",RANK($E1385,$E$2:$E$1501)+COUNTIF($E$2:E1385,$E1385)-1)</f>
        <v/>
      </c>
      <c r="G1385" s="11" t="str">
        <f>IF($B1385="","",RANK($D1385,$D$2:$D$1501)+COUNTIF($D$2:D1385,$D1385)-1)</f>
        <v/>
      </c>
    </row>
    <row r="1386" spans="1:7">
      <c r="A1386" s="11">
        <v>1385</v>
      </c>
      <c r="B1386" s="11" t="str">
        <f>IFERROR(INDEX('Raw Data'!$R$2:$R$50000,MATCH(1385,'Raw Data'!$W$2:$W$50000,0)),"")</f>
        <v/>
      </c>
      <c r="C1386" s="11" t="str">
        <f t="shared" si="21"/>
        <v/>
      </c>
      <c r="D1386" s="11" t="str">
        <f>IF($B1386="","",COUNTIFS('Raw Data'!$R$2:$R$50000,$B1386))</f>
        <v/>
      </c>
      <c r="E1386" s="11" t="str">
        <f>IF($B1386="","",SUMIFS('Raw Data'!$I$2:$I$50000,'Raw Data'!$R$2:$R$50000,$B1386))</f>
        <v/>
      </c>
      <c r="F1386" s="11" t="str">
        <f>IF($B1386="","",RANK($E1386,$E$2:$E$1501)+COUNTIF($E$2:E1386,$E1386)-1)</f>
        <v/>
      </c>
      <c r="G1386" s="11" t="str">
        <f>IF($B1386="","",RANK($D1386,$D$2:$D$1501)+COUNTIF($D$2:D1386,$D1386)-1)</f>
        <v/>
      </c>
    </row>
    <row r="1387" spans="1:7">
      <c r="A1387" s="11">
        <v>1386</v>
      </c>
      <c r="B1387" s="11" t="str">
        <f>IFERROR(INDEX('Raw Data'!$R$2:$R$50000,MATCH(1386,'Raw Data'!$W$2:$W$50000,0)),"")</f>
        <v/>
      </c>
      <c r="C1387" s="11" t="str">
        <f t="shared" si="21"/>
        <v/>
      </c>
      <c r="D1387" s="11" t="str">
        <f>IF($B1387="","",COUNTIFS('Raw Data'!$R$2:$R$50000,$B1387))</f>
        <v/>
      </c>
      <c r="E1387" s="11" t="str">
        <f>IF($B1387="","",SUMIFS('Raw Data'!$I$2:$I$50000,'Raw Data'!$R$2:$R$50000,$B1387))</f>
        <v/>
      </c>
      <c r="F1387" s="11" t="str">
        <f>IF($B1387="","",RANK($E1387,$E$2:$E$1501)+COUNTIF($E$2:E1387,$E1387)-1)</f>
        <v/>
      </c>
      <c r="G1387" s="11" t="str">
        <f>IF($B1387="","",RANK($D1387,$D$2:$D$1501)+COUNTIF($D$2:D1387,$D1387)-1)</f>
        <v/>
      </c>
    </row>
    <row r="1388" spans="1:7">
      <c r="A1388" s="11">
        <v>1387</v>
      </c>
      <c r="B1388" s="11" t="str">
        <f>IFERROR(INDEX('Raw Data'!$R$2:$R$50000,MATCH(1387,'Raw Data'!$W$2:$W$50000,0)),"")</f>
        <v/>
      </c>
      <c r="C1388" s="11" t="str">
        <f t="shared" si="21"/>
        <v/>
      </c>
      <c r="D1388" s="11" t="str">
        <f>IF($B1388="","",COUNTIFS('Raw Data'!$R$2:$R$50000,$B1388))</f>
        <v/>
      </c>
      <c r="E1388" s="11" t="str">
        <f>IF($B1388="","",SUMIFS('Raw Data'!$I$2:$I$50000,'Raw Data'!$R$2:$R$50000,$B1388))</f>
        <v/>
      </c>
      <c r="F1388" s="11" t="str">
        <f>IF($B1388="","",RANK($E1388,$E$2:$E$1501)+COUNTIF($E$2:E1388,$E1388)-1)</f>
        <v/>
      </c>
      <c r="G1388" s="11" t="str">
        <f>IF($B1388="","",RANK($D1388,$D$2:$D$1501)+COUNTIF($D$2:D1388,$D1388)-1)</f>
        <v/>
      </c>
    </row>
    <row r="1389" spans="1:7">
      <c r="A1389" s="11">
        <v>1388</v>
      </c>
      <c r="B1389" s="11" t="str">
        <f>IFERROR(INDEX('Raw Data'!$R$2:$R$50000,MATCH(1388,'Raw Data'!$W$2:$W$50000,0)),"")</f>
        <v/>
      </c>
      <c r="C1389" s="11" t="str">
        <f t="shared" si="21"/>
        <v/>
      </c>
      <c r="D1389" s="11" t="str">
        <f>IF($B1389="","",COUNTIFS('Raw Data'!$R$2:$R$50000,$B1389))</f>
        <v/>
      </c>
      <c r="E1389" s="11" t="str">
        <f>IF($B1389="","",SUMIFS('Raw Data'!$I$2:$I$50000,'Raw Data'!$R$2:$R$50000,$B1389))</f>
        <v/>
      </c>
      <c r="F1389" s="11" t="str">
        <f>IF($B1389="","",RANK($E1389,$E$2:$E$1501)+COUNTIF($E$2:E1389,$E1389)-1)</f>
        <v/>
      </c>
      <c r="G1389" s="11" t="str">
        <f>IF($B1389="","",RANK($D1389,$D$2:$D$1501)+COUNTIF($D$2:D1389,$D1389)-1)</f>
        <v/>
      </c>
    </row>
    <row r="1390" spans="1:7">
      <c r="A1390" s="11">
        <v>1389</v>
      </c>
      <c r="B1390" s="11" t="str">
        <f>IFERROR(INDEX('Raw Data'!$R$2:$R$50000,MATCH(1389,'Raw Data'!$W$2:$W$50000,0)),"")</f>
        <v/>
      </c>
      <c r="C1390" s="11" t="str">
        <f t="shared" si="21"/>
        <v/>
      </c>
      <c r="D1390" s="11" t="str">
        <f>IF($B1390="","",COUNTIFS('Raw Data'!$R$2:$R$50000,$B1390))</f>
        <v/>
      </c>
      <c r="E1390" s="11" t="str">
        <f>IF($B1390="","",SUMIFS('Raw Data'!$I$2:$I$50000,'Raw Data'!$R$2:$R$50000,$B1390))</f>
        <v/>
      </c>
      <c r="F1390" s="11" t="str">
        <f>IF($B1390="","",RANK($E1390,$E$2:$E$1501)+COUNTIF($E$2:E1390,$E1390)-1)</f>
        <v/>
      </c>
      <c r="G1390" s="11" t="str">
        <f>IF($B1390="","",RANK($D1390,$D$2:$D$1501)+COUNTIF($D$2:D1390,$D1390)-1)</f>
        <v/>
      </c>
    </row>
    <row r="1391" spans="1:7">
      <c r="A1391" s="11">
        <v>1390</v>
      </c>
      <c r="B1391" s="11" t="str">
        <f>IFERROR(INDEX('Raw Data'!$R$2:$R$50000,MATCH(1390,'Raw Data'!$W$2:$W$50000,0)),"")</f>
        <v/>
      </c>
      <c r="C1391" s="11" t="str">
        <f t="shared" si="21"/>
        <v/>
      </c>
      <c r="D1391" s="11" t="str">
        <f>IF($B1391="","",COUNTIFS('Raw Data'!$R$2:$R$50000,$B1391))</f>
        <v/>
      </c>
      <c r="E1391" s="11" t="str">
        <f>IF($B1391="","",SUMIFS('Raw Data'!$I$2:$I$50000,'Raw Data'!$R$2:$R$50000,$B1391))</f>
        <v/>
      </c>
      <c r="F1391" s="11" t="str">
        <f>IF($B1391="","",RANK($E1391,$E$2:$E$1501)+COUNTIF($E$2:E1391,$E1391)-1)</f>
        <v/>
      </c>
      <c r="G1391" s="11" t="str">
        <f>IF($B1391="","",RANK($D1391,$D$2:$D$1501)+COUNTIF($D$2:D1391,$D1391)-1)</f>
        <v/>
      </c>
    </row>
    <row r="1392" spans="1:7">
      <c r="A1392" s="11">
        <v>1391</v>
      </c>
      <c r="B1392" s="11" t="str">
        <f>IFERROR(INDEX('Raw Data'!$R$2:$R$50000,MATCH(1391,'Raw Data'!$W$2:$W$50000,0)),"")</f>
        <v/>
      </c>
      <c r="C1392" s="11" t="str">
        <f t="shared" si="21"/>
        <v/>
      </c>
      <c r="D1392" s="11" t="str">
        <f>IF($B1392="","",COUNTIFS('Raw Data'!$R$2:$R$50000,$B1392))</f>
        <v/>
      </c>
      <c r="E1392" s="11" t="str">
        <f>IF($B1392="","",SUMIFS('Raw Data'!$I$2:$I$50000,'Raw Data'!$R$2:$R$50000,$B1392))</f>
        <v/>
      </c>
      <c r="F1392" s="11" t="str">
        <f>IF($B1392="","",RANK($E1392,$E$2:$E$1501)+COUNTIF($E$2:E1392,$E1392)-1)</f>
        <v/>
      </c>
      <c r="G1392" s="11" t="str">
        <f>IF($B1392="","",RANK($D1392,$D$2:$D$1501)+COUNTIF($D$2:D1392,$D1392)-1)</f>
        <v/>
      </c>
    </row>
    <row r="1393" spans="1:7">
      <c r="A1393" s="11">
        <v>1392</v>
      </c>
      <c r="B1393" s="11" t="str">
        <f>IFERROR(INDEX('Raw Data'!$R$2:$R$50000,MATCH(1392,'Raw Data'!$W$2:$W$50000,0)),"")</f>
        <v/>
      </c>
      <c r="C1393" s="11" t="str">
        <f t="shared" si="21"/>
        <v/>
      </c>
      <c r="D1393" s="11" t="str">
        <f>IF($B1393="","",COUNTIFS('Raw Data'!$R$2:$R$50000,$B1393))</f>
        <v/>
      </c>
      <c r="E1393" s="11" t="str">
        <f>IF($B1393="","",SUMIFS('Raw Data'!$I$2:$I$50000,'Raw Data'!$R$2:$R$50000,$B1393))</f>
        <v/>
      </c>
      <c r="F1393" s="11" t="str">
        <f>IF($B1393="","",RANK($E1393,$E$2:$E$1501)+COUNTIF($E$2:E1393,$E1393)-1)</f>
        <v/>
      </c>
      <c r="G1393" s="11" t="str">
        <f>IF($B1393="","",RANK($D1393,$D$2:$D$1501)+COUNTIF($D$2:D1393,$D1393)-1)</f>
        <v/>
      </c>
    </row>
    <row r="1394" spans="1:7">
      <c r="A1394" s="11">
        <v>1393</v>
      </c>
      <c r="B1394" s="11" t="str">
        <f>IFERROR(INDEX('Raw Data'!$R$2:$R$50000,MATCH(1393,'Raw Data'!$W$2:$W$50000,0)),"")</f>
        <v/>
      </c>
      <c r="C1394" s="11" t="str">
        <f t="shared" si="21"/>
        <v/>
      </c>
      <c r="D1394" s="11" t="str">
        <f>IF($B1394="","",COUNTIFS('Raw Data'!$R$2:$R$50000,$B1394))</f>
        <v/>
      </c>
      <c r="E1394" s="11" t="str">
        <f>IF($B1394="","",SUMIFS('Raw Data'!$I$2:$I$50000,'Raw Data'!$R$2:$R$50000,$B1394))</f>
        <v/>
      </c>
      <c r="F1394" s="11" t="str">
        <f>IF($B1394="","",RANK($E1394,$E$2:$E$1501)+COUNTIF($E$2:E1394,$E1394)-1)</f>
        <v/>
      </c>
      <c r="G1394" s="11" t="str">
        <f>IF($B1394="","",RANK($D1394,$D$2:$D$1501)+COUNTIF($D$2:D1394,$D1394)-1)</f>
        <v/>
      </c>
    </row>
    <row r="1395" spans="1:7">
      <c r="A1395" s="11">
        <v>1394</v>
      </c>
      <c r="B1395" s="11" t="str">
        <f>IFERROR(INDEX('Raw Data'!$R$2:$R$50000,MATCH(1394,'Raw Data'!$W$2:$W$50000,0)),"")</f>
        <v/>
      </c>
      <c r="C1395" s="11" t="str">
        <f t="shared" si="21"/>
        <v/>
      </c>
      <c r="D1395" s="11" t="str">
        <f>IF($B1395="","",COUNTIFS('Raw Data'!$R$2:$R$50000,$B1395))</f>
        <v/>
      </c>
      <c r="E1395" s="11" t="str">
        <f>IF($B1395="","",SUMIFS('Raw Data'!$I$2:$I$50000,'Raw Data'!$R$2:$R$50000,$B1395))</f>
        <v/>
      </c>
      <c r="F1395" s="11" t="str">
        <f>IF($B1395="","",RANK($E1395,$E$2:$E$1501)+COUNTIF($E$2:E1395,$E1395)-1)</f>
        <v/>
      </c>
      <c r="G1395" s="11" t="str">
        <f>IF($B1395="","",RANK($D1395,$D$2:$D$1501)+COUNTIF($D$2:D1395,$D1395)-1)</f>
        <v/>
      </c>
    </row>
    <row r="1396" spans="1:7">
      <c r="A1396" s="11">
        <v>1395</v>
      </c>
      <c r="B1396" s="11" t="str">
        <f>IFERROR(INDEX('Raw Data'!$R$2:$R$50000,MATCH(1395,'Raw Data'!$W$2:$W$50000,0)),"")</f>
        <v/>
      </c>
      <c r="C1396" s="11" t="str">
        <f t="shared" si="21"/>
        <v/>
      </c>
      <c r="D1396" s="11" t="str">
        <f>IF($B1396="","",COUNTIFS('Raw Data'!$R$2:$R$50000,$B1396))</f>
        <v/>
      </c>
      <c r="E1396" s="11" t="str">
        <f>IF($B1396="","",SUMIFS('Raw Data'!$I$2:$I$50000,'Raw Data'!$R$2:$R$50000,$B1396))</f>
        <v/>
      </c>
      <c r="F1396" s="11" t="str">
        <f>IF($B1396="","",RANK($E1396,$E$2:$E$1501)+COUNTIF($E$2:E1396,$E1396)-1)</f>
        <v/>
      </c>
      <c r="G1396" s="11" t="str">
        <f>IF($B1396="","",RANK($D1396,$D$2:$D$1501)+COUNTIF($D$2:D1396,$D1396)-1)</f>
        <v/>
      </c>
    </row>
    <row r="1397" spans="1:7">
      <c r="A1397" s="11">
        <v>1396</v>
      </c>
      <c r="B1397" s="11" t="str">
        <f>IFERROR(INDEX('Raw Data'!$R$2:$R$50000,MATCH(1396,'Raw Data'!$W$2:$W$50000,0)),"")</f>
        <v/>
      </c>
      <c r="C1397" s="11" t="str">
        <f t="shared" si="21"/>
        <v/>
      </c>
      <c r="D1397" s="11" t="str">
        <f>IF($B1397="","",COUNTIFS('Raw Data'!$R$2:$R$50000,$B1397))</f>
        <v/>
      </c>
      <c r="E1397" s="11" t="str">
        <f>IF($B1397="","",SUMIFS('Raw Data'!$I$2:$I$50000,'Raw Data'!$R$2:$R$50000,$B1397))</f>
        <v/>
      </c>
      <c r="F1397" s="11" t="str">
        <f>IF($B1397="","",RANK($E1397,$E$2:$E$1501)+COUNTIF($E$2:E1397,$E1397)-1)</f>
        <v/>
      </c>
      <c r="G1397" s="11" t="str">
        <f>IF($B1397="","",RANK($D1397,$D$2:$D$1501)+COUNTIF($D$2:D1397,$D1397)-1)</f>
        <v/>
      </c>
    </row>
    <row r="1398" spans="1:7">
      <c r="A1398" s="11">
        <v>1397</v>
      </c>
      <c r="B1398" s="11" t="str">
        <f>IFERROR(INDEX('Raw Data'!$R$2:$R$50000,MATCH(1397,'Raw Data'!$W$2:$W$50000,0)),"")</f>
        <v/>
      </c>
      <c r="C1398" s="11" t="str">
        <f t="shared" si="21"/>
        <v/>
      </c>
      <c r="D1398" s="11" t="str">
        <f>IF($B1398="","",COUNTIFS('Raw Data'!$R$2:$R$50000,$B1398))</f>
        <v/>
      </c>
      <c r="E1398" s="11" t="str">
        <f>IF($B1398="","",SUMIFS('Raw Data'!$I$2:$I$50000,'Raw Data'!$R$2:$R$50000,$B1398))</f>
        <v/>
      </c>
      <c r="F1398" s="11" t="str">
        <f>IF($B1398="","",RANK($E1398,$E$2:$E$1501)+COUNTIF($E$2:E1398,$E1398)-1)</f>
        <v/>
      </c>
      <c r="G1398" s="11" t="str">
        <f>IF($B1398="","",RANK($D1398,$D$2:$D$1501)+COUNTIF($D$2:D1398,$D1398)-1)</f>
        <v/>
      </c>
    </row>
    <row r="1399" spans="1:7">
      <c r="A1399" s="11">
        <v>1398</v>
      </c>
      <c r="B1399" s="11" t="str">
        <f>IFERROR(INDEX('Raw Data'!$R$2:$R$50000,MATCH(1398,'Raw Data'!$W$2:$W$50000,0)),"")</f>
        <v/>
      </c>
      <c r="C1399" s="11" t="str">
        <f t="shared" si="21"/>
        <v/>
      </c>
      <c r="D1399" s="11" t="str">
        <f>IF($B1399="","",COUNTIFS('Raw Data'!$R$2:$R$50000,$B1399))</f>
        <v/>
      </c>
      <c r="E1399" s="11" t="str">
        <f>IF($B1399="","",SUMIFS('Raw Data'!$I$2:$I$50000,'Raw Data'!$R$2:$R$50000,$B1399))</f>
        <v/>
      </c>
      <c r="F1399" s="11" t="str">
        <f>IF($B1399="","",RANK($E1399,$E$2:$E$1501)+COUNTIF($E$2:E1399,$E1399)-1)</f>
        <v/>
      </c>
      <c r="G1399" s="11" t="str">
        <f>IF($B1399="","",RANK($D1399,$D$2:$D$1501)+COUNTIF($D$2:D1399,$D1399)-1)</f>
        <v/>
      </c>
    </row>
    <row r="1400" spans="1:7">
      <c r="A1400" s="11">
        <v>1399</v>
      </c>
      <c r="B1400" s="11" t="str">
        <f>IFERROR(INDEX('Raw Data'!$R$2:$R$50000,MATCH(1399,'Raw Data'!$W$2:$W$50000,0)),"")</f>
        <v/>
      </c>
      <c r="C1400" s="11" t="str">
        <f t="shared" si="21"/>
        <v/>
      </c>
      <c r="D1400" s="11" t="str">
        <f>IF($B1400="","",COUNTIFS('Raw Data'!$R$2:$R$50000,$B1400))</f>
        <v/>
      </c>
      <c r="E1400" s="11" t="str">
        <f>IF($B1400="","",SUMIFS('Raw Data'!$I$2:$I$50000,'Raw Data'!$R$2:$R$50000,$B1400))</f>
        <v/>
      </c>
      <c r="F1400" s="11" t="str">
        <f>IF($B1400="","",RANK($E1400,$E$2:$E$1501)+COUNTIF($E$2:E1400,$E1400)-1)</f>
        <v/>
      </c>
      <c r="G1400" s="11" t="str">
        <f>IF($B1400="","",RANK($D1400,$D$2:$D$1501)+COUNTIF($D$2:D1400,$D1400)-1)</f>
        <v/>
      </c>
    </row>
    <row r="1401" spans="1:7">
      <c r="A1401" s="11">
        <v>1400</v>
      </c>
      <c r="B1401" s="11" t="str">
        <f>IFERROR(INDEX('Raw Data'!$R$2:$R$50000,MATCH(1400,'Raw Data'!$W$2:$W$50000,0)),"")</f>
        <v/>
      </c>
      <c r="C1401" s="11" t="str">
        <f t="shared" si="21"/>
        <v/>
      </c>
      <c r="D1401" s="11" t="str">
        <f>IF($B1401="","",COUNTIFS('Raw Data'!$R$2:$R$50000,$B1401))</f>
        <v/>
      </c>
      <c r="E1401" s="11" t="str">
        <f>IF($B1401="","",SUMIFS('Raw Data'!$I$2:$I$50000,'Raw Data'!$R$2:$R$50000,$B1401))</f>
        <v/>
      </c>
      <c r="F1401" s="11" t="str">
        <f>IF($B1401="","",RANK($E1401,$E$2:$E$1501)+COUNTIF($E$2:E1401,$E1401)-1)</f>
        <v/>
      </c>
      <c r="G1401" s="11" t="str">
        <f>IF($B1401="","",RANK($D1401,$D$2:$D$1501)+COUNTIF($D$2:D1401,$D1401)-1)</f>
        <v/>
      </c>
    </row>
    <row r="1402" spans="1:7">
      <c r="A1402" s="11">
        <v>1401</v>
      </c>
      <c r="B1402" s="11" t="str">
        <f>IFERROR(INDEX('Raw Data'!$R$2:$R$50000,MATCH(1401,'Raw Data'!$W$2:$W$50000,0)),"")</f>
        <v/>
      </c>
      <c r="C1402" s="11" t="str">
        <f t="shared" si="21"/>
        <v/>
      </c>
      <c r="D1402" s="11" t="str">
        <f>IF($B1402="","",COUNTIFS('Raw Data'!$R$2:$R$50000,$B1402))</f>
        <v/>
      </c>
      <c r="E1402" s="11" t="str">
        <f>IF($B1402="","",SUMIFS('Raw Data'!$I$2:$I$50000,'Raw Data'!$R$2:$R$50000,$B1402))</f>
        <v/>
      </c>
      <c r="F1402" s="11" t="str">
        <f>IF($B1402="","",RANK($E1402,$E$2:$E$1501)+COUNTIF($E$2:E1402,$E1402)-1)</f>
        <v/>
      </c>
      <c r="G1402" s="11" t="str">
        <f>IF($B1402="","",RANK($D1402,$D$2:$D$1501)+COUNTIF($D$2:D1402,$D1402)-1)</f>
        <v/>
      </c>
    </row>
    <row r="1403" spans="1:7">
      <c r="A1403" s="11">
        <v>1402</v>
      </c>
      <c r="B1403" s="11" t="str">
        <f>IFERROR(INDEX('Raw Data'!$R$2:$R$50000,MATCH(1402,'Raw Data'!$W$2:$W$50000,0)),"")</f>
        <v/>
      </c>
      <c r="C1403" s="11" t="str">
        <f t="shared" si="21"/>
        <v/>
      </c>
      <c r="D1403" s="11" t="str">
        <f>IF($B1403="","",COUNTIFS('Raw Data'!$R$2:$R$50000,$B1403))</f>
        <v/>
      </c>
      <c r="E1403" s="11" t="str">
        <f>IF($B1403="","",SUMIFS('Raw Data'!$I$2:$I$50000,'Raw Data'!$R$2:$R$50000,$B1403))</f>
        <v/>
      </c>
      <c r="F1403" s="11" t="str">
        <f>IF($B1403="","",RANK($E1403,$E$2:$E$1501)+COUNTIF($E$2:E1403,$E1403)-1)</f>
        <v/>
      </c>
      <c r="G1403" s="11" t="str">
        <f>IF($B1403="","",RANK($D1403,$D$2:$D$1501)+COUNTIF($D$2:D1403,$D1403)-1)</f>
        <v/>
      </c>
    </row>
    <row r="1404" spans="1:7">
      <c r="A1404" s="11">
        <v>1403</v>
      </c>
      <c r="B1404" s="11" t="str">
        <f>IFERROR(INDEX('Raw Data'!$R$2:$R$50000,MATCH(1403,'Raw Data'!$W$2:$W$50000,0)),"")</f>
        <v/>
      </c>
      <c r="C1404" s="11" t="str">
        <f t="shared" si="21"/>
        <v/>
      </c>
      <c r="D1404" s="11" t="str">
        <f>IF($B1404="","",COUNTIFS('Raw Data'!$R$2:$R$50000,$B1404))</f>
        <v/>
      </c>
      <c r="E1404" s="11" t="str">
        <f>IF($B1404="","",SUMIFS('Raw Data'!$I$2:$I$50000,'Raw Data'!$R$2:$R$50000,$B1404))</f>
        <v/>
      </c>
      <c r="F1404" s="11" t="str">
        <f>IF($B1404="","",RANK($E1404,$E$2:$E$1501)+COUNTIF($E$2:E1404,$E1404)-1)</f>
        <v/>
      </c>
      <c r="G1404" s="11" t="str">
        <f>IF($B1404="","",RANK($D1404,$D$2:$D$1501)+COUNTIF($D$2:D1404,$D1404)-1)</f>
        <v/>
      </c>
    </row>
    <row r="1405" spans="1:7">
      <c r="A1405" s="11">
        <v>1404</v>
      </c>
      <c r="B1405" s="11" t="str">
        <f>IFERROR(INDEX('Raw Data'!$R$2:$R$50000,MATCH(1404,'Raw Data'!$W$2:$W$50000,0)),"")</f>
        <v/>
      </c>
      <c r="C1405" s="11" t="str">
        <f t="shared" si="21"/>
        <v/>
      </c>
      <c r="D1405" s="11" t="str">
        <f>IF($B1405="","",COUNTIFS('Raw Data'!$R$2:$R$50000,$B1405))</f>
        <v/>
      </c>
      <c r="E1405" s="11" t="str">
        <f>IF($B1405="","",SUMIFS('Raw Data'!$I$2:$I$50000,'Raw Data'!$R$2:$R$50000,$B1405))</f>
        <v/>
      </c>
      <c r="F1405" s="11" t="str">
        <f>IF($B1405="","",RANK($E1405,$E$2:$E$1501)+COUNTIF($E$2:E1405,$E1405)-1)</f>
        <v/>
      </c>
      <c r="G1405" s="11" t="str">
        <f>IF($B1405="","",RANK($D1405,$D$2:$D$1501)+COUNTIF($D$2:D1405,$D1405)-1)</f>
        <v/>
      </c>
    </row>
    <row r="1406" spans="1:7">
      <c r="A1406" s="11">
        <v>1405</v>
      </c>
      <c r="B1406" s="11" t="str">
        <f>IFERROR(INDEX('Raw Data'!$R$2:$R$50000,MATCH(1405,'Raw Data'!$W$2:$W$50000,0)),"")</f>
        <v/>
      </c>
      <c r="C1406" s="11" t="str">
        <f t="shared" si="21"/>
        <v/>
      </c>
      <c r="D1406" s="11" t="str">
        <f>IF($B1406="","",COUNTIFS('Raw Data'!$R$2:$R$50000,$B1406))</f>
        <v/>
      </c>
      <c r="E1406" s="11" t="str">
        <f>IF($B1406="","",SUMIFS('Raw Data'!$I$2:$I$50000,'Raw Data'!$R$2:$R$50000,$B1406))</f>
        <v/>
      </c>
      <c r="F1406" s="11" t="str">
        <f>IF($B1406="","",RANK($E1406,$E$2:$E$1501)+COUNTIF($E$2:E1406,$E1406)-1)</f>
        <v/>
      </c>
      <c r="G1406" s="11" t="str">
        <f>IF($B1406="","",RANK($D1406,$D$2:$D$1501)+COUNTIF($D$2:D1406,$D1406)-1)</f>
        <v/>
      </c>
    </row>
    <row r="1407" spans="1:7">
      <c r="A1407" s="11">
        <v>1406</v>
      </c>
      <c r="B1407" s="11" t="str">
        <f>IFERROR(INDEX('Raw Data'!$R$2:$R$50000,MATCH(1406,'Raw Data'!$W$2:$W$50000,0)),"")</f>
        <v/>
      </c>
      <c r="C1407" s="11" t="str">
        <f t="shared" si="21"/>
        <v/>
      </c>
      <c r="D1407" s="11" t="str">
        <f>IF($B1407="","",COUNTIFS('Raw Data'!$R$2:$R$50000,$B1407))</f>
        <v/>
      </c>
      <c r="E1407" s="11" t="str">
        <f>IF($B1407="","",SUMIFS('Raw Data'!$I$2:$I$50000,'Raw Data'!$R$2:$R$50000,$B1407))</f>
        <v/>
      </c>
      <c r="F1407" s="11" t="str">
        <f>IF($B1407="","",RANK($E1407,$E$2:$E$1501)+COUNTIF($E$2:E1407,$E1407)-1)</f>
        <v/>
      </c>
      <c r="G1407" s="11" t="str">
        <f>IF($B1407="","",RANK($D1407,$D$2:$D$1501)+COUNTIF($D$2:D1407,$D1407)-1)</f>
        <v/>
      </c>
    </row>
    <row r="1408" spans="1:7">
      <c r="A1408" s="11">
        <v>1407</v>
      </c>
      <c r="B1408" s="11" t="str">
        <f>IFERROR(INDEX('Raw Data'!$R$2:$R$50000,MATCH(1407,'Raw Data'!$W$2:$W$50000,0)),"")</f>
        <v/>
      </c>
      <c r="C1408" s="11" t="str">
        <f t="shared" si="21"/>
        <v/>
      </c>
      <c r="D1408" s="11" t="str">
        <f>IF($B1408="","",COUNTIFS('Raw Data'!$R$2:$R$50000,$B1408))</f>
        <v/>
      </c>
      <c r="E1408" s="11" t="str">
        <f>IF($B1408="","",SUMIFS('Raw Data'!$I$2:$I$50000,'Raw Data'!$R$2:$R$50000,$B1408))</f>
        <v/>
      </c>
      <c r="F1408" s="11" t="str">
        <f>IF($B1408="","",RANK($E1408,$E$2:$E$1501)+COUNTIF($E$2:E1408,$E1408)-1)</f>
        <v/>
      </c>
      <c r="G1408" s="11" t="str">
        <f>IF($B1408="","",RANK($D1408,$D$2:$D$1501)+COUNTIF($D$2:D1408,$D1408)-1)</f>
        <v/>
      </c>
    </row>
    <row r="1409" spans="1:7">
      <c r="A1409" s="11">
        <v>1408</v>
      </c>
      <c r="B1409" s="11" t="str">
        <f>IFERROR(INDEX('Raw Data'!$R$2:$R$50000,MATCH(1408,'Raw Data'!$W$2:$W$50000,0)),"")</f>
        <v/>
      </c>
      <c r="C1409" s="11" t="str">
        <f t="shared" si="21"/>
        <v/>
      </c>
      <c r="D1409" s="11" t="str">
        <f>IF($B1409="","",COUNTIFS('Raw Data'!$R$2:$R$50000,$B1409))</f>
        <v/>
      </c>
      <c r="E1409" s="11" t="str">
        <f>IF($B1409="","",SUMIFS('Raw Data'!$I$2:$I$50000,'Raw Data'!$R$2:$R$50000,$B1409))</f>
        <v/>
      </c>
      <c r="F1409" s="11" t="str">
        <f>IF($B1409="","",RANK($E1409,$E$2:$E$1501)+COUNTIF($E$2:E1409,$E1409)-1)</f>
        <v/>
      </c>
      <c r="G1409" s="11" t="str">
        <f>IF($B1409="","",RANK($D1409,$D$2:$D$1501)+COUNTIF($D$2:D1409,$D1409)-1)</f>
        <v/>
      </c>
    </row>
    <row r="1410" spans="1:7">
      <c r="A1410" s="11">
        <v>1409</v>
      </c>
      <c r="B1410" s="11" t="str">
        <f>IFERROR(INDEX('Raw Data'!$R$2:$R$50000,MATCH(1409,'Raw Data'!$W$2:$W$50000,0)),"")</f>
        <v/>
      </c>
      <c r="C1410" s="11" t="str">
        <f t="shared" ref="C1410:C1473" si="22">IF($B1410="","",$B1410)</f>
        <v/>
      </c>
      <c r="D1410" s="11" t="str">
        <f>IF($B1410="","",COUNTIFS('Raw Data'!$R$2:$R$50000,$B1410))</f>
        <v/>
      </c>
      <c r="E1410" s="11" t="str">
        <f>IF($B1410="","",SUMIFS('Raw Data'!$I$2:$I$50000,'Raw Data'!$R$2:$R$50000,$B1410))</f>
        <v/>
      </c>
      <c r="F1410" s="11" t="str">
        <f>IF($B1410="","",RANK($E1410,$E$2:$E$1501)+COUNTIF($E$2:E1410,$E1410)-1)</f>
        <v/>
      </c>
      <c r="G1410" s="11" t="str">
        <f>IF($B1410="","",RANK($D1410,$D$2:$D$1501)+COUNTIF($D$2:D1410,$D1410)-1)</f>
        <v/>
      </c>
    </row>
    <row r="1411" spans="1:7">
      <c r="A1411" s="11">
        <v>1410</v>
      </c>
      <c r="B1411" s="11" t="str">
        <f>IFERROR(INDEX('Raw Data'!$R$2:$R$50000,MATCH(1410,'Raw Data'!$W$2:$W$50000,0)),"")</f>
        <v/>
      </c>
      <c r="C1411" s="11" t="str">
        <f t="shared" si="22"/>
        <v/>
      </c>
      <c r="D1411" s="11" t="str">
        <f>IF($B1411="","",COUNTIFS('Raw Data'!$R$2:$R$50000,$B1411))</f>
        <v/>
      </c>
      <c r="E1411" s="11" t="str">
        <f>IF($B1411="","",SUMIFS('Raw Data'!$I$2:$I$50000,'Raw Data'!$R$2:$R$50000,$B1411))</f>
        <v/>
      </c>
      <c r="F1411" s="11" t="str">
        <f>IF($B1411="","",RANK($E1411,$E$2:$E$1501)+COUNTIF($E$2:E1411,$E1411)-1)</f>
        <v/>
      </c>
      <c r="G1411" s="11" t="str">
        <f>IF($B1411="","",RANK($D1411,$D$2:$D$1501)+COUNTIF($D$2:D1411,$D1411)-1)</f>
        <v/>
      </c>
    </row>
    <row r="1412" spans="1:7">
      <c r="A1412" s="11">
        <v>1411</v>
      </c>
      <c r="B1412" s="11" t="str">
        <f>IFERROR(INDEX('Raw Data'!$R$2:$R$50000,MATCH(1411,'Raw Data'!$W$2:$W$50000,0)),"")</f>
        <v/>
      </c>
      <c r="C1412" s="11" t="str">
        <f t="shared" si="22"/>
        <v/>
      </c>
      <c r="D1412" s="11" t="str">
        <f>IF($B1412="","",COUNTIFS('Raw Data'!$R$2:$R$50000,$B1412))</f>
        <v/>
      </c>
      <c r="E1412" s="11" t="str">
        <f>IF($B1412="","",SUMIFS('Raw Data'!$I$2:$I$50000,'Raw Data'!$R$2:$R$50000,$B1412))</f>
        <v/>
      </c>
      <c r="F1412" s="11" t="str">
        <f>IF($B1412="","",RANK($E1412,$E$2:$E$1501)+COUNTIF($E$2:E1412,$E1412)-1)</f>
        <v/>
      </c>
      <c r="G1412" s="11" t="str">
        <f>IF($B1412="","",RANK($D1412,$D$2:$D$1501)+COUNTIF($D$2:D1412,$D1412)-1)</f>
        <v/>
      </c>
    </row>
    <row r="1413" spans="1:7">
      <c r="A1413" s="11">
        <v>1412</v>
      </c>
      <c r="B1413" s="11" t="str">
        <f>IFERROR(INDEX('Raw Data'!$R$2:$R$50000,MATCH(1412,'Raw Data'!$W$2:$W$50000,0)),"")</f>
        <v/>
      </c>
      <c r="C1413" s="11" t="str">
        <f t="shared" si="22"/>
        <v/>
      </c>
      <c r="D1413" s="11" t="str">
        <f>IF($B1413="","",COUNTIFS('Raw Data'!$R$2:$R$50000,$B1413))</f>
        <v/>
      </c>
      <c r="E1413" s="11" t="str">
        <f>IF($B1413="","",SUMIFS('Raw Data'!$I$2:$I$50000,'Raw Data'!$R$2:$R$50000,$B1413))</f>
        <v/>
      </c>
      <c r="F1413" s="11" t="str">
        <f>IF($B1413="","",RANK($E1413,$E$2:$E$1501)+COUNTIF($E$2:E1413,$E1413)-1)</f>
        <v/>
      </c>
      <c r="G1413" s="11" t="str">
        <f>IF($B1413="","",RANK($D1413,$D$2:$D$1501)+COUNTIF($D$2:D1413,$D1413)-1)</f>
        <v/>
      </c>
    </row>
    <row r="1414" spans="1:7">
      <c r="A1414" s="11">
        <v>1413</v>
      </c>
      <c r="B1414" s="11" t="str">
        <f>IFERROR(INDEX('Raw Data'!$R$2:$R$50000,MATCH(1413,'Raw Data'!$W$2:$W$50000,0)),"")</f>
        <v/>
      </c>
      <c r="C1414" s="11" t="str">
        <f t="shared" si="22"/>
        <v/>
      </c>
      <c r="D1414" s="11" t="str">
        <f>IF($B1414="","",COUNTIFS('Raw Data'!$R$2:$R$50000,$B1414))</f>
        <v/>
      </c>
      <c r="E1414" s="11" t="str">
        <f>IF($B1414="","",SUMIFS('Raw Data'!$I$2:$I$50000,'Raw Data'!$R$2:$R$50000,$B1414))</f>
        <v/>
      </c>
      <c r="F1414" s="11" t="str">
        <f>IF($B1414="","",RANK($E1414,$E$2:$E$1501)+COUNTIF($E$2:E1414,$E1414)-1)</f>
        <v/>
      </c>
      <c r="G1414" s="11" t="str">
        <f>IF($B1414="","",RANK($D1414,$D$2:$D$1501)+COUNTIF($D$2:D1414,$D1414)-1)</f>
        <v/>
      </c>
    </row>
    <row r="1415" spans="1:7">
      <c r="A1415" s="11">
        <v>1414</v>
      </c>
      <c r="B1415" s="11" t="str">
        <f>IFERROR(INDEX('Raw Data'!$R$2:$R$50000,MATCH(1414,'Raw Data'!$W$2:$W$50000,0)),"")</f>
        <v/>
      </c>
      <c r="C1415" s="11" t="str">
        <f t="shared" si="22"/>
        <v/>
      </c>
      <c r="D1415" s="11" t="str">
        <f>IF($B1415="","",COUNTIFS('Raw Data'!$R$2:$R$50000,$B1415))</f>
        <v/>
      </c>
      <c r="E1415" s="11" t="str">
        <f>IF($B1415="","",SUMIFS('Raw Data'!$I$2:$I$50000,'Raw Data'!$R$2:$R$50000,$B1415))</f>
        <v/>
      </c>
      <c r="F1415" s="11" t="str">
        <f>IF($B1415="","",RANK($E1415,$E$2:$E$1501)+COUNTIF($E$2:E1415,$E1415)-1)</f>
        <v/>
      </c>
      <c r="G1415" s="11" t="str">
        <f>IF($B1415="","",RANK($D1415,$D$2:$D$1501)+COUNTIF($D$2:D1415,$D1415)-1)</f>
        <v/>
      </c>
    </row>
    <row r="1416" spans="1:7">
      <c r="A1416" s="11">
        <v>1415</v>
      </c>
      <c r="B1416" s="11" t="str">
        <f>IFERROR(INDEX('Raw Data'!$R$2:$R$50000,MATCH(1415,'Raw Data'!$W$2:$W$50000,0)),"")</f>
        <v/>
      </c>
      <c r="C1416" s="11" t="str">
        <f t="shared" si="22"/>
        <v/>
      </c>
      <c r="D1416" s="11" t="str">
        <f>IF($B1416="","",COUNTIFS('Raw Data'!$R$2:$R$50000,$B1416))</f>
        <v/>
      </c>
      <c r="E1416" s="11" t="str">
        <f>IF($B1416="","",SUMIFS('Raw Data'!$I$2:$I$50000,'Raw Data'!$R$2:$R$50000,$B1416))</f>
        <v/>
      </c>
      <c r="F1416" s="11" t="str">
        <f>IF($B1416="","",RANK($E1416,$E$2:$E$1501)+COUNTIF($E$2:E1416,$E1416)-1)</f>
        <v/>
      </c>
      <c r="G1416" s="11" t="str">
        <f>IF($B1416="","",RANK($D1416,$D$2:$D$1501)+COUNTIF($D$2:D1416,$D1416)-1)</f>
        <v/>
      </c>
    </row>
    <row r="1417" spans="1:7">
      <c r="A1417" s="11">
        <v>1416</v>
      </c>
      <c r="B1417" s="11" t="str">
        <f>IFERROR(INDEX('Raw Data'!$R$2:$R$50000,MATCH(1416,'Raw Data'!$W$2:$W$50000,0)),"")</f>
        <v/>
      </c>
      <c r="C1417" s="11" t="str">
        <f t="shared" si="22"/>
        <v/>
      </c>
      <c r="D1417" s="11" t="str">
        <f>IF($B1417="","",COUNTIFS('Raw Data'!$R$2:$R$50000,$B1417))</f>
        <v/>
      </c>
      <c r="E1417" s="11" t="str">
        <f>IF($B1417="","",SUMIFS('Raw Data'!$I$2:$I$50000,'Raw Data'!$R$2:$R$50000,$B1417))</f>
        <v/>
      </c>
      <c r="F1417" s="11" t="str">
        <f>IF($B1417="","",RANK($E1417,$E$2:$E$1501)+COUNTIF($E$2:E1417,$E1417)-1)</f>
        <v/>
      </c>
      <c r="G1417" s="11" t="str">
        <f>IF($B1417="","",RANK($D1417,$D$2:$D$1501)+COUNTIF($D$2:D1417,$D1417)-1)</f>
        <v/>
      </c>
    </row>
    <row r="1418" spans="1:7">
      <c r="A1418" s="11">
        <v>1417</v>
      </c>
      <c r="B1418" s="11" t="str">
        <f>IFERROR(INDEX('Raw Data'!$R$2:$R$50000,MATCH(1417,'Raw Data'!$W$2:$W$50000,0)),"")</f>
        <v/>
      </c>
      <c r="C1418" s="11" t="str">
        <f t="shared" si="22"/>
        <v/>
      </c>
      <c r="D1418" s="11" t="str">
        <f>IF($B1418="","",COUNTIFS('Raw Data'!$R$2:$R$50000,$B1418))</f>
        <v/>
      </c>
      <c r="E1418" s="11" t="str">
        <f>IF($B1418="","",SUMIFS('Raw Data'!$I$2:$I$50000,'Raw Data'!$R$2:$R$50000,$B1418))</f>
        <v/>
      </c>
      <c r="F1418" s="11" t="str">
        <f>IF($B1418="","",RANK($E1418,$E$2:$E$1501)+COUNTIF($E$2:E1418,$E1418)-1)</f>
        <v/>
      </c>
      <c r="G1418" s="11" t="str">
        <f>IF($B1418="","",RANK($D1418,$D$2:$D$1501)+COUNTIF($D$2:D1418,$D1418)-1)</f>
        <v/>
      </c>
    </row>
    <row r="1419" spans="1:7">
      <c r="A1419" s="11">
        <v>1418</v>
      </c>
      <c r="B1419" s="11" t="str">
        <f>IFERROR(INDEX('Raw Data'!$R$2:$R$50000,MATCH(1418,'Raw Data'!$W$2:$W$50000,0)),"")</f>
        <v/>
      </c>
      <c r="C1419" s="11" t="str">
        <f t="shared" si="22"/>
        <v/>
      </c>
      <c r="D1419" s="11" t="str">
        <f>IF($B1419="","",COUNTIFS('Raw Data'!$R$2:$R$50000,$B1419))</f>
        <v/>
      </c>
      <c r="E1419" s="11" t="str">
        <f>IF($B1419="","",SUMIFS('Raw Data'!$I$2:$I$50000,'Raw Data'!$R$2:$R$50000,$B1419))</f>
        <v/>
      </c>
      <c r="F1419" s="11" t="str">
        <f>IF($B1419="","",RANK($E1419,$E$2:$E$1501)+COUNTIF($E$2:E1419,$E1419)-1)</f>
        <v/>
      </c>
      <c r="G1419" s="11" t="str">
        <f>IF($B1419="","",RANK($D1419,$D$2:$D$1501)+COUNTIF($D$2:D1419,$D1419)-1)</f>
        <v/>
      </c>
    </row>
    <row r="1420" spans="1:7">
      <c r="A1420" s="11">
        <v>1419</v>
      </c>
      <c r="B1420" s="11" t="str">
        <f>IFERROR(INDEX('Raw Data'!$R$2:$R$50000,MATCH(1419,'Raw Data'!$W$2:$W$50000,0)),"")</f>
        <v/>
      </c>
      <c r="C1420" s="11" t="str">
        <f t="shared" si="22"/>
        <v/>
      </c>
      <c r="D1420" s="11" t="str">
        <f>IF($B1420="","",COUNTIFS('Raw Data'!$R$2:$R$50000,$B1420))</f>
        <v/>
      </c>
      <c r="E1420" s="11" t="str">
        <f>IF($B1420="","",SUMIFS('Raw Data'!$I$2:$I$50000,'Raw Data'!$R$2:$R$50000,$B1420))</f>
        <v/>
      </c>
      <c r="F1420" s="11" t="str">
        <f>IF($B1420="","",RANK($E1420,$E$2:$E$1501)+COUNTIF($E$2:E1420,$E1420)-1)</f>
        <v/>
      </c>
      <c r="G1420" s="11" t="str">
        <f>IF($B1420="","",RANK($D1420,$D$2:$D$1501)+COUNTIF($D$2:D1420,$D1420)-1)</f>
        <v/>
      </c>
    </row>
    <row r="1421" spans="1:7">
      <c r="A1421" s="11">
        <v>1420</v>
      </c>
      <c r="B1421" s="11" t="str">
        <f>IFERROR(INDEX('Raw Data'!$R$2:$R$50000,MATCH(1420,'Raw Data'!$W$2:$W$50000,0)),"")</f>
        <v/>
      </c>
      <c r="C1421" s="11" t="str">
        <f t="shared" si="22"/>
        <v/>
      </c>
      <c r="D1421" s="11" t="str">
        <f>IF($B1421="","",COUNTIFS('Raw Data'!$R$2:$R$50000,$B1421))</f>
        <v/>
      </c>
      <c r="E1421" s="11" t="str">
        <f>IF($B1421="","",SUMIFS('Raw Data'!$I$2:$I$50000,'Raw Data'!$R$2:$R$50000,$B1421))</f>
        <v/>
      </c>
      <c r="F1421" s="11" t="str">
        <f>IF($B1421="","",RANK($E1421,$E$2:$E$1501)+COUNTIF($E$2:E1421,$E1421)-1)</f>
        <v/>
      </c>
      <c r="G1421" s="11" t="str">
        <f>IF($B1421="","",RANK($D1421,$D$2:$D$1501)+COUNTIF($D$2:D1421,$D1421)-1)</f>
        <v/>
      </c>
    </row>
    <row r="1422" spans="1:7">
      <c r="A1422" s="11">
        <v>1421</v>
      </c>
      <c r="B1422" s="11" t="str">
        <f>IFERROR(INDEX('Raw Data'!$R$2:$R$50000,MATCH(1421,'Raw Data'!$W$2:$W$50000,0)),"")</f>
        <v/>
      </c>
      <c r="C1422" s="11" t="str">
        <f t="shared" si="22"/>
        <v/>
      </c>
      <c r="D1422" s="11" t="str">
        <f>IF($B1422="","",COUNTIFS('Raw Data'!$R$2:$R$50000,$B1422))</f>
        <v/>
      </c>
      <c r="E1422" s="11" t="str">
        <f>IF($B1422="","",SUMIFS('Raw Data'!$I$2:$I$50000,'Raw Data'!$R$2:$R$50000,$B1422))</f>
        <v/>
      </c>
      <c r="F1422" s="11" t="str">
        <f>IF($B1422="","",RANK($E1422,$E$2:$E$1501)+COUNTIF($E$2:E1422,$E1422)-1)</f>
        <v/>
      </c>
      <c r="G1422" s="11" t="str">
        <f>IF($B1422="","",RANK($D1422,$D$2:$D$1501)+COUNTIF($D$2:D1422,$D1422)-1)</f>
        <v/>
      </c>
    </row>
    <row r="1423" spans="1:7">
      <c r="A1423" s="11">
        <v>1422</v>
      </c>
      <c r="B1423" s="11" t="str">
        <f>IFERROR(INDEX('Raw Data'!$R$2:$R$50000,MATCH(1422,'Raw Data'!$W$2:$W$50000,0)),"")</f>
        <v/>
      </c>
      <c r="C1423" s="11" t="str">
        <f t="shared" si="22"/>
        <v/>
      </c>
      <c r="D1423" s="11" t="str">
        <f>IF($B1423="","",COUNTIFS('Raw Data'!$R$2:$R$50000,$B1423))</f>
        <v/>
      </c>
      <c r="E1423" s="11" t="str">
        <f>IF($B1423="","",SUMIFS('Raw Data'!$I$2:$I$50000,'Raw Data'!$R$2:$R$50000,$B1423))</f>
        <v/>
      </c>
      <c r="F1423" s="11" t="str">
        <f>IF($B1423="","",RANK($E1423,$E$2:$E$1501)+COUNTIF($E$2:E1423,$E1423)-1)</f>
        <v/>
      </c>
      <c r="G1423" s="11" t="str">
        <f>IF($B1423="","",RANK($D1423,$D$2:$D$1501)+COUNTIF($D$2:D1423,$D1423)-1)</f>
        <v/>
      </c>
    </row>
    <row r="1424" spans="1:7">
      <c r="A1424" s="11">
        <v>1423</v>
      </c>
      <c r="B1424" s="11" t="str">
        <f>IFERROR(INDEX('Raw Data'!$R$2:$R$50000,MATCH(1423,'Raw Data'!$W$2:$W$50000,0)),"")</f>
        <v/>
      </c>
      <c r="C1424" s="11" t="str">
        <f t="shared" si="22"/>
        <v/>
      </c>
      <c r="D1424" s="11" t="str">
        <f>IF($B1424="","",COUNTIFS('Raw Data'!$R$2:$R$50000,$B1424))</f>
        <v/>
      </c>
      <c r="E1424" s="11" t="str">
        <f>IF($B1424="","",SUMIFS('Raw Data'!$I$2:$I$50000,'Raw Data'!$R$2:$R$50000,$B1424))</f>
        <v/>
      </c>
      <c r="F1424" s="11" t="str">
        <f>IF($B1424="","",RANK($E1424,$E$2:$E$1501)+COUNTIF($E$2:E1424,$E1424)-1)</f>
        <v/>
      </c>
      <c r="G1424" s="11" t="str">
        <f>IF($B1424="","",RANK($D1424,$D$2:$D$1501)+COUNTIF($D$2:D1424,$D1424)-1)</f>
        <v/>
      </c>
    </row>
    <row r="1425" spans="1:7">
      <c r="A1425" s="11">
        <v>1424</v>
      </c>
      <c r="B1425" s="11" t="str">
        <f>IFERROR(INDEX('Raw Data'!$R$2:$R$50000,MATCH(1424,'Raw Data'!$W$2:$W$50000,0)),"")</f>
        <v/>
      </c>
      <c r="C1425" s="11" t="str">
        <f t="shared" si="22"/>
        <v/>
      </c>
      <c r="D1425" s="11" t="str">
        <f>IF($B1425="","",COUNTIFS('Raw Data'!$R$2:$R$50000,$B1425))</f>
        <v/>
      </c>
      <c r="E1425" s="11" t="str">
        <f>IF($B1425="","",SUMIFS('Raw Data'!$I$2:$I$50000,'Raw Data'!$R$2:$R$50000,$B1425))</f>
        <v/>
      </c>
      <c r="F1425" s="11" t="str">
        <f>IF($B1425="","",RANK($E1425,$E$2:$E$1501)+COUNTIF($E$2:E1425,$E1425)-1)</f>
        <v/>
      </c>
      <c r="G1425" s="11" t="str">
        <f>IF($B1425="","",RANK($D1425,$D$2:$D$1501)+COUNTIF($D$2:D1425,$D1425)-1)</f>
        <v/>
      </c>
    </row>
    <row r="1426" spans="1:7">
      <c r="A1426" s="11">
        <v>1425</v>
      </c>
      <c r="B1426" s="11" t="str">
        <f>IFERROR(INDEX('Raw Data'!$R$2:$R$50000,MATCH(1425,'Raw Data'!$W$2:$W$50000,0)),"")</f>
        <v/>
      </c>
      <c r="C1426" s="11" t="str">
        <f t="shared" si="22"/>
        <v/>
      </c>
      <c r="D1426" s="11" t="str">
        <f>IF($B1426="","",COUNTIFS('Raw Data'!$R$2:$R$50000,$B1426))</f>
        <v/>
      </c>
      <c r="E1426" s="11" t="str">
        <f>IF($B1426="","",SUMIFS('Raw Data'!$I$2:$I$50000,'Raw Data'!$R$2:$R$50000,$B1426))</f>
        <v/>
      </c>
      <c r="F1426" s="11" t="str">
        <f>IF($B1426="","",RANK($E1426,$E$2:$E$1501)+COUNTIF($E$2:E1426,$E1426)-1)</f>
        <v/>
      </c>
      <c r="G1426" s="11" t="str">
        <f>IF($B1426="","",RANK($D1426,$D$2:$D$1501)+COUNTIF($D$2:D1426,$D1426)-1)</f>
        <v/>
      </c>
    </row>
    <row r="1427" spans="1:7">
      <c r="A1427" s="11">
        <v>1426</v>
      </c>
      <c r="B1427" s="11" t="str">
        <f>IFERROR(INDEX('Raw Data'!$R$2:$R$50000,MATCH(1426,'Raw Data'!$W$2:$W$50000,0)),"")</f>
        <v/>
      </c>
      <c r="C1427" s="11" t="str">
        <f t="shared" si="22"/>
        <v/>
      </c>
      <c r="D1427" s="11" t="str">
        <f>IF($B1427="","",COUNTIFS('Raw Data'!$R$2:$R$50000,$B1427))</f>
        <v/>
      </c>
      <c r="E1427" s="11" t="str">
        <f>IF($B1427="","",SUMIFS('Raw Data'!$I$2:$I$50000,'Raw Data'!$R$2:$R$50000,$B1427))</f>
        <v/>
      </c>
      <c r="F1427" s="11" t="str">
        <f>IF($B1427="","",RANK($E1427,$E$2:$E$1501)+COUNTIF($E$2:E1427,$E1427)-1)</f>
        <v/>
      </c>
      <c r="G1427" s="11" t="str">
        <f>IF($B1427="","",RANK($D1427,$D$2:$D$1501)+COUNTIF($D$2:D1427,$D1427)-1)</f>
        <v/>
      </c>
    </row>
    <row r="1428" spans="1:7">
      <c r="A1428" s="11">
        <v>1427</v>
      </c>
      <c r="B1428" s="11" t="str">
        <f>IFERROR(INDEX('Raw Data'!$R$2:$R$50000,MATCH(1427,'Raw Data'!$W$2:$W$50000,0)),"")</f>
        <v/>
      </c>
      <c r="C1428" s="11" t="str">
        <f t="shared" si="22"/>
        <v/>
      </c>
      <c r="D1428" s="11" t="str">
        <f>IF($B1428="","",COUNTIFS('Raw Data'!$R$2:$R$50000,$B1428))</f>
        <v/>
      </c>
      <c r="E1428" s="11" t="str">
        <f>IF($B1428="","",SUMIFS('Raw Data'!$I$2:$I$50000,'Raw Data'!$R$2:$R$50000,$B1428))</f>
        <v/>
      </c>
      <c r="F1428" s="11" t="str">
        <f>IF($B1428="","",RANK($E1428,$E$2:$E$1501)+COUNTIF($E$2:E1428,$E1428)-1)</f>
        <v/>
      </c>
      <c r="G1428" s="11" t="str">
        <f>IF($B1428="","",RANK($D1428,$D$2:$D$1501)+COUNTIF($D$2:D1428,$D1428)-1)</f>
        <v/>
      </c>
    </row>
    <row r="1429" spans="1:7">
      <c r="A1429" s="11">
        <v>1428</v>
      </c>
      <c r="B1429" s="11" t="str">
        <f>IFERROR(INDEX('Raw Data'!$R$2:$R$50000,MATCH(1428,'Raw Data'!$W$2:$W$50000,0)),"")</f>
        <v/>
      </c>
      <c r="C1429" s="11" t="str">
        <f t="shared" si="22"/>
        <v/>
      </c>
      <c r="D1429" s="11" t="str">
        <f>IF($B1429="","",COUNTIFS('Raw Data'!$R$2:$R$50000,$B1429))</f>
        <v/>
      </c>
      <c r="E1429" s="11" t="str">
        <f>IF($B1429="","",SUMIFS('Raw Data'!$I$2:$I$50000,'Raw Data'!$R$2:$R$50000,$B1429))</f>
        <v/>
      </c>
      <c r="F1429" s="11" t="str">
        <f>IF($B1429="","",RANK($E1429,$E$2:$E$1501)+COUNTIF($E$2:E1429,$E1429)-1)</f>
        <v/>
      </c>
      <c r="G1429" s="11" t="str">
        <f>IF($B1429="","",RANK($D1429,$D$2:$D$1501)+COUNTIF($D$2:D1429,$D1429)-1)</f>
        <v/>
      </c>
    </row>
    <row r="1430" spans="1:7">
      <c r="A1430" s="11">
        <v>1429</v>
      </c>
      <c r="B1430" s="11" t="str">
        <f>IFERROR(INDEX('Raw Data'!$R$2:$R$50000,MATCH(1429,'Raw Data'!$W$2:$W$50000,0)),"")</f>
        <v/>
      </c>
      <c r="C1430" s="11" t="str">
        <f t="shared" si="22"/>
        <v/>
      </c>
      <c r="D1430" s="11" t="str">
        <f>IF($B1430="","",COUNTIFS('Raw Data'!$R$2:$R$50000,$B1430))</f>
        <v/>
      </c>
      <c r="E1430" s="11" t="str">
        <f>IF($B1430="","",SUMIFS('Raw Data'!$I$2:$I$50000,'Raw Data'!$R$2:$R$50000,$B1430))</f>
        <v/>
      </c>
      <c r="F1430" s="11" t="str">
        <f>IF($B1430="","",RANK($E1430,$E$2:$E$1501)+COUNTIF($E$2:E1430,$E1430)-1)</f>
        <v/>
      </c>
      <c r="G1430" s="11" t="str">
        <f>IF($B1430="","",RANK($D1430,$D$2:$D$1501)+COUNTIF($D$2:D1430,$D1430)-1)</f>
        <v/>
      </c>
    </row>
    <row r="1431" spans="1:7">
      <c r="A1431" s="11">
        <v>1430</v>
      </c>
      <c r="B1431" s="11" t="str">
        <f>IFERROR(INDEX('Raw Data'!$R$2:$R$50000,MATCH(1430,'Raw Data'!$W$2:$W$50000,0)),"")</f>
        <v/>
      </c>
      <c r="C1431" s="11" t="str">
        <f t="shared" si="22"/>
        <v/>
      </c>
      <c r="D1431" s="11" t="str">
        <f>IF($B1431="","",COUNTIFS('Raw Data'!$R$2:$R$50000,$B1431))</f>
        <v/>
      </c>
      <c r="E1431" s="11" t="str">
        <f>IF($B1431="","",SUMIFS('Raw Data'!$I$2:$I$50000,'Raw Data'!$R$2:$R$50000,$B1431))</f>
        <v/>
      </c>
      <c r="F1431" s="11" t="str">
        <f>IF($B1431="","",RANK($E1431,$E$2:$E$1501)+COUNTIF($E$2:E1431,$E1431)-1)</f>
        <v/>
      </c>
      <c r="G1431" s="11" t="str">
        <f>IF($B1431="","",RANK($D1431,$D$2:$D$1501)+COUNTIF($D$2:D1431,$D1431)-1)</f>
        <v/>
      </c>
    </row>
    <row r="1432" spans="1:7">
      <c r="A1432" s="11">
        <v>1431</v>
      </c>
      <c r="B1432" s="11" t="str">
        <f>IFERROR(INDEX('Raw Data'!$R$2:$R$50000,MATCH(1431,'Raw Data'!$W$2:$W$50000,0)),"")</f>
        <v/>
      </c>
      <c r="C1432" s="11" t="str">
        <f t="shared" si="22"/>
        <v/>
      </c>
      <c r="D1432" s="11" t="str">
        <f>IF($B1432="","",COUNTIFS('Raw Data'!$R$2:$R$50000,$B1432))</f>
        <v/>
      </c>
      <c r="E1432" s="11" t="str">
        <f>IF($B1432="","",SUMIFS('Raw Data'!$I$2:$I$50000,'Raw Data'!$R$2:$R$50000,$B1432))</f>
        <v/>
      </c>
      <c r="F1432" s="11" t="str">
        <f>IF($B1432="","",RANK($E1432,$E$2:$E$1501)+COUNTIF($E$2:E1432,$E1432)-1)</f>
        <v/>
      </c>
      <c r="G1432" s="11" t="str">
        <f>IF($B1432="","",RANK($D1432,$D$2:$D$1501)+COUNTIF($D$2:D1432,$D1432)-1)</f>
        <v/>
      </c>
    </row>
    <row r="1433" spans="1:7">
      <c r="A1433" s="11">
        <v>1432</v>
      </c>
      <c r="B1433" s="11" t="str">
        <f>IFERROR(INDEX('Raw Data'!$R$2:$R$50000,MATCH(1432,'Raw Data'!$W$2:$W$50000,0)),"")</f>
        <v/>
      </c>
      <c r="C1433" s="11" t="str">
        <f t="shared" si="22"/>
        <v/>
      </c>
      <c r="D1433" s="11" t="str">
        <f>IF($B1433="","",COUNTIFS('Raw Data'!$R$2:$R$50000,$B1433))</f>
        <v/>
      </c>
      <c r="E1433" s="11" t="str">
        <f>IF($B1433="","",SUMIFS('Raw Data'!$I$2:$I$50000,'Raw Data'!$R$2:$R$50000,$B1433))</f>
        <v/>
      </c>
      <c r="F1433" s="11" t="str">
        <f>IF($B1433="","",RANK($E1433,$E$2:$E$1501)+COUNTIF($E$2:E1433,$E1433)-1)</f>
        <v/>
      </c>
      <c r="G1433" s="11" t="str">
        <f>IF($B1433="","",RANK($D1433,$D$2:$D$1501)+COUNTIF($D$2:D1433,$D1433)-1)</f>
        <v/>
      </c>
    </row>
    <row r="1434" spans="1:7">
      <c r="A1434" s="11">
        <v>1433</v>
      </c>
      <c r="B1434" s="11" t="str">
        <f>IFERROR(INDEX('Raw Data'!$R$2:$R$50000,MATCH(1433,'Raw Data'!$W$2:$W$50000,0)),"")</f>
        <v/>
      </c>
      <c r="C1434" s="11" t="str">
        <f t="shared" si="22"/>
        <v/>
      </c>
      <c r="D1434" s="11" t="str">
        <f>IF($B1434="","",COUNTIFS('Raw Data'!$R$2:$R$50000,$B1434))</f>
        <v/>
      </c>
      <c r="E1434" s="11" t="str">
        <f>IF($B1434="","",SUMIFS('Raw Data'!$I$2:$I$50000,'Raw Data'!$R$2:$R$50000,$B1434))</f>
        <v/>
      </c>
      <c r="F1434" s="11" t="str">
        <f>IF($B1434="","",RANK($E1434,$E$2:$E$1501)+COUNTIF($E$2:E1434,$E1434)-1)</f>
        <v/>
      </c>
      <c r="G1434" s="11" t="str">
        <f>IF($B1434="","",RANK($D1434,$D$2:$D$1501)+COUNTIF($D$2:D1434,$D1434)-1)</f>
        <v/>
      </c>
    </row>
    <row r="1435" spans="1:7">
      <c r="A1435" s="11">
        <v>1434</v>
      </c>
      <c r="B1435" s="11" t="str">
        <f>IFERROR(INDEX('Raw Data'!$R$2:$R$50000,MATCH(1434,'Raw Data'!$W$2:$W$50000,0)),"")</f>
        <v/>
      </c>
      <c r="C1435" s="11" t="str">
        <f t="shared" si="22"/>
        <v/>
      </c>
      <c r="D1435" s="11" t="str">
        <f>IF($B1435="","",COUNTIFS('Raw Data'!$R$2:$R$50000,$B1435))</f>
        <v/>
      </c>
      <c r="E1435" s="11" t="str">
        <f>IF($B1435="","",SUMIFS('Raw Data'!$I$2:$I$50000,'Raw Data'!$R$2:$R$50000,$B1435))</f>
        <v/>
      </c>
      <c r="F1435" s="11" t="str">
        <f>IF($B1435="","",RANK($E1435,$E$2:$E$1501)+COUNTIF($E$2:E1435,$E1435)-1)</f>
        <v/>
      </c>
      <c r="G1435" s="11" t="str">
        <f>IF($B1435="","",RANK($D1435,$D$2:$D$1501)+COUNTIF($D$2:D1435,$D1435)-1)</f>
        <v/>
      </c>
    </row>
    <row r="1436" spans="1:7">
      <c r="A1436" s="11">
        <v>1435</v>
      </c>
      <c r="B1436" s="11" t="str">
        <f>IFERROR(INDEX('Raw Data'!$R$2:$R$50000,MATCH(1435,'Raw Data'!$W$2:$W$50000,0)),"")</f>
        <v/>
      </c>
      <c r="C1436" s="11" t="str">
        <f t="shared" si="22"/>
        <v/>
      </c>
      <c r="D1436" s="11" t="str">
        <f>IF($B1436="","",COUNTIFS('Raw Data'!$R$2:$R$50000,$B1436))</f>
        <v/>
      </c>
      <c r="E1436" s="11" t="str">
        <f>IF($B1436="","",SUMIFS('Raw Data'!$I$2:$I$50000,'Raw Data'!$R$2:$R$50000,$B1436))</f>
        <v/>
      </c>
      <c r="F1436" s="11" t="str">
        <f>IF($B1436="","",RANK($E1436,$E$2:$E$1501)+COUNTIF($E$2:E1436,$E1436)-1)</f>
        <v/>
      </c>
      <c r="G1436" s="11" t="str">
        <f>IF($B1436="","",RANK($D1436,$D$2:$D$1501)+COUNTIF($D$2:D1436,$D1436)-1)</f>
        <v/>
      </c>
    </row>
    <row r="1437" spans="1:7">
      <c r="A1437" s="11">
        <v>1436</v>
      </c>
      <c r="B1437" s="11" t="str">
        <f>IFERROR(INDEX('Raw Data'!$R$2:$R$50000,MATCH(1436,'Raw Data'!$W$2:$W$50000,0)),"")</f>
        <v/>
      </c>
      <c r="C1437" s="11" t="str">
        <f t="shared" si="22"/>
        <v/>
      </c>
      <c r="D1437" s="11" t="str">
        <f>IF($B1437="","",COUNTIFS('Raw Data'!$R$2:$R$50000,$B1437))</f>
        <v/>
      </c>
      <c r="E1437" s="11" t="str">
        <f>IF($B1437="","",SUMIFS('Raw Data'!$I$2:$I$50000,'Raw Data'!$R$2:$R$50000,$B1437))</f>
        <v/>
      </c>
      <c r="F1437" s="11" t="str">
        <f>IF($B1437="","",RANK($E1437,$E$2:$E$1501)+COUNTIF($E$2:E1437,$E1437)-1)</f>
        <v/>
      </c>
      <c r="G1437" s="11" t="str">
        <f>IF($B1437="","",RANK($D1437,$D$2:$D$1501)+COUNTIF($D$2:D1437,$D1437)-1)</f>
        <v/>
      </c>
    </row>
    <row r="1438" spans="1:7">
      <c r="A1438" s="11">
        <v>1437</v>
      </c>
      <c r="B1438" s="11" t="str">
        <f>IFERROR(INDEX('Raw Data'!$R$2:$R$50000,MATCH(1437,'Raw Data'!$W$2:$W$50000,0)),"")</f>
        <v/>
      </c>
      <c r="C1438" s="11" t="str">
        <f t="shared" si="22"/>
        <v/>
      </c>
      <c r="D1438" s="11" t="str">
        <f>IF($B1438="","",COUNTIFS('Raw Data'!$R$2:$R$50000,$B1438))</f>
        <v/>
      </c>
      <c r="E1438" s="11" t="str">
        <f>IF($B1438="","",SUMIFS('Raw Data'!$I$2:$I$50000,'Raw Data'!$R$2:$R$50000,$B1438))</f>
        <v/>
      </c>
      <c r="F1438" s="11" t="str">
        <f>IF($B1438="","",RANK($E1438,$E$2:$E$1501)+COUNTIF($E$2:E1438,$E1438)-1)</f>
        <v/>
      </c>
      <c r="G1438" s="11" t="str">
        <f>IF($B1438="","",RANK($D1438,$D$2:$D$1501)+COUNTIF($D$2:D1438,$D1438)-1)</f>
        <v/>
      </c>
    </row>
    <row r="1439" spans="1:7">
      <c r="A1439" s="11">
        <v>1438</v>
      </c>
      <c r="B1439" s="11" t="str">
        <f>IFERROR(INDEX('Raw Data'!$R$2:$R$50000,MATCH(1438,'Raw Data'!$W$2:$W$50000,0)),"")</f>
        <v/>
      </c>
      <c r="C1439" s="11" t="str">
        <f t="shared" si="22"/>
        <v/>
      </c>
      <c r="D1439" s="11" t="str">
        <f>IF($B1439="","",COUNTIFS('Raw Data'!$R$2:$R$50000,$B1439))</f>
        <v/>
      </c>
      <c r="E1439" s="11" t="str">
        <f>IF($B1439="","",SUMIFS('Raw Data'!$I$2:$I$50000,'Raw Data'!$R$2:$R$50000,$B1439))</f>
        <v/>
      </c>
      <c r="F1439" s="11" t="str">
        <f>IF($B1439="","",RANK($E1439,$E$2:$E$1501)+COUNTIF($E$2:E1439,$E1439)-1)</f>
        <v/>
      </c>
      <c r="G1439" s="11" t="str">
        <f>IF($B1439="","",RANK($D1439,$D$2:$D$1501)+COUNTIF($D$2:D1439,$D1439)-1)</f>
        <v/>
      </c>
    </row>
    <row r="1440" spans="1:7">
      <c r="A1440" s="11">
        <v>1439</v>
      </c>
      <c r="B1440" s="11" t="str">
        <f>IFERROR(INDEX('Raw Data'!$R$2:$R$50000,MATCH(1439,'Raw Data'!$W$2:$W$50000,0)),"")</f>
        <v/>
      </c>
      <c r="C1440" s="11" t="str">
        <f t="shared" si="22"/>
        <v/>
      </c>
      <c r="D1440" s="11" t="str">
        <f>IF($B1440="","",COUNTIFS('Raw Data'!$R$2:$R$50000,$B1440))</f>
        <v/>
      </c>
      <c r="E1440" s="11" t="str">
        <f>IF($B1440="","",SUMIFS('Raw Data'!$I$2:$I$50000,'Raw Data'!$R$2:$R$50000,$B1440))</f>
        <v/>
      </c>
      <c r="F1440" s="11" t="str">
        <f>IF($B1440="","",RANK($E1440,$E$2:$E$1501)+COUNTIF($E$2:E1440,$E1440)-1)</f>
        <v/>
      </c>
      <c r="G1440" s="11" t="str">
        <f>IF($B1440="","",RANK($D1440,$D$2:$D$1501)+COUNTIF($D$2:D1440,$D1440)-1)</f>
        <v/>
      </c>
    </row>
    <row r="1441" spans="1:7">
      <c r="A1441" s="11">
        <v>1440</v>
      </c>
      <c r="B1441" s="11" t="str">
        <f>IFERROR(INDEX('Raw Data'!$R$2:$R$50000,MATCH(1440,'Raw Data'!$W$2:$W$50000,0)),"")</f>
        <v/>
      </c>
      <c r="C1441" s="11" t="str">
        <f t="shared" si="22"/>
        <v/>
      </c>
      <c r="D1441" s="11" t="str">
        <f>IF($B1441="","",COUNTIFS('Raw Data'!$R$2:$R$50000,$B1441))</f>
        <v/>
      </c>
      <c r="E1441" s="11" t="str">
        <f>IF($B1441="","",SUMIFS('Raw Data'!$I$2:$I$50000,'Raw Data'!$R$2:$R$50000,$B1441))</f>
        <v/>
      </c>
      <c r="F1441" s="11" t="str">
        <f>IF($B1441="","",RANK($E1441,$E$2:$E$1501)+COUNTIF($E$2:E1441,$E1441)-1)</f>
        <v/>
      </c>
      <c r="G1441" s="11" t="str">
        <f>IF($B1441="","",RANK($D1441,$D$2:$D$1501)+COUNTIF($D$2:D1441,$D1441)-1)</f>
        <v/>
      </c>
    </row>
    <row r="1442" spans="1:7">
      <c r="A1442" s="11">
        <v>1441</v>
      </c>
      <c r="B1442" s="11" t="str">
        <f>IFERROR(INDEX('Raw Data'!$R$2:$R$50000,MATCH(1441,'Raw Data'!$W$2:$W$50000,0)),"")</f>
        <v/>
      </c>
      <c r="C1442" s="11" t="str">
        <f t="shared" si="22"/>
        <v/>
      </c>
      <c r="D1442" s="11" t="str">
        <f>IF($B1442="","",COUNTIFS('Raw Data'!$R$2:$R$50000,$B1442))</f>
        <v/>
      </c>
      <c r="E1442" s="11" t="str">
        <f>IF($B1442="","",SUMIFS('Raw Data'!$I$2:$I$50000,'Raw Data'!$R$2:$R$50000,$B1442))</f>
        <v/>
      </c>
      <c r="F1442" s="11" t="str">
        <f>IF($B1442="","",RANK($E1442,$E$2:$E$1501)+COUNTIF($E$2:E1442,$E1442)-1)</f>
        <v/>
      </c>
      <c r="G1442" s="11" t="str">
        <f>IF($B1442="","",RANK($D1442,$D$2:$D$1501)+COUNTIF($D$2:D1442,$D1442)-1)</f>
        <v/>
      </c>
    </row>
    <row r="1443" spans="1:7">
      <c r="A1443" s="11">
        <v>1442</v>
      </c>
      <c r="B1443" s="11" t="str">
        <f>IFERROR(INDEX('Raw Data'!$R$2:$R$50000,MATCH(1442,'Raw Data'!$W$2:$W$50000,0)),"")</f>
        <v/>
      </c>
      <c r="C1443" s="11" t="str">
        <f t="shared" si="22"/>
        <v/>
      </c>
      <c r="D1443" s="11" t="str">
        <f>IF($B1443="","",COUNTIFS('Raw Data'!$R$2:$R$50000,$B1443))</f>
        <v/>
      </c>
      <c r="E1443" s="11" t="str">
        <f>IF($B1443="","",SUMIFS('Raw Data'!$I$2:$I$50000,'Raw Data'!$R$2:$R$50000,$B1443))</f>
        <v/>
      </c>
      <c r="F1443" s="11" t="str">
        <f>IF($B1443="","",RANK($E1443,$E$2:$E$1501)+COUNTIF($E$2:E1443,$E1443)-1)</f>
        <v/>
      </c>
      <c r="G1443" s="11" t="str">
        <f>IF($B1443="","",RANK($D1443,$D$2:$D$1501)+COUNTIF($D$2:D1443,$D1443)-1)</f>
        <v/>
      </c>
    </row>
    <row r="1444" spans="1:7">
      <c r="A1444" s="11">
        <v>1443</v>
      </c>
      <c r="B1444" s="11" t="str">
        <f>IFERROR(INDEX('Raw Data'!$R$2:$R$50000,MATCH(1443,'Raw Data'!$W$2:$W$50000,0)),"")</f>
        <v/>
      </c>
      <c r="C1444" s="11" t="str">
        <f t="shared" si="22"/>
        <v/>
      </c>
      <c r="D1444" s="11" t="str">
        <f>IF($B1444="","",COUNTIFS('Raw Data'!$R$2:$R$50000,$B1444))</f>
        <v/>
      </c>
      <c r="E1444" s="11" t="str">
        <f>IF($B1444="","",SUMIFS('Raw Data'!$I$2:$I$50000,'Raw Data'!$R$2:$R$50000,$B1444))</f>
        <v/>
      </c>
      <c r="F1444" s="11" t="str">
        <f>IF($B1444="","",RANK($E1444,$E$2:$E$1501)+COUNTIF($E$2:E1444,$E1444)-1)</f>
        <v/>
      </c>
      <c r="G1444" s="11" t="str">
        <f>IF($B1444="","",RANK($D1444,$D$2:$D$1501)+COUNTIF($D$2:D1444,$D1444)-1)</f>
        <v/>
      </c>
    </row>
    <row r="1445" spans="1:7">
      <c r="A1445" s="11">
        <v>1444</v>
      </c>
      <c r="B1445" s="11" t="str">
        <f>IFERROR(INDEX('Raw Data'!$R$2:$R$50000,MATCH(1444,'Raw Data'!$W$2:$W$50000,0)),"")</f>
        <v/>
      </c>
      <c r="C1445" s="11" t="str">
        <f t="shared" si="22"/>
        <v/>
      </c>
      <c r="D1445" s="11" t="str">
        <f>IF($B1445="","",COUNTIFS('Raw Data'!$R$2:$R$50000,$B1445))</f>
        <v/>
      </c>
      <c r="E1445" s="11" t="str">
        <f>IF($B1445="","",SUMIFS('Raw Data'!$I$2:$I$50000,'Raw Data'!$R$2:$R$50000,$B1445))</f>
        <v/>
      </c>
      <c r="F1445" s="11" t="str">
        <f>IF($B1445="","",RANK($E1445,$E$2:$E$1501)+COUNTIF($E$2:E1445,$E1445)-1)</f>
        <v/>
      </c>
      <c r="G1445" s="11" t="str">
        <f>IF($B1445="","",RANK($D1445,$D$2:$D$1501)+COUNTIF($D$2:D1445,$D1445)-1)</f>
        <v/>
      </c>
    </row>
    <row r="1446" spans="1:7">
      <c r="A1446" s="11">
        <v>1445</v>
      </c>
      <c r="B1446" s="11" t="str">
        <f>IFERROR(INDEX('Raw Data'!$R$2:$R$50000,MATCH(1445,'Raw Data'!$W$2:$W$50000,0)),"")</f>
        <v/>
      </c>
      <c r="C1446" s="11" t="str">
        <f t="shared" si="22"/>
        <v/>
      </c>
      <c r="D1446" s="11" t="str">
        <f>IF($B1446="","",COUNTIFS('Raw Data'!$R$2:$R$50000,$B1446))</f>
        <v/>
      </c>
      <c r="E1446" s="11" t="str">
        <f>IF($B1446="","",SUMIFS('Raw Data'!$I$2:$I$50000,'Raw Data'!$R$2:$R$50000,$B1446))</f>
        <v/>
      </c>
      <c r="F1446" s="11" t="str">
        <f>IF($B1446="","",RANK($E1446,$E$2:$E$1501)+COUNTIF($E$2:E1446,$E1446)-1)</f>
        <v/>
      </c>
      <c r="G1446" s="11" t="str">
        <f>IF($B1446="","",RANK($D1446,$D$2:$D$1501)+COUNTIF($D$2:D1446,$D1446)-1)</f>
        <v/>
      </c>
    </row>
    <row r="1447" spans="1:7">
      <c r="A1447" s="11">
        <v>1446</v>
      </c>
      <c r="B1447" s="11" t="str">
        <f>IFERROR(INDEX('Raw Data'!$R$2:$R$50000,MATCH(1446,'Raw Data'!$W$2:$W$50000,0)),"")</f>
        <v/>
      </c>
      <c r="C1447" s="11" t="str">
        <f t="shared" si="22"/>
        <v/>
      </c>
      <c r="D1447" s="11" t="str">
        <f>IF($B1447="","",COUNTIFS('Raw Data'!$R$2:$R$50000,$B1447))</f>
        <v/>
      </c>
      <c r="E1447" s="11" t="str">
        <f>IF($B1447="","",SUMIFS('Raw Data'!$I$2:$I$50000,'Raw Data'!$R$2:$R$50000,$B1447))</f>
        <v/>
      </c>
      <c r="F1447" s="11" t="str">
        <f>IF($B1447="","",RANK($E1447,$E$2:$E$1501)+COUNTIF($E$2:E1447,$E1447)-1)</f>
        <v/>
      </c>
      <c r="G1447" s="11" t="str">
        <f>IF($B1447="","",RANK($D1447,$D$2:$D$1501)+COUNTIF($D$2:D1447,$D1447)-1)</f>
        <v/>
      </c>
    </row>
    <row r="1448" spans="1:7">
      <c r="A1448" s="11">
        <v>1447</v>
      </c>
      <c r="B1448" s="11" t="str">
        <f>IFERROR(INDEX('Raw Data'!$R$2:$R$50000,MATCH(1447,'Raw Data'!$W$2:$W$50000,0)),"")</f>
        <v/>
      </c>
      <c r="C1448" s="11" t="str">
        <f t="shared" si="22"/>
        <v/>
      </c>
      <c r="D1448" s="11" t="str">
        <f>IF($B1448="","",COUNTIFS('Raw Data'!$R$2:$R$50000,$B1448))</f>
        <v/>
      </c>
      <c r="E1448" s="11" t="str">
        <f>IF($B1448="","",SUMIFS('Raw Data'!$I$2:$I$50000,'Raw Data'!$R$2:$R$50000,$B1448))</f>
        <v/>
      </c>
      <c r="F1448" s="11" t="str">
        <f>IF($B1448="","",RANK($E1448,$E$2:$E$1501)+COUNTIF($E$2:E1448,$E1448)-1)</f>
        <v/>
      </c>
      <c r="G1448" s="11" t="str">
        <f>IF($B1448="","",RANK($D1448,$D$2:$D$1501)+COUNTIF($D$2:D1448,$D1448)-1)</f>
        <v/>
      </c>
    </row>
    <row r="1449" spans="1:7">
      <c r="A1449" s="11">
        <v>1448</v>
      </c>
      <c r="B1449" s="11" t="str">
        <f>IFERROR(INDEX('Raw Data'!$R$2:$R$50000,MATCH(1448,'Raw Data'!$W$2:$W$50000,0)),"")</f>
        <v/>
      </c>
      <c r="C1449" s="11" t="str">
        <f t="shared" si="22"/>
        <v/>
      </c>
      <c r="D1449" s="11" t="str">
        <f>IF($B1449="","",COUNTIFS('Raw Data'!$R$2:$R$50000,$B1449))</f>
        <v/>
      </c>
      <c r="E1449" s="11" t="str">
        <f>IF($B1449="","",SUMIFS('Raw Data'!$I$2:$I$50000,'Raw Data'!$R$2:$R$50000,$B1449))</f>
        <v/>
      </c>
      <c r="F1449" s="11" t="str">
        <f>IF($B1449="","",RANK($E1449,$E$2:$E$1501)+COUNTIF($E$2:E1449,$E1449)-1)</f>
        <v/>
      </c>
      <c r="G1449" s="11" t="str">
        <f>IF($B1449="","",RANK($D1449,$D$2:$D$1501)+COUNTIF($D$2:D1449,$D1449)-1)</f>
        <v/>
      </c>
    </row>
    <row r="1450" spans="1:7">
      <c r="A1450" s="11">
        <v>1449</v>
      </c>
      <c r="B1450" s="11" t="str">
        <f>IFERROR(INDEX('Raw Data'!$R$2:$R$50000,MATCH(1449,'Raw Data'!$W$2:$W$50000,0)),"")</f>
        <v/>
      </c>
      <c r="C1450" s="11" t="str">
        <f t="shared" si="22"/>
        <v/>
      </c>
      <c r="D1450" s="11" t="str">
        <f>IF($B1450="","",COUNTIFS('Raw Data'!$R$2:$R$50000,$B1450))</f>
        <v/>
      </c>
      <c r="E1450" s="11" t="str">
        <f>IF($B1450="","",SUMIFS('Raw Data'!$I$2:$I$50000,'Raw Data'!$R$2:$R$50000,$B1450))</f>
        <v/>
      </c>
      <c r="F1450" s="11" t="str">
        <f>IF($B1450="","",RANK($E1450,$E$2:$E$1501)+COUNTIF($E$2:E1450,$E1450)-1)</f>
        <v/>
      </c>
      <c r="G1450" s="11" t="str">
        <f>IF($B1450="","",RANK($D1450,$D$2:$D$1501)+COUNTIF($D$2:D1450,$D1450)-1)</f>
        <v/>
      </c>
    </row>
    <row r="1451" spans="1:7">
      <c r="A1451" s="11">
        <v>1450</v>
      </c>
      <c r="B1451" s="11" t="str">
        <f>IFERROR(INDEX('Raw Data'!$R$2:$R$50000,MATCH(1450,'Raw Data'!$W$2:$W$50000,0)),"")</f>
        <v/>
      </c>
      <c r="C1451" s="11" t="str">
        <f t="shared" si="22"/>
        <v/>
      </c>
      <c r="D1451" s="11" t="str">
        <f>IF($B1451="","",COUNTIFS('Raw Data'!$R$2:$R$50000,$B1451))</f>
        <v/>
      </c>
      <c r="E1451" s="11" t="str">
        <f>IF($B1451="","",SUMIFS('Raw Data'!$I$2:$I$50000,'Raw Data'!$R$2:$R$50000,$B1451))</f>
        <v/>
      </c>
      <c r="F1451" s="11" t="str">
        <f>IF($B1451="","",RANK($E1451,$E$2:$E$1501)+COUNTIF($E$2:E1451,$E1451)-1)</f>
        <v/>
      </c>
      <c r="G1451" s="11" t="str">
        <f>IF($B1451="","",RANK($D1451,$D$2:$D$1501)+COUNTIF($D$2:D1451,$D1451)-1)</f>
        <v/>
      </c>
    </row>
    <row r="1452" spans="1:7">
      <c r="A1452" s="11">
        <v>1451</v>
      </c>
      <c r="B1452" s="11" t="str">
        <f>IFERROR(INDEX('Raw Data'!$R$2:$R$50000,MATCH(1451,'Raw Data'!$W$2:$W$50000,0)),"")</f>
        <v/>
      </c>
      <c r="C1452" s="11" t="str">
        <f t="shared" si="22"/>
        <v/>
      </c>
      <c r="D1452" s="11" t="str">
        <f>IF($B1452="","",COUNTIFS('Raw Data'!$R$2:$R$50000,$B1452))</f>
        <v/>
      </c>
      <c r="E1452" s="11" t="str">
        <f>IF($B1452="","",SUMIFS('Raw Data'!$I$2:$I$50000,'Raw Data'!$R$2:$R$50000,$B1452))</f>
        <v/>
      </c>
      <c r="F1452" s="11" t="str">
        <f>IF($B1452="","",RANK($E1452,$E$2:$E$1501)+COUNTIF($E$2:E1452,$E1452)-1)</f>
        <v/>
      </c>
      <c r="G1452" s="11" t="str">
        <f>IF($B1452="","",RANK($D1452,$D$2:$D$1501)+COUNTIF($D$2:D1452,$D1452)-1)</f>
        <v/>
      </c>
    </row>
    <row r="1453" spans="1:7">
      <c r="A1453" s="11">
        <v>1452</v>
      </c>
      <c r="B1453" s="11" t="str">
        <f>IFERROR(INDEX('Raw Data'!$R$2:$R$50000,MATCH(1452,'Raw Data'!$W$2:$W$50000,0)),"")</f>
        <v/>
      </c>
      <c r="C1453" s="11" t="str">
        <f t="shared" si="22"/>
        <v/>
      </c>
      <c r="D1453" s="11" t="str">
        <f>IF($B1453="","",COUNTIFS('Raw Data'!$R$2:$R$50000,$B1453))</f>
        <v/>
      </c>
      <c r="E1453" s="11" t="str">
        <f>IF($B1453="","",SUMIFS('Raw Data'!$I$2:$I$50000,'Raw Data'!$R$2:$R$50000,$B1453))</f>
        <v/>
      </c>
      <c r="F1453" s="11" t="str">
        <f>IF($B1453="","",RANK($E1453,$E$2:$E$1501)+COUNTIF($E$2:E1453,$E1453)-1)</f>
        <v/>
      </c>
      <c r="G1453" s="11" t="str">
        <f>IF($B1453="","",RANK($D1453,$D$2:$D$1501)+COUNTIF($D$2:D1453,$D1453)-1)</f>
        <v/>
      </c>
    </row>
    <row r="1454" spans="1:7">
      <c r="A1454" s="11">
        <v>1453</v>
      </c>
      <c r="B1454" s="11" t="str">
        <f>IFERROR(INDEX('Raw Data'!$R$2:$R$50000,MATCH(1453,'Raw Data'!$W$2:$W$50000,0)),"")</f>
        <v/>
      </c>
      <c r="C1454" s="11" t="str">
        <f t="shared" si="22"/>
        <v/>
      </c>
      <c r="D1454" s="11" t="str">
        <f>IF($B1454="","",COUNTIFS('Raw Data'!$R$2:$R$50000,$B1454))</f>
        <v/>
      </c>
      <c r="E1454" s="11" t="str">
        <f>IF($B1454="","",SUMIFS('Raw Data'!$I$2:$I$50000,'Raw Data'!$R$2:$R$50000,$B1454))</f>
        <v/>
      </c>
      <c r="F1454" s="11" t="str">
        <f>IF($B1454="","",RANK($E1454,$E$2:$E$1501)+COUNTIF($E$2:E1454,$E1454)-1)</f>
        <v/>
      </c>
      <c r="G1454" s="11" t="str">
        <f>IF($B1454="","",RANK($D1454,$D$2:$D$1501)+COUNTIF($D$2:D1454,$D1454)-1)</f>
        <v/>
      </c>
    </row>
    <row r="1455" spans="1:7">
      <c r="A1455" s="11">
        <v>1454</v>
      </c>
      <c r="B1455" s="11" t="str">
        <f>IFERROR(INDEX('Raw Data'!$R$2:$R$50000,MATCH(1454,'Raw Data'!$W$2:$W$50000,0)),"")</f>
        <v/>
      </c>
      <c r="C1455" s="11" t="str">
        <f t="shared" si="22"/>
        <v/>
      </c>
      <c r="D1455" s="11" t="str">
        <f>IF($B1455="","",COUNTIFS('Raw Data'!$R$2:$R$50000,$B1455))</f>
        <v/>
      </c>
      <c r="E1455" s="11" t="str">
        <f>IF($B1455="","",SUMIFS('Raw Data'!$I$2:$I$50000,'Raw Data'!$R$2:$R$50000,$B1455))</f>
        <v/>
      </c>
      <c r="F1455" s="11" t="str">
        <f>IF($B1455="","",RANK($E1455,$E$2:$E$1501)+COUNTIF($E$2:E1455,$E1455)-1)</f>
        <v/>
      </c>
      <c r="G1455" s="11" t="str">
        <f>IF($B1455="","",RANK($D1455,$D$2:$D$1501)+COUNTIF($D$2:D1455,$D1455)-1)</f>
        <v/>
      </c>
    </row>
    <row r="1456" spans="1:7">
      <c r="A1456" s="11">
        <v>1455</v>
      </c>
      <c r="B1456" s="11" t="str">
        <f>IFERROR(INDEX('Raw Data'!$R$2:$R$50000,MATCH(1455,'Raw Data'!$W$2:$W$50000,0)),"")</f>
        <v/>
      </c>
      <c r="C1456" s="11" t="str">
        <f t="shared" si="22"/>
        <v/>
      </c>
      <c r="D1456" s="11" t="str">
        <f>IF($B1456="","",COUNTIFS('Raw Data'!$R$2:$R$50000,$B1456))</f>
        <v/>
      </c>
      <c r="E1456" s="11" t="str">
        <f>IF($B1456="","",SUMIFS('Raw Data'!$I$2:$I$50000,'Raw Data'!$R$2:$R$50000,$B1456))</f>
        <v/>
      </c>
      <c r="F1456" s="11" t="str">
        <f>IF($B1456="","",RANK($E1456,$E$2:$E$1501)+COUNTIF($E$2:E1456,$E1456)-1)</f>
        <v/>
      </c>
      <c r="G1456" s="11" t="str">
        <f>IF($B1456="","",RANK($D1456,$D$2:$D$1501)+COUNTIF($D$2:D1456,$D1456)-1)</f>
        <v/>
      </c>
    </row>
    <row r="1457" spans="1:7">
      <c r="A1457" s="11">
        <v>1456</v>
      </c>
      <c r="B1457" s="11" t="str">
        <f>IFERROR(INDEX('Raw Data'!$R$2:$R$50000,MATCH(1456,'Raw Data'!$W$2:$W$50000,0)),"")</f>
        <v/>
      </c>
      <c r="C1457" s="11" t="str">
        <f t="shared" si="22"/>
        <v/>
      </c>
      <c r="D1457" s="11" t="str">
        <f>IF($B1457="","",COUNTIFS('Raw Data'!$R$2:$R$50000,$B1457))</f>
        <v/>
      </c>
      <c r="E1457" s="11" t="str">
        <f>IF($B1457="","",SUMIFS('Raw Data'!$I$2:$I$50000,'Raw Data'!$R$2:$R$50000,$B1457))</f>
        <v/>
      </c>
      <c r="F1457" s="11" t="str">
        <f>IF($B1457="","",RANK($E1457,$E$2:$E$1501)+COUNTIF($E$2:E1457,$E1457)-1)</f>
        <v/>
      </c>
      <c r="G1457" s="11" t="str">
        <f>IF($B1457="","",RANK($D1457,$D$2:$D$1501)+COUNTIF($D$2:D1457,$D1457)-1)</f>
        <v/>
      </c>
    </row>
    <row r="1458" spans="1:7">
      <c r="A1458" s="11">
        <v>1457</v>
      </c>
      <c r="B1458" s="11" t="str">
        <f>IFERROR(INDEX('Raw Data'!$R$2:$R$50000,MATCH(1457,'Raw Data'!$W$2:$W$50000,0)),"")</f>
        <v/>
      </c>
      <c r="C1458" s="11" t="str">
        <f t="shared" si="22"/>
        <v/>
      </c>
      <c r="D1458" s="11" t="str">
        <f>IF($B1458="","",COUNTIFS('Raw Data'!$R$2:$R$50000,$B1458))</f>
        <v/>
      </c>
      <c r="E1458" s="11" t="str">
        <f>IF($B1458="","",SUMIFS('Raw Data'!$I$2:$I$50000,'Raw Data'!$R$2:$R$50000,$B1458))</f>
        <v/>
      </c>
      <c r="F1458" s="11" t="str">
        <f>IF($B1458="","",RANK($E1458,$E$2:$E$1501)+COUNTIF($E$2:E1458,$E1458)-1)</f>
        <v/>
      </c>
      <c r="G1458" s="11" t="str">
        <f>IF($B1458="","",RANK($D1458,$D$2:$D$1501)+COUNTIF($D$2:D1458,$D1458)-1)</f>
        <v/>
      </c>
    </row>
    <row r="1459" spans="1:7">
      <c r="A1459" s="11">
        <v>1458</v>
      </c>
      <c r="B1459" s="11" t="str">
        <f>IFERROR(INDEX('Raw Data'!$R$2:$R$50000,MATCH(1458,'Raw Data'!$W$2:$W$50000,0)),"")</f>
        <v/>
      </c>
      <c r="C1459" s="11" t="str">
        <f t="shared" si="22"/>
        <v/>
      </c>
      <c r="D1459" s="11" t="str">
        <f>IF($B1459="","",COUNTIFS('Raw Data'!$R$2:$R$50000,$B1459))</f>
        <v/>
      </c>
      <c r="E1459" s="11" t="str">
        <f>IF($B1459="","",SUMIFS('Raw Data'!$I$2:$I$50000,'Raw Data'!$R$2:$R$50000,$B1459))</f>
        <v/>
      </c>
      <c r="F1459" s="11" t="str">
        <f>IF($B1459="","",RANK($E1459,$E$2:$E$1501)+COUNTIF($E$2:E1459,$E1459)-1)</f>
        <v/>
      </c>
      <c r="G1459" s="11" t="str">
        <f>IF($B1459="","",RANK($D1459,$D$2:$D$1501)+COUNTIF($D$2:D1459,$D1459)-1)</f>
        <v/>
      </c>
    </row>
    <row r="1460" spans="1:7">
      <c r="A1460" s="11">
        <v>1459</v>
      </c>
      <c r="B1460" s="11" t="str">
        <f>IFERROR(INDEX('Raw Data'!$R$2:$R$50000,MATCH(1459,'Raw Data'!$W$2:$W$50000,0)),"")</f>
        <v/>
      </c>
      <c r="C1460" s="11" t="str">
        <f t="shared" si="22"/>
        <v/>
      </c>
      <c r="D1460" s="11" t="str">
        <f>IF($B1460="","",COUNTIFS('Raw Data'!$R$2:$R$50000,$B1460))</f>
        <v/>
      </c>
      <c r="E1460" s="11" t="str">
        <f>IF($B1460="","",SUMIFS('Raw Data'!$I$2:$I$50000,'Raw Data'!$R$2:$R$50000,$B1460))</f>
        <v/>
      </c>
      <c r="F1460" s="11" t="str">
        <f>IF($B1460="","",RANK($E1460,$E$2:$E$1501)+COUNTIF($E$2:E1460,$E1460)-1)</f>
        <v/>
      </c>
      <c r="G1460" s="11" t="str">
        <f>IF($B1460="","",RANK($D1460,$D$2:$D$1501)+COUNTIF($D$2:D1460,$D1460)-1)</f>
        <v/>
      </c>
    </row>
    <row r="1461" spans="1:7">
      <c r="A1461" s="11">
        <v>1460</v>
      </c>
      <c r="B1461" s="11" t="str">
        <f>IFERROR(INDEX('Raw Data'!$R$2:$R$50000,MATCH(1460,'Raw Data'!$W$2:$W$50000,0)),"")</f>
        <v/>
      </c>
      <c r="C1461" s="11" t="str">
        <f t="shared" si="22"/>
        <v/>
      </c>
      <c r="D1461" s="11" t="str">
        <f>IF($B1461="","",COUNTIFS('Raw Data'!$R$2:$R$50000,$B1461))</f>
        <v/>
      </c>
      <c r="E1461" s="11" t="str">
        <f>IF($B1461="","",SUMIFS('Raw Data'!$I$2:$I$50000,'Raw Data'!$R$2:$R$50000,$B1461))</f>
        <v/>
      </c>
      <c r="F1461" s="11" t="str">
        <f>IF($B1461="","",RANK($E1461,$E$2:$E$1501)+COUNTIF($E$2:E1461,$E1461)-1)</f>
        <v/>
      </c>
      <c r="G1461" s="11" t="str">
        <f>IF($B1461="","",RANK($D1461,$D$2:$D$1501)+COUNTIF($D$2:D1461,$D1461)-1)</f>
        <v/>
      </c>
    </row>
    <row r="1462" spans="1:7">
      <c r="A1462" s="11">
        <v>1461</v>
      </c>
      <c r="B1462" s="11" t="str">
        <f>IFERROR(INDEX('Raw Data'!$R$2:$R$50000,MATCH(1461,'Raw Data'!$W$2:$W$50000,0)),"")</f>
        <v/>
      </c>
      <c r="C1462" s="11" t="str">
        <f t="shared" si="22"/>
        <v/>
      </c>
      <c r="D1462" s="11" t="str">
        <f>IF($B1462="","",COUNTIFS('Raw Data'!$R$2:$R$50000,$B1462))</f>
        <v/>
      </c>
      <c r="E1462" s="11" t="str">
        <f>IF($B1462="","",SUMIFS('Raw Data'!$I$2:$I$50000,'Raw Data'!$R$2:$R$50000,$B1462))</f>
        <v/>
      </c>
      <c r="F1462" s="11" t="str">
        <f>IF($B1462="","",RANK($E1462,$E$2:$E$1501)+COUNTIF($E$2:E1462,$E1462)-1)</f>
        <v/>
      </c>
      <c r="G1462" s="11" t="str">
        <f>IF($B1462="","",RANK($D1462,$D$2:$D$1501)+COUNTIF($D$2:D1462,$D1462)-1)</f>
        <v/>
      </c>
    </row>
    <row r="1463" spans="1:7">
      <c r="A1463" s="11">
        <v>1462</v>
      </c>
      <c r="B1463" s="11" t="str">
        <f>IFERROR(INDEX('Raw Data'!$R$2:$R$50000,MATCH(1462,'Raw Data'!$W$2:$W$50000,0)),"")</f>
        <v/>
      </c>
      <c r="C1463" s="11" t="str">
        <f t="shared" si="22"/>
        <v/>
      </c>
      <c r="D1463" s="11" t="str">
        <f>IF($B1463="","",COUNTIFS('Raw Data'!$R$2:$R$50000,$B1463))</f>
        <v/>
      </c>
      <c r="E1463" s="11" t="str">
        <f>IF($B1463="","",SUMIFS('Raw Data'!$I$2:$I$50000,'Raw Data'!$R$2:$R$50000,$B1463))</f>
        <v/>
      </c>
      <c r="F1463" s="11" t="str">
        <f>IF($B1463="","",RANK($E1463,$E$2:$E$1501)+COUNTIF($E$2:E1463,$E1463)-1)</f>
        <v/>
      </c>
      <c r="G1463" s="11" t="str">
        <f>IF($B1463="","",RANK($D1463,$D$2:$D$1501)+COUNTIF($D$2:D1463,$D1463)-1)</f>
        <v/>
      </c>
    </row>
    <row r="1464" spans="1:7">
      <c r="A1464" s="11">
        <v>1463</v>
      </c>
      <c r="B1464" s="11" t="str">
        <f>IFERROR(INDEX('Raw Data'!$R$2:$R$50000,MATCH(1463,'Raw Data'!$W$2:$W$50000,0)),"")</f>
        <v/>
      </c>
      <c r="C1464" s="11" t="str">
        <f t="shared" si="22"/>
        <v/>
      </c>
      <c r="D1464" s="11" t="str">
        <f>IF($B1464="","",COUNTIFS('Raw Data'!$R$2:$R$50000,$B1464))</f>
        <v/>
      </c>
      <c r="E1464" s="11" t="str">
        <f>IF($B1464="","",SUMIFS('Raw Data'!$I$2:$I$50000,'Raw Data'!$R$2:$R$50000,$B1464))</f>
        <v/>
      </c>
      <c r="F1464" s="11" t="str">
        <f>IF($B1464="","",RANK($E1464,$E$2:$E$1501)+COUNTIF($E$2:E1464,$E1464)-1)</f>
        <v/>
      </c>
      <c r="G1464" s="11" t="str">
        <f>IF($B1464="","",RANK($D1464,$D$2:$D$1501)+COUNTIF($D$2:D1464,$D1464)-1)</f>
        <v/>
      </c>
    </row>
    <row r="1465" spans="1:7">
      <c r="A1465" s="11">
        <v>1464</v>
      </c>
      <c r="B1465" s="11" t="str">
        <f>IFERROR(INDEX('Raw Data'!$R$2:$R$50000,MATCH(1464,'Raw Data'!$W$2:$W$50000,0)),"")</f>
        <v/>
      </c>
      <c r="C1465" s="11" t="str">
        <f t="shared" si="22"/>
        <v/>
      </c>
      <c r="D1465" s="11" t="str">
        <f>IF($B1465="","",COUNTIFS('Raw Data'!$R$2:$R$50000,$B1465))</f>
        <v/>
      </c>
      <c r="E1465" s="11" t="str">
        <f>IF($B1465="","",SUMIFS('Raw Data'!$I$2:$I$50000,'Raw Data'!$R$2:$R$50000,$B1465))</f>
        <v/>
      </c>
      <c r="F1465" s="11" t="str">
        <f>IF($B1465="","",RANK($E1465,$E$2:$E$1501)+COUNTIF($E$2:E1465,$E1465)-1)</f>
        <v/>
      </c>
      <c r="G1465" s="11" t="str">
        <f>IF($B1465="","",RANK($D1465,$D$2:$D$1501)+COUNTIF($D$2:D1465,$D1465)-1)</f>
        <v/>
      </c>
    </row>
    <row r="1466" spans="1:7">
      <c r="A1466" s="11">
        <v>1465</v>
      </c>
      <c r="B1466" s="11" t="str">
        <f>IFERROR(INDEX('Raw Data'!$R$2:$R$50000,MATCH(1465,'Raw Data'!$W$2:$W$50000,0)),"")</f>
        <v/>
      </c>
      <c r="C1466" s="11" t="str">
        <f t="shared" si="22"/>
        <v/>
      </c>
      <c r="D1466" s="11" t="str">
        <f>IF($B1466="","",COUNTIFS('Raw Data'!$R$2:$R$50000,$B1466))</f>
        <v/>
      </c>
      <c r="E1466" s="11" t="str">
        <f>IF($B1466="","",SUMIFS('Raw Data'!$I$2:$I$50000,'Raw Data'!$R$2:$R$50000,$B1466))</f>
        <v/>
      </c>
      <c r="F1466" s="11" t="str">
        <f>IF($B1466="","",RANK($E1466,$E$2:$E$1501)+COUNTIF($E$2:E1466,$E1466)-1)</f>
        <v/>
      </c>
      <c r="G1466" s="11" t="str">
        <f>IF($B1466="","",RANK($D1466,$D$2:$D$1501)+COUNTIF($D$2:D1466,$D1466)-1)</f>
        <v/>
      </c>
    </row>
    <row r="1467" spans="1:7">
      <c r="A1467" s="11">
        <v>1466</v>
      </c>
      <c r="B1467" s="11" t="str">
        <f>IFERROR(INDEX('Raw Data'!$R$2:$R$50000,MATCH(1466,'Raw Data'!$W$2:$W$50000,0)),"")</f>
        <v/>
      </c>
      <c r="C1467" s="11" t="str">
        <f t="shared" si="22"/>
        <v/>
      </c>
      <c r="D1467" s="11" t="str">
        <f>IF($B1467="","",COUNTIFS('Raw Data'!$R$2:$R$50000,$B1467))</f>
        <v/>
      </c>
      <c r="E1467" s="11" t="str">
        <f>IF($B1467="","",SUMIFS('Raw Data'!$I$2:$I$50000,'Raw Data'!$R$2:$R$50000,$B1467))</f>
        <v/>
      </c>
      <c r="F1467" s="11" t="str">
        <f>IF($B1467="","",RANK($E1467,$E$2:$E$1501)+COUNTIF($E$2:E1467,$E1467)-1)</f>
        <v/>
      </c>
      <c r="G1467" s="11" t="str">
        <f>IF($B1467="","",RANK($D1467,$D$2:$D$1501)+COUNTIF($D$2:D1467,$D1467)-1)</f>
        <v/>
      </c>
    </row>
    <row r="1468" spans="1:7">
      <c r="A1468" s="11">
        <v>1467</v>
      </c>
      <c r="B1468" s="11" t="str">
        <f>IFERROR(INDEX('Raw Data'!$R$2:$R$50000,MATCH(1467,'Raw Data'!$W$2:$W$50000,0)),"")</f>
        <v/>
      </c>
      <c r="C1468" s="11" t="str">
        <f t="shared" si="22"/>
        <v/>
      </c>
      <c r="D1468" s="11" t="str">
        <f>IF($B1468="","",COUNTIFS('Raw Data'!$R$2:$R$50000,$B1468))</f>
        <v/>
      </c>
      <c r="E1468" s="11" t="str">
        <f>IF($B1468="","",SUMIFS('Raw Data'!$I$2:$I$50000,'Raw Data'!$R$2:$R$50000,$B1468))</f>
        <v/>
      </c>
      <c r="F1468" s="11" t="str">
        <f>IF($B1468="","",RANK($E1468,$E$2:$E$1501)+COUNTIF($E$2:E1468,$E1468)-1)</f>
        <v/>
      </c>
      <c r="G1468" s="11" t="str">
        <f>IF($B1468="","",RANK($D1468,$D$2:$D$1501)+COUNTIF($D$2:D1468,$D1468)-1)</f>
        <v/>
      </c>
    </row>
    <row r="1469" spans="1:7">
      <c r="A1469" s="11">
        <v>1468</v>
      </c>
      <c r="B1469" s="11" t="str">
        <f>IFERROR(INDEX('Raw Data'!$R$2:$R$50000,MATCH(1468,'Raw Data'!$W$2:$W$50000,0)),"")</f>
        <v/>
      </c>
      <c r="C1469" s="11" t="str">
        <f t="shared" si="22"/>
        <v/>
      </c>
      <c r="D1469" s="11" t="str">
        <f>IF($B1469="","",COUNTIFS('Raw Data'!$R$2:$R$50000,$B1469))</f>
        <v/>
      </c>
      <c r="E1469" s="11" t="str">
        <f>IF($B1469="","",SUMIFS('Raw Data'!$I$2:$I$50000,'Raw Data'!$R$2:$R$50000,$B1469))</f>
        <v/>
      </c>
      <c r="F1469" s="11" t="str">
        <f>IF($B1469="","",RANK($E1469,$E$2:$E$1501)+COUNTIF($E$2:E1469,$E1469)-1)</f>
        <v/>
      </c>
      <c r="G1469" s="11" t="str">
        <f>IF($B1469="","",RANK($D1469,$D$2:$D$1501)+COUNTIF($D$2:D1469,$D1469)-1)</f>
        <v/>
      </c>
    </row>
    <row r="1470" spans="1:7">
      <c r="A1470" s="11">
        <v>1469</v>
      </c>
      <c r="B1470" s="11" t="str">
        <f>IFERROR(INDEX('Raw Data'!$R$2:$R$50000,MATCH(1469,'Raw Data'!$W$2:$W$50000,0)),"")</f>
        <v/>
      </c>
      <c r="C1470" s="11" t="str">
        <f t="shared" si="22"/>
        <v/>
      </c>
      <c r="D1470" s="11" t="str">
        <f>IF($B1470="","",COUNTIFS('Raw Data'!$R$2:$R$50000,$B1470))</f>
        <v/>
      </c>
      <c r="E1470" s="11" t="str">
        <f>IF($B1470="","",SUMIFS('Raw Data'!$I$2:$I$50000,'Raw Data'!$R$2:$R$50000,$B1470))</f>
        <v/>
      </c>
      <c r="F1470" s="11" t="str">
        <f>IF($B1470="","",RANK($E1470,$E$2:$E$1501)+COUNTIF($E$2:E1470,$E1470)-1)</f>
        <v/>
      </c>
      <c r="G1470" s="11" t="str">
        <f>IF($B1470="","",RANK($D1470,$D$2:$D$1501)+COUNTIF($D$2:D1470,$D1470)-1)</f>
        <v/>
      </c>
    </row>
    <row r="1471" spans="1:7">
      <c r="A1471" s="11">
        <v>1470</v>
      </c>
      <c r="B1471" s="11" t="str">
        <f>IFERROR(INDEX('Raw Data'!$R$2:$R$50000,MATCH(1470,'Raw Data'!$W$2:$W$50000,0)),"")</f>
        <v/>
      </c>
      <c r="C1471" s="11" t="str">
        <f t="shared" si="22"/>
        <v/>
      </c>
      <c r="D1471" s="11" t="str">
        <f>IF($B1471="","",COUNTIFS('Raw Data'!$R$2:$R$50000,$B1471))</f>
        <v/>
      </c>
      <c r="E1471" s="11" t="str">
        <f>IF($B1471="","",SUMIFS('Raw Data'!$I$2:$I$50000,'Raw Data'!$R$2:$R$50000,$B1471))</f>
        <v/>
      </c>
      <c r="F1471" s="11" t="str">
        <f>IF($B1471="","",RANK($E1471,$E$2:$E$1501)+COUNTIF($E$2:E1471,$E1471)-1)</f>
        <v/>
      </c>
      <c r="G1471" s="11" t="str">
        <f>IF($B1471="","",RANK($D1471,$D$2:$D$1501)+COUNTIF($D$2:D1471,$D1471)-1)</f>
        <v/>
      </c>
    </row>
    <row r="1472" spans="1:7">
      <c r="A1472" s="11">
        <v>1471</v>
      </c>
      <c r="B1472" s="11" t="str">
        <f>IFERROR(INDEX('Raw Data'!$R$2:$R$50000,MATCH(1471,'Raw Data'!$W$2:$W$50000,0)),"")</f>
        <v/>
      </c>
      <c r="C1472" s="11" t="str">
        <f t="shared" si="22"/>
        <v/>
      </c>
      <c r="D1472" s="11" t="str">
        <f>IF($B1472="","",COUNTIFS('Raw Data'!$R$2:$R$50000,$B1472))</f>
        <v/>
      </c>
      <c r="E1472" s="11" t="str">
        <f>IF($B1472="","",SUMIFS('Raw Data'!$I$2:$I$50000,'Raw Data'!$R$2:$R$50000,$B1472))</f>
        <v/>
      </c>
      <c r="F1472" s="11" t="str">
        <f>IF($B1472="","",RANK($E1472,$E$2:$E$1501)+COUNTIF($E$2:E1472,$E1472)-1)</f>
        <v/>
      </c>
      <c r="G1472" s="11" t="str">
        <f>IF($B1472="","",RANK($D1472,$D$2:$D$1501)+COUNTIF($D$2:D1472,$D1472)-1)</f>
        <v/>
      </c>
    </row>
    <row r="1473" spans="1:7">
      <c r="A1473" s="11">
        <v>1472</v>
      </c>
      <c r="B1473" s="11" t="str">
        <f>IFERROR(INDEX('Raw Data'!$R$2:$R$50000,MATCH(1472,'Raw Data'!$W$2:$W$50000,0)),"")</f>
        <v/>
      </c>
      <c r="C1473" s="11" t="str">
        <f t="shared" si="22"/>
        <v/>
      </c>
      <c r="D1473" s="11" t="str">
        <f>IF($B1473="","",COUNTIFS('Raw Data'!$R$2:$R$50000,$B1473))</f>
        <v/>
      </c>
      <c r="E1473" s="11" t="str">
        <f>IF($B1473="","",SUMIFS('Raw Data'!$I$2:$I$50000,'Raw Data'!$R$2:$R$50000,$B1473))</f>
        <v/>
      </c>
      <c r="F1473" s="11" t="str">
        <f>IF($B1473="","",RANK($E1473,$E$2:$E$1501)+COUNTIF($E$2:E1473,$E1473)-1)</f>
        <v/>
      </c>
      <c r="G1473" s="11" t="str">
        <f>IF($B1473="","",RANK($D1473,$D$2:$D$1501)+COUNTIF($D$2:D1473,$D1473)-1)</f>
        <v/>
      </c>
    </row>
    <row r="1474" spans="1:7">
      <c r="A1474" s="11">
        <v>1473</v>
      </c>
      <c r="B1474" s="11" t="str">
        <f>IFERROR(INDEX('Raw Data'!$R$2:$R$50000,MATCH(1473,'Raw Data'!$W$2:$W$50000,0)),"")</f>
        <v/>
      </c>
      <c r="C1474" s="11" t="str">
        <f t="shared" ref="C1474:C1501" si="23">IF($B1474="","",$B1474)</f>
        <v/>
      </c>
      <c r="D1474" s="11" t="str">
        <f>IF($B1474="","",COUNTIFS('Raw Data'!$R$2:$R$50000,$B1474))</f>
        <v/>
      </c>
      <c r="E1474" s="11" t="str">
        <f>IF($B1474="","",SUMIFS('Raw Data'!$I$2:$I$50000,'Raw Data'!$R$2:$R$50000,$B1474))</f>
        <v/>
      </c>
      <c r="F1474" s="11" t="str">
        <f>IF($B1474="","",RANK($E1474,$E$2:$E$1501)+COUNTIF($E$2:E1474,$E1474)-1)</f>
        <v/>
      </c>
      <c r="G1474" s="11" t="str">
        <f>IF($B1474="","",RANK($D1474,$D$2:$D$1501)+COUNTIF($D$2:D1474,$D1474)-1)</f>
        <v/>
      </c>
    </row>
    <row r="1475" spans="1:7">
      <c r="A1475" s="11">
        <v>1474</v>
      </c>
      <c r="B1475" s="11" t="str">
        <f>IFERROR(INDEX('Raw Data'!$R$2:$R$50000,MATCH(1474,'Raw Data'!$W$2:$W$50000,0)),"")</f>
        <v/>
      </c>
      <c r="C1475" s="11" t="str">
        <f t="shared" si="23"/>
        <v/>
      </c>
      <c r="D1475" s="11" t="str">
        <f>IF($B1475="","",COUNTIFS('Raw Data'!$R$2:$R$50000,$B1475))</f>
        <v/>
      </c>
      <c r="E1475" s="11" t="str">
        <f>IF($B1475="","",SUMIFS('Raw Data'!$I$2:$I$50000,'Raw Data'!$R$2:$R$50000,$B1475))</f>
        <v/>
      </c>
      <c r="F1475" s="11" t="str">
        <f>IF($B1475="","",RANK($E1475,$E$2:$E$1501)+COUNTIF($E$2:E1475,$E1475)-1)</f>
        <v/>
      </c>
      <c r="G1475" s="11" t="str">
        <f>IF($B1475="","",RANK($D1475,$D$2:$D$1501)+COUNTIF($D$2:D1475,$D1475)-1)</f>
        <v/>
      </c>
    </row>
    <row r="1476" spans="1:7">
      <c r="A1476" s="11">
        <v>1475</v>
      </c>
      <c r="B1476" s="11" t="str">
        <f>IFERROR(INDEX('Raw Data'!$R$2:$R$50000,MATCH(1475,'Raw Data'!$W$2:$W$50000,0)),"")</f>
        <v/>
      </c>
      <c r="C1476" s="11" t="str">
        <f t="shared" si="23"/>
        <v/>
      </c>
      <c r="D1476" s="11" t="str">
        <f>IF($B1476="","",COUNTIFS('Raw Data'!$R$2:$R$50000,$B1476))</f>
        <v/>
      </c>
      <c r="E1476" s="11" t="str">
        <f>IF($B1476="","",SUMIFS('Raw Data'!$I$2:$I$50000,'Raw Data'!$R$2:$R$50000,$B1476))</f>
        <v/>
      </c>
      <c r="F1476" s="11" t="str">
        <f>IF($B1476="","",RANK($E1476,$E$2:$E$1501)+COUNTIF($E$2:E1476,$E1476)-1)</f>
        <v/>
      </c>
      <c r="G1476" s="11" t="str">
        <f>IF($B1476="","",RANK($D1476,$D$2:$D$1501)+COUNTIF($D$2:D1476,$D1476)-1)</f>
        <v/>
      </c>
    </row>
    <row r="1477" spans="1:7">
      <c r="A1477" s="11">
        <v>1476</v>
      </c>
      <c r="B1477" s="11" t="str">
        <f>IFERROR(INDEX('Raw Data'!$R$2:$R$50000,MATCH(1476,'Raw Data'!$W$2:$W$50000,0)),"")</f>
        <v/>
      </c>
      <c r="C1477" s="11" t="str">
        <f t="shared" si="23"/>
        <v/>
      </c>
      <c r="D1477" s="11" t="str">
        <f>IF($B1477="","",COUNTIFS('Raw Data'!$R$2:$R$50000,$B1477))</f>
        <v/>
      </c>
      <c r="E1477" s="11" t="str">
        <f>IF($B1477="","",SUMIFS('Raw Data'!$I$2:$I$50000,'Raw Data'!$R$2:$R$50000,$B1477))</f>
        <v/>
      </c>
      <c r="F1477" s="11" t="str">
        <f>IF($B1477="","",RANK($E1477,$E$2:$E$1501)+COUNTIF($E$2:E1477,$E1477)-1)</f>
        <v/>
      </c>
      <c r="G1477" s="11" t="str">
        <f>IF($B1477="","",RANK($D1477,$D$2:$D$1501)+COUNTIF($D$2:D1477,$D1477)-1)</f>
        <v/>
      </c>
    </row>
    <row r="1478" spans="1:7">
      <c r="A1478" s="11">
        <v>1477</v>
      </c>
      <c r="B1478" s="11" t="str">
        <f>IFERROR(INDEX('Raw Data'!$R$2:$R$50000,MATCH(1477,'Raw Data'!$W$2:$W$50000,0)),"")</f>
        <v/>
      </c>
      <c r="C1478" s="11" t="str">
        <f t="shared" si="23"/>
        <v/>
      </c>
      <c r="D1478" s="11" t="str">
        <f>IF($B1478="","",COUNTIFS('Raw Data'!$R$2:$R$50000,$B1478))</f>
        <v/>
      </c>
      <c r="E1478" s="11" t="str">
        <f>IF($B1478="","",SUMIFS('Raw Data'!$I$2:$I$50000,'Raw Data'!$R$2:$R$50000,$B1478))</f>
        <v/>
      </c>
      <c r="F1478" s="11" t="str">
        <f>IF($B1478="","",RANK($E1478,$E$2:$E$1501)+COUNTIF($E$2:E1478,$E1478)-1)</f>
        <v/>
      </c>
      <c r="G1478" s="11" t="str">
        <f>IF($B1478="","",RANK($D1478,$D$2:$D$1501)+COUNTIF($D$2:D1478,$D1478)-1)</f>
        <v/>
      </c>
    </row>
    <row r="1479" spans="1:7">
      <c r="A1479" s="11">
        <v>1478</v>
      </c>
      <c r="B1479" s="11" t="str">
        <f>IFERROR(INDEX('Raw Data'!$R$2:$R$50000,MATCH(1478,'Raw Data'!$W$2:$W$50000,0)),"")</f>
        <v/>
      </c>
      <c r="C1479" s="11" t="str">
        <f t="shared" si="23"/>
        <v/>
      </c>
      <c r="D1479" s="11" t="str">
        <f>IF($B1479="","",COUNTIFS('Raw Data'!$R$2:$R$50000,$B1479))</f>
        <v/>
      </c>
      <c r="E1479" s="11" t="str">
        <f>IF($B1479="","",SUMIFS('Raw Data'!$I$2:$I$50000,'Raw Data'!$R$2:$R$50000,$B1479))</f>
        <v/>
      </c>
      <c r="F1479" s="11" t="str">
        <f>IF($B1479="","",RANK($E1479,$E$2:$E$1501)+COUNTIF($E$2:E1479,$E1479)-1)</f>
        <v/>
      </c>
      <c r="G1479" s="11" t="str">
        <f>IF($B1479="","",RANK($D1479,$D$2:$D$1501)+COUNTIF($D$2:D1479,$D1479)-1)</f>
        <v/>
      </c>
    </row>
    <row r="1480" spans="1:7">
      <c r="A1480" s="11">
        <v>1479</v>
      </c>
      <c r="B1480" s="11" t="str">
        <f>IFERROR(INDEX('Raw Data'!$R$2:$R$50000,MATCH(1479,'Raw Data'!$W$2:$W$50000,0)),"")</f>
        <v/>
      </c>
      <c r="C1480" s="11" t="str">
        <f t="shared" si="23"/>
        <v/>
      </c>
      <c r="D1480" s="11" t="str">
        <f>IF($B1480="","",COUNTIFS('Raw Data'!$R$2:$R$50000,$B1480))</f>
        <v/>
      </c>
      <c r="E1480" s="11" t="str">
        <f>IF($B1480="","",SUMIFS('Raw Data'!$I$2:$I$50000,'Raw Data'!$R$2:$R$50000,$B1480))</f>
        <v/>
      </c>
      <c r="F1480" s="11" t="str">
        <f>IF($B1480="","",RANK($E1480,$E$2:$E$1501)+COUNTIF($E$2:E1480,$E1480)-1)</f>
        <v/>
      </c>
      <c r="G1480" s="11" t="str">
        <f>IF($B1480="","",RANK($D1480,$D$2:$D$1501)+COUNTIF($D$2:D1480,$D1480)-1)</f>
        <v/>
      </c>
    </row>
    <row r="1481" spans="1:7">
      <c r="A1481" s="11">
        <v>1480</v>
      </c>
      <c r="B1481" s="11" t="str">
        <f>IFERROR(INDEX('Raw Data'!$R$2:$R$50000,MATCH(1480,'Raw Data'!$W$2:$W$50000,0)),"")</f>
        <v/>
      </c>
      <c r="C1481" s="11" t="str">
        <f t="shared" si="23"/>
        <v/>
      </c>
      <c r="D1481" s="11" t="str">
        <f>IF($B1481="","",COUNTIFS('Raw Data'!$R$2:$R$50000,$B1481))</f>
        <v/>
      </c>
      <c r="E1481" s="11" t="str">
        <f>IF($B1481="","",SUMIFS('Raw Data'!$I$2:$I$50000,'Raw Data'!$R$2:$R$50000,$B1481))</f>
        <v/>
      </c>
      <c r="F1481" s="11" t="str">
        <f>IF($B1481="","",RANK($E1481,$E$2:$E$1501)+COUNTIF($E$2:E1481,$E1481)-1)</f>
        <v/>
      </c>
      <c r="G1481" s="11" t="str">
        <f>IF($B1481="","",RANK($D1481,$D$2:$D$1501)+COUNTIF($D$2:D1481,$D1481)-1)</f>
        <v/>
      </c>
    </row>
    <row r="1482" spans="1:7">
      <c r="A1482" s="11">
        <v>1481</v>
      </c>
      <c r="B1482" s="11" t="str">
        <f>IFERROR(INDEX('Raw Data'!$R$2:$R$50000,MATCH(1481,'Raw Data'!$W$2:$W$50000,0)),"")</f>
        <v/>
      </c>
      <c r="C1482" s="11" t="str">
        <f t="shared" si="23"/>
        <v/>
      </c>
      <c r="D1482" s="11" t="str">
        <f>IF($B1482="","",COUNTIFS('Raw Data'!$R$2:$R$50000,$B1482))</f>
        <v/>
      </c>
      <c r="E1482" s="11" t="str">
        <f>IF($B1482="","",SUMIFS('Raw Data'!$I$2:$I$50000,'Raw Data'!$R$2:$R$50000,$B1482))</f>
        <v/>
      </c>
      <c r="F1482" s="11" t="str">
        <f>IF($B1482="","",RANK($E1482,$E$2:$E$1501)+COUNTIF($E$2:E1482,$E1482)-1)</f>
        <v/>
      </c>
      <c r="G1482" s="11" t="str">
        <f>IF($B1482="","",RANK($D1482,$D$2:$D$1501)+COUNTIF($D$2:D1482,$D1482)-1)</f>
        <v/>
      </c>
    </row>
    <row r="1483" spans="1:7">
      <c r="A1483" s="11">
        <v>1482</v>
      </c>
      <c r="B1483" s="11" t="str">
        <f>IFERROR(INDEX('Raw Data'!$R$2:$R$50000,MATCH(1482,'Raw Data'!$W$2:$W$50000,0)),"")</f>
        <v/>
      </c>
      <c r="C1483" s="11" t="str">
        <f t="shared" si="23"/>
        <v/>
      </c>
      <c r="D1483" s="11" t="str">
        <f>IF($B1483="","",COUNTIFS('Raw Data'!$R$2:$R$50000,$B1483))</f>
        <v/>
      </c>
      <c r="E1483" s="11" t="str">
        <f>IF($B1483="","",SUMIFS('Raw Data'!$I$2:$I$50000,'Raw Data'!$R$2:$R$50000,$B1483))</f>
        <v/>
      </c>
      <c r="F1483" s="11" t="str">
        <f>IF($B1483="","",RANK($E1483,$E$2:$E$1501)+COUNTIF($E$2:E1483,$E1483)-1)</f>
        <v/>
      </c>
      <c r="G1483" s="11" t="str">
        <f>IF($B1483="","",RANK($D1483,$D$2:$D$1501)+COUNTIF($D$2:D1483,$D1483)-1)</f>
        <v/>
      </c>
    </row>
    <row r="1484" spans="1:7">
      <c r="A1484" s="11">
        <v>1483</v>
      </c>
      <c r="B1484" s="11" t="str">
        <f>IFERROR(INDEX('Raw Data'!$R$2:$R$50000,MATCH(1483,'Raw Data'!$W$2:$W$50000,0)),"")</f>
        <v/>
      </c>
      <c r="C1484" s="11" t="str">
        <f t="shared" si="23"/>
        <v/>
      </c>
      <c r="D1484" s="11" t="str">
        <f>IF($B1484="","",COUNTIFS('Raw Data'!$R$2:$R$50000,$B1484))</f>
        <v/>
      </c>
      <c r="E1484" s="11" t="str">
        <f>IF($B1484="","",SUMIFS('Raw Data'!$I$2:$I$50000,'Raw Data'!$R$2:$R$50000,$B1484))</f>
        <v/>
      </c>
      <c r="F1484" s="11" t="str">
        <f>IF($B1484="","",RANK($E1484,$E$2:$E$1501)+COUNTIF($E$2:E1484,$E1484)-1)</f>
        <v/>
      </c>
      <c r="G1484" s="11" t="str">
        <f>IF($B1484="","",RANK($D1484,$D$2:$D$1501)+COUNTIF($D$2:D1484,$D1484)-1)</f>
        <v/>
      </c>
    </row>
    <row r="1485" spans="1:7">
      <c r="A1485" s="11">
        <v>1484</v>
      </c>
      <c r="B1485" s="11" t="str">
        <f>IFERROR(INDEX('Raw Data'!$R$2:$R$50000,MATCH(1484,'Raw Data'!$W$2:$W$50000,0)),"")</f>
        <v/>
      </c>
      <c r="C1485" s="11" t="str">
        <f t="shared" si="23"/>
        <v/>
      </c>
      <c r="D1485" s="11" t="str">
        <f>IF($B1485="","",COUNTIFS('Raw Data'!$R$2:$R$50000,$B1485))</f>
        <v/>
      </c>
      <c r="E1485" s="11" t="str">
        <f>IF($B1485="","",SUMIFS('Raw Data'!$I$2:$I$50000,'Raw Data'!$R$2:$R$50000,$B1485))</f>
        <v/>
      </c>
      <c r="F1485" s="11" t="str">
        <f>IF($B1485="","",RANK($E1485,$E$2:$E$1501)+COUNTIF($E$2:E1485,$E1485)-1)</f>
        <v/>
      </c>
      <c r="G1485" s="11" t="str">
        <f>IF($B1485="","",RANK($D1485,$D$2:$D$1501)+COUNTIF($D$2:D1485,$D1485)-1)</f>
        <v/>
      </c>
    </row>
    <row r="1486" spans="1:7">
      <c r="A1486" s="11">
        <v>1485</v>
      </c>
      <c r="B1486" s="11" t="str">
        <f>IFERROR(INDEX('Raw Data'!$R$2:$R$50000,MATCH(1485,'Raw Data'!$W$2:$W$50000,0)),"")</f>
        <v/>
      </c>
      <c r="C1486" s="11" t="str">
        <f t="shared" si="23"/>
        <v/>
      </c>
      <c r="D1486" s="11" t="str">
        <f>IF($B1486="","",COUNTIFS('Raw Data'!$R$2:$R$50000,$B1486))</f>
        <v/>
      </c>
      <c r="E1486" s="11" t="str">
        <f>IF($B1486="","",SUMIFS('Raw Data'!$I$2:$I$50000,'Raw Data'!$R$2:$R$50000,$B1486))</f>
        <v/>
      </c>
      <c r="F1486" s="11" t="str">
        <f>IF($B1486="","",RANK($E1486,$E$2:$E$1501)+COUNTIF($E$2:E1486,$E1486)-1)</f>
        <v/>
      </c>
      <c r="G1486" s="11" t="str">
        <f>IF($B1486="","",RANK($D1486,$D$2:$D$1501)+COUNTIF($D$2:D1486,$D1486)-1)</f>
        <v/>
      </c>
    </row>
    <row r="1487" spans="1:7">
      <c r="A1487" s="11">
        <v>1486</v>
      </c>
      <c r="B1487" s="11" t="str">
        <f>IFERROR(INDEX('Raw Data'!$R$2:$R$50000,MATCH(1486,'Raw Data'!$W$2:$W$50000,0)),"")</f>
        <v/>
      </c>
      <c r="C1487" s="11" t="str">
        <f t="shared" si="23"/>
        <v/>
      </c>
      <c r="D1487" s="11" t="str">
        <f>IF($B1487="","",COUNTIFS('Raw Data'!$R$2:$R$50000,$B1487))</f>
        <v/>
      </c>
      <c r="E1487" s="11" t="str">
        <f>IF($B1487="","",SUMIFS('Raw Data'!$I$2:$I$50000,'Raw Data'!$R$2:$R$50000,$B1487))</f>
        <v/>
      </c>
      <c r="F1487" s="11" t="str">
        <f>IF($B1487="","",RANK($E1487,$E$2:$E$1501)+COUNTIF($E$2:E1487,$E1487)-1)</f>
        <v/>
      </c>
      <c r="G1487" s="11" t="str">
        <f>IF($B1487="","",RANK($D1487,$D$2:$D$1501)+COUNTIF($D$2:D1487,$D1487)-1)</f>
        <v/>
      </c>
    </row>
    <row r="1488" spans="1:7">
      <c r="A1488" s="11">
        <v>1487</v>
      </c>
      <c r="B1488" s="11" t="str">
        <f>IFERROR(INDEX('Raw Data'!$R$2:$R$50000,MATCH(1487,'Raw Data'!$W$2:$W$50000,0)),"")</f>
        <v/>
      </c>
      <c r="C1488" s="11" t="str">
        <f t="shared" si="23"/>
        <v/>
      </c>
      <c r="D1488" s="11" t="str">
        <f>IF($B1488="","",COUNTIFS('Raw Data'!$R$2:$R$50000,$B1488))</f>
        <v/>
      </c>
      <c r="E1488" s="11" t="str">
        <f>IF($B1488="","",SUMIFS('Raw Data'!$I$2:$I$50000,'Raw Data'!$R$2:$R$50000,$B1488))</f>
        <v/>
      </c>
      <c r="F1488" s="11" t="str">
        <f>IF($B1488="","",RANK($E1488,$E$2:$E$1501)+COUNTIF($E$2:E1488,$E1488)-1)</f>
        <v/>
      </c>
      <c r="G1488" s="11" t="str">
        <f>IF($B1488="","",RANK($D1488,$D$2:$D$1501)+COUNTIF($D$2:D1488,$D1488)-1)</f>
        <v/>
      </c>
    </row>
    <row r="1489" spans="1:7">
      <c r="A1489" s="11">
        <v>1488</v>
      </c>
      <c r="B1489" s="11" t="str">
        <f>IFERROR(INDEX('Raw Data'!$R$2:$R$50000,MATCH(1488,'Raw Data'!$W$2:$W$50000,0)),"")</f>
        <v/>
      </c>
      <c r="C1489" s="11" t="str">
        <f t="shared" si="23"/>
        <v/>
      </c>
      <c r="D1489" s="11" t="str">
        <f>IF($B1489="","",COUNTIFS('Raw Data'!$R$2:$R$50000,$B1489))</f>
        <v/>
      </c>
      <c r="E1489" s="11" t="str">
        <f>IF($B1489="","",SUMIFS('Raw Data'!$I$2:$I$50000,'Raw Data'!$R$2:$R$50000,$B1489))</f>
        <v/>
      </c>
      <c r="F1489" s="11" t="str">
        <f>IF($B1489="","",RANK($E1489,$E$2:$E$1501)+COUNTIF($E$2:E1489,$E1489)-1)</f>
        <v/>
      </c>
      <c r="G1489" s="11" t="str">
        <f>IF($B1489="","",RANK($D1489,$D$2:$D$1501)+COUNTIF($D$2:D1489,$D1489)-1)</f>
        <v/>
      </c>
    </row>
    <row r="1490" spans="1:7">
      <c r="A1490" s="11">
        <v>1489</v>
      </c>
      <c r="B1490" s="11" t="str">
        <f>IFERROR(INDEX('Raw Data'!$R$2:$R$50000,MATCH(1489,'Raw Data'!$W$2:$W$50000,0)),"")</f>
        <v/>
      </c>
      <c r="C1490" s="11" t="str">
        <f t="shared" si="23"/>
        <v/>
      </c>
      <c r="D1490" s="11" t="str">
        <f>IF($B1490="","",COUNTIFS('Raw Data'!$R$2:$R$50000,$B1490))</f>
        <v/>
      </c>
      <c r="E1490" s="11" t="str">
        <f>IF($B1490="","",SUMIFS('Raw Data'!$I$2:$I$50000,'Raw Data'!$R$2:$R$50000,$B1490))</f>
        <v/>
      </c>
      <c r="F1490" s="11" t="str">
        <f>IF($B1490="","",RANK($E1490,$E$2:$E$1501)+COUNTIF($E$2:E1490,$E1490)-1)</f>
        <v/>
      </c>
      <c r="G1490" s="11" t="str">
        <f>IF($B1490="","",RANK($D1490,$D$2:$D$1501)+COUNTIF($D$2:D1490,$D1490)-1)</f>
        <v/>
      </c>
    </row>
    <row r="1491" spans="1:7">
      <c r="A1491" s="11">
        <v>1490</v>
      </c>
      <c r="B1491" s="11" t="str">
        <f>IFERROR(INDEX('Raw Data'!$R$2:$R$50000,MATCH(1490,'Raw Data'!$W$2:$W$50000,0)),"")</f>
        <v/>
      </c>
      <c r="C1491" s="11" t="str">
        <f t="shared" si="23"/>
        <v/>
      </c>
      <c r="D1491" s="11" t="str">
        <f>IF($B1491="","",COUNTIFS('Raw Data'!$R$2:$R$50000,$B1491))</f>
        <v/>
      </c>
      <c r="E1491" s="11" t="str">
        <f>IF($B1491="","",SUMIFS('Raw Data'!$I$2:$I$50000,'Raw Data'!$R$2:$R$50000,$B1491))</f>
        <v/>
      </c>
      <c r="F1491" s="11" t="str">
        <f>IF($B1491="","",RANK($E1491,$E$2:$E$1501)+COUNTIF($E$2:E1491,$E1491)-1)</f>
        <v/>
      </c>
      <c r="G1491" s="11" t="str">
        <f>IF($B1491="","",RANK($D1491,$D$2:$D$1501)+COUNTIF($D$2:D1491,$D1491)-1)</f>
        <v/>
      </c>
    </row>
    <row r="1492" spans="1:7">
      <c r="A1492" s="11">
        <v>1491</v>
      </c>
      <c r="B1492" s="11" t="str">
        <f>IFERROR(INDEX('Raw Data'!$R$2:$R$50000,MATCH(1491,'Raw Data'!$W$2:$W$50000,0)),"")</f>
        <v/>
      </c>
      <c r="C1492" s="11" t="str">
        <f t="shared" si="23"/>
        <v/>
      </c>
      <c r="D1492" s="11" t="str">
        <f>IF($B1492="","",COUNTIFS('Raw Data'!$R$2:$R$50000,$B1492))</f>
        <v/>
      </c>
      <c r="E1492" s="11" t="str">
        <f>IF($B1492="","",SUMIFS('Raw Data'!$I$2:$I$50000,'Raw Data'!$R$2:$R$50000,$B1492))</f>
        <v/>
      </c>
      <c r="F1492" s="11" t="str">
        <f>IF($B1492="","",RANK($E1492,$E$2:$E$1501)+COUNTIF($E$2:E1492,$E1492)-1)</f>
        <v/>
      </c>
      <c r="G1492" s="11" t="str">
        <f>IF($B1492="","",RANK($D1492,$D$2:$D$1501)+COUNTIF($D$2:D1492,$D1492)-1)</f>
        <v/>
      </c>
    </row>
    <row r="1493" spans="1:7">
      <c r="A1493" s="11">
        <v>1492</v>
      </c>
      <c r="B1493" s="11" t="str">
        <f>IFERROR(INDEX('Raw Data'!$R$2:$R$50000,MATCH(1492,'Raw Data'!$W$2:$W$50000,0)),"")</f>
        <v/>
      </c>
      <c r="C1493" s="11" t="str">
        <f t="shared" si="23"/>
        <v/>
      </c>
      <c r="D1493" s="11" t="str">
        <f>IF($B1493="","",COUNTIFS('Raw Data'!$R$2:$R$50000,$B1493))</f>
        <v/>
      </c>
      <c r="E1493" s="11" t="str">
        <f>IF($B1493="","",SUMIFS('Raw Data'!$I$2:$I$50000,'Raw Data'!$R$2:$R$50000,$B1493))</f>
        <v/>
      </c>
      <c r="F1493" s="11" t="str">
        <f>IF($B1493="","",RANK($E1493,$E$2:$E$1501)+COUNTIF($E$2:E1493,$E1493)-1)</f>
        <v/>
      </c>
      <c r="G1493" s="11" t="str">
        <f>IF($B1493="","",RANK($D1493,$D$2:$D$1501)+COUNTIF($D$2:D1493,$D1493)-1)</f>
        <v/>
      </c>
    </row>
    <row r="1494" spans="1:7">
      <c r="A1494" s="11">
        <v>1493</v>
      </c>
      <c r="B1494" s="11" t="str">
        <f>IFERROR(INDEX('Raw Data'!$R$2:$R$50000,MATCH(1493,'Raw Data'!$W$2:$W$50000,0)),"")</f>
        <v/>
      </c>
      <c r="C1494" s="11" t="str">
        <f t="shared" si="23"/>
        <v/>
      </c>
      <c r="D1494" s="11" t="str">
        <f>IF($B1494="","",COUNTIFS('Raw Data'!$R$2:$R$50000,$B1494))</f>
        <v/>
      </c>
      <c r="E1494" s="11" t="str">
        <f>IF($B1494="","",SUMIFS('Raw Data'!$I$2:$I$50000,'Raw Data'!$R$2:$R$50000,$B1494))</f>
        <v/>
      </c>
      <c r="F1494" s="11" t="str">
        <f>IF($B1494="","",RANK($E1494,$E$2:$E$1501)+COUNTIF($E$2:E1494,$E1494)-1)</f>
        <v/>
      </c>
      <c r="G1494" s="11" t="str">
        <f>IF($B1494="","",RANK($D1494,$D$2:$D$1501)+COUNTIF($D$2:D1494,$D1494)-1)</f>
        <v/>
      </c>
    </row>
    <row r="1495" spans="1:7">
      <c r="A1495" s="11">
        <v>1494</v>
      </c>
      <c r="B1495" s="11" t="str">
        <f>IFERROR(INDEX('Raw Data'!$R$2:$R$50000,MATCH(1494,'Raw Data'!$W$2:$W$50000,0)),"")</f>
        <v/>
      </c>
      <c r="C1495" s="11" t="str">
        <f t="shared" si="23"/>
        <v/>
      </c>
      <c r="D1495" s="11" t="str">
        <f>IF($B1495="","",COUNTIFS('Raw Data'!$R$2:$R$50000,$B1495))</f>
        <v/>
      </c>
      <c r="E1495" s="11" t="str">
        <f>IF($B1495="","",SUMIFS('Raw Data'!$I$2:$I$50000,'Raw Data'!$R$2:$R$50000,$B1495))</f>
        <v/>
      </c>
      <c r="F1495" s="11" t="str">
        <f>IF($B1495="","",RANK($E1495,$E$2:$E$1501)+COUNTIF($E$2:E1495,$E1495)-1)</f>
        <v/>
      </c>
      <c r="G1495" s="11" t="str">
        <f>IF($B1495="","",RANK($D1495,$D$2:$D$1501)+COUNTIF($D$2:D1495,$D1495)-1)</f>
        <v/>
      </c>
    </row>
    <row r="1496" spans="1:7">
      <c r="A1496" s="11">
        <v>1495</v>
      </c>
      <c r="B1496" s="11" t="str">
        <f>IFERROR(INDEX('Raw Data'!$R$2:$R$50000,MATCH(1495,'Raw Data'!$W$2:$W$50000,0)),"")</f>
        <v/>
      </c>
      <c r="C1496" s="11" t="str">
        <f t="shared" si="23"/>
        <v/>
      </c>
      <c r="D1496" s="11" t="str">
        <f>IF($B1496="","",COUNTIFS('Raw Data'!$R$2:$R$50000,$B1496))</f>
        <v/>
      </c>
      <c r="E1496" s="11" t="str">
        <f>IF($B1496="","",SUMIFS('Raw Data'!$I$2:$I$50000,'Raw Data'!$R$2:$R$50000,$B1496))</f>
        <v/>
      </c>
      <c r="F1496" s="11" t="str">
        <f>IF($B1496="","",RANK($E1496,$E$2:$E$1501)+COUNTIF($E$2:E1496,$E1496)-1)</f>
        <v/>
      </c>
      <c r="G1496" s="11" t="str">
        <f>IF($B1496="","",RANK($D1496,$D$2:$D$1501)+COUNTIF($D$2:D1496,$D1496)-1)</f>
        <v/>
      </c>
    </row>
    <row r="1497" spans="1:7">
      <c r="A1497" s="11">
        <v>1496</v>
      </c>
      <c r="B1497" s="11" t="str">
        <f>IFERROR(INDEX('Raw Data'!$R$2:$R$50000,MATCH(1496,'Raw Data'!$W$2:$W$50000,0)),"")</f>
        <v/>
      </c>
      <c r="C1497" s="11" t="str">
        <f t="shared" si="23"/>
        <v/>
      </c>
      <c r="D1497" s="11" t="str">
        <f>IF($B1497="","",COUNTIFS('Raw Data'!$R$2:$R$50000,$B1497))</f>
        <v/>
      </c>
      <c r="E1497" s="11" t="str">
        <f>IF($B1497="","",SUMIFS('Raw Data'!$I$2:$I$50000,'Raw Data'!$R$2:$R$50000,$B1497))</f>
        <v/>
      </c>
      <c r="F1497" s="11" t="str">
        <f>IF($B1497="","",RANK($E1497,$E$2:$E$1501)+COUNTIF($E$2:E1497,$E1497)-1)</f>
        <v/>
      </c>
      <c r="G1497" s="11" t="str">
        <f>IF($B1497="","",RANK($D1497,$D$2:$D$1501)+COUNTIF($D$2:D1497,$D1497)-1)</f>
        <v/>
      </c>
    </row>
    <row r="1498" spans="1:7">
      <c r="A1498" s="11">
        <v>1497</v>
      </c>
      <c r="B1498" s="11" t="str">
        <f>IFERROR(INDEX('Raw Data'!$R$2:$R$50000,MATCH(1497,'Raw Data'!$W$2:$W$50000,0)),"")</f>
        <v/>
      </c>
      <c r="C1498" s="11" t="str">
        <f t="shared" si="23"/>
        <v/>
      </c>
      <c r="D1498" s="11" t="str">
        <f>IF($B1498="","",COUNTIFS('Raw Data'!$R$2:$R$50000,$B1498))</f>
        <v/>
      </c>
      <c r="E1498" s="11" t="str">
        <f>IF($B1498="","",SUMIFS('Raw Data'!$I$2:$I$50000,'Raw Data'!$R$2:$R$50000,$B1498))</f>
        <v/>
      </c>
      <c r="F1498" s="11" t="str">
        <f>IF($B1498="","",RANK($E1498,$E$2:$E$1501)+COUNTIF($E$2:E1498,$E1498)-1)</f>
        <v/>
      </c>
      <c r="G1498" s="11" t="str">
        <f>IF($B1498="","",RANK($D1498,$D$2:$D$1501)+COUNTIF($D$2:D1498,$D1498)-1)</f>
        <v/>
      </c>
    </row>
    <row r="1499" spans="1:7">
      <c r="A1499" s="11">
        <v>1498</v>
      </c>
      <c r="B1499" s="11" t="str">
        <f>IFERROR(INDEX('Raw Data'!$R$2:$R$50000,MATCH(1498,'Raw Data'!$W$2:$W$50000,0)),"")</f>
        <v/>
      </c>
      <c r="C1499" s="11" t="str">
        <f t="shared" si="23"/>
        <v/>
      </c>
      <c r="D1499" s="11" t="str">
        <f>IF($B1499="","",COUNTIFS('Raw Data'!$R$2:$R$50000,$B1499))</f>
        <v/>
      </c>
      <c r="E1499" s="11" t="str">
        <f>IF($B1499="","",SUMIFS('Raw Data'!$I$2:$I$50000,'Raw Data'!$R$2:$R$50000,$B1499))</f>
        <v/>
      </c>
      <c r="F1499" s="11" t="str">
        <f>IF($B1499="","",RANK($E1499,$E$2:$E$1501)+COUNTIF($E$2:E1499,$E1499)-1)</f>
        <v/>
      </c>
      <c r="G1499" s="11" t="str">
        <f>IF($B1499="","",RANK($D1499,$D$2:$D$1501)+COUNTIF($D$2:D1499,$D1499)-1)</f>
        <v/>
      </c>
    </row>
    <row r="1500" spans="1:7">
      <c r="A1500" s="11">
        <v>1499</v>
      </c>
      <c r="B1500" s="11" t="str">
        <f>IFERROR(INDEX('Raw Data'!$R$2:$R$50000,MATCH(1499,'Raw Data'!$W$2:$W$50000,0)),"")</f>
        <v/>
      </c>
      <c r="C1500" s="11" t="str">
        <f t="shared" si="23"/>
        <v/>
      </c>
      <c r="D1500" s="11" t="str">
        <f>IF($B1500="","",COUNTIFS('Raw Data'!$R$2:$R$50000,$B1500))</f>
        <v/>
      </c>
      <c r="E1500" s="11" t="str">
        <f>IF($B1500="","",SUMIFS('Raw Data'!$I$2:$I$50000,'Raw Data'!$R$2:$R$50000,$B1500))</f>
        <v/>
      </c>
      <c r="F1500" s="11" t="str">
        <f>IF($B1500="","",RANK($E1500,$E$2:$E$1501)+COUNTIF($E$2:E1500,$E1500)-1)</f>
        <v/>
      </c>
      <c r="G1500" s="11" t="str">
        <f>IF($B1500="","",RANK($D1500,$D$2:$D$1501)+COUNTIF($D$2:D1500,$D1500)-1)</f>
        <v/>
      </c>
    </row>
    <row r="1501" spans="1:7">
      <c r="A1501" s="11">
        <v>1500</v>
      </c>
      <c r="B1501" s="11" t="str">
        <f>IFERROR(INDEX('Raw Data'!$R$2:$R$50000,MATCH(1500,'Raw Data'!$W$2:$W$50000,0)),"")</f>
        <v/>
      </c>
      <c r="C1501" s="11" t="str">
        <f t="shared" si="23"/>
        <v/>
      </c>
      <c r="D1501" s="11" t="str">
        <f>IF($B1501="","",COUNTIFS('Raw Data'!$R$2:$R$50000,$B1501))</f>
        <v/>
      </c>
      <c r="E1501" s="11" t="str">
        <f>IF($B1501="","",SUMIFS('Raw Data'!$I$2:$I$50000,'Raw Data'!$R$2:$R$50000,$B1501))</f>
        <v/>
      </c>
      <c r="F1501" s="11" t="str">
        <f>IF($B1501="","",RANK($E1501,$E$2:$E$1501)+COUNTIF($E$2:E1501,$E1501)-1)</f>
        <v/>
      </c>
      <c r="G1501" s="11" t="str">
        <f>IF($B1501="","",RANK($D1501,$D$2:$D$1501)+COUNTIF($D$2:D1501,$D1501)-1)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F7" sqref="F7"/>
    </sheetView>
  </sheetViews>
  <sheetFormatPr defaultColWidth="9" defaultRowHeight="15"/>
  <cols>
    <col min="1" max="1" width="7" customWidth="1"/>
    <col min="2" max="2" width="30" customWidth="1"/>
    <col min="3" max="3" width="15.5703125" bestFit="1" customWidth="1"/>
    <col min="4" max="4" width="16.42578125" customWidth="1"/>
    <col min="5" max="5" width="16" customWidth="1"/>
  </cols>
  <sheetData>
    <row r="1" spans="1:6" ht="20.25">
      <c r="A1" s="1" t="s">
        <v>61</v>
      </c>
    </row>
    <row r="2" spans="1:6">
      <c r="A2" s="2" t="str">
        <f>"Periode: "&amp;TEXT(MAX('Raw Data'!$Q$2:$Q$50000),"MMMM YYYY")&amp;""</f>
        <v>Periode: July 2026</v>
      </c>
    </row>
    <row r="4" spans="1:6">
      <c r="A4" s="24" t="s">
        <v>67</v>
      </c>
      <c r="B4" s="24"/>
      <c r="D4" s="24" t="s">
        <v>70</v>
      </c>
      <c r="E4" s="24"/>
      <c r="F4" s="24"/>
    </row>
    <row r="5" spans="1:6" ht="16.5">
      <c r="A5" s="25">
        <f>COUNT(_Cust_Helper!$F$2:$F$1501)</f>
        <v>226</v>
      </c>
      <c r="B5" s="25"/>
      <c r="D5" s="25" t="str">
        <f>INDEX(_Cust_Helper!$C$2:$C$1501,MATCH(1,_Cust_Helper!$F$2:$F$1501,0))&amp;" — Rp"&amp;TEXT(INDEX(_Cust_Helper!$E$2:$E$1501,MATCH(1,_Cust_Helper!$F$2:$F$1501,0)),"#,##0")</f>
        <v>Toko Sepeda UWO2 — Rp3,247,000</v>
      </c>
      <c r="E5" s="25"/>
      <c r="F5" s="25"/>
    </row>
    <row r="8" spans="1:6" ht="15.75">
      <c r="A8" s="3" t="s">
        <v>62</v>
      </c>
    </row>
    <row r="9" spans="1:6">
      <c r="A9" s="4" t="s">
        <v>63</v>
      </c>
      <c r="B9" s="4" t="s">
        <v>64</v>
      </c>
      <c r="C9" s="4" t="s">
        <v>68</v>
      </c>
      <c r="D9" s="4" t="s">
        <v>69</v>
      </c>
      <c r="E9" s="4" t="s">
        <v>65</v>
      </c>
    </row>
    <row r="10" spans="1:6">
      <c r="A10" s="5">
        <v>1</v>
      </c>
      <c r="B10" s="6" t="str">
        <f>IFERROR(INDEX(_Cust_Helper!$C$2:$C$1501,MATCH(1,_Cust_Helper!$F$2:$F$1501,0)),"")</f>
        <v>Toko Sepeda UWO2</v>
      </c>
      <c r="C10" s="5">
        <f>IF($B10="","",INDEX(_Cust_Helper!$D$2:$D$1501,MATCH(1,_Cust_Helper!$F$2:$F$1501,0)))</f>
        <v>7</v>
      </c>
      <c r="D10" s="7">
        <f>IF($B10="","",INDEX(_Cust_Helper!$E$2:$E$1501,MATCH(1,_Cust_Helper!$F$2:$F$1501,0)))</f>
        <v>3247000</v>
      </c>
      <c r="E10" s="7">
        <f t="shared" ref="E10:E19" si="0">IF($B10="","",IF($C10=0,0,$D10/$C10))</f>
        <v>463857.14285714284</v>
      </c>
    </row>
    <row r="11" spans="1:6">
      <c r="A11" s="8">
        <v>2</v>
      </c>
      <c r="B11" s="9" t="str">
        <f>IFERROR(INDEX(_Cust_Helper!$C$2:$C$1501,MATCH(2,_Cust_Helper!$F$2:$F$1501,0)),"")</f>
        <v>Faradithya Putri Lakcyta</v>
      </c>
      <c r="C11" s="8">
        <f>IF($B11="","",INDEX(_Cust_Helper!$D$2:$D$1501,MATCH(2,_Cust_Helper!$F$2:$F$1501,0)))</f>
        <v>67</v>
      </c>
      <c r="D11" s="10">
        <f>IF($B11="","",INDEX(_Cust_Helper!$E$2:$E$1501,MATCH(2,_Cust_Helper!$F$2:$F$1501,0)))</f>
        <v>1301000</v>
      </c>
      <c r="E11" s="10">
        <f t="shared" si="0"/>
        <v>19417.910447761195</v>
      </c>
    </row>
    <row r="12" spans="1:6">
      <c r="A12" s="5">
        <v>3</v>
      </c>
      <c r="B12" s="6" t="str">
        <f>IFERROR(INDEX(_Cust_Helper!$C$2:$C$1501,MATCH(3,_Cust_Helper!$F$2:$F$1501,0)),"")</f>
        <v>Michael L.</v>
      </c>
      <c r="C12" s="5">
        <f>IF($B12="","",INDEX(_Cust_Helper!$D$2:$D$1501,MATCH(3,_Cust_Helper!$F$2:$F$1501,0)))</f>
        <v>29</v>
      </c>
      <c r="D12" s="7">
        <f>IF($B12="","",INDEX(_Cust_Helper!$E$2:$E$1501,MATCH(3,_Cust_Helper!$F$2:$F$1501,0)))</f>
        <v>825000</v>
      </c>
      <c r="E12" s="7">
        <f t="shared" si="0"/>
        <v>28448.275862068964</v>
      </c>
    </row>
    <row r="13" spans="1:6">
      <c r="A13" s="8">
        <v>4</v>
      </c>
      <c r="B13" s="9" t="str">
        <f>IFERROR(INDEX(_Cust_Helper!$C$2:$C$1501,MATCH(4,_Cust_Helper!$F$2:$F$1501,0)),"")</f>
        <v>Pacificdental_group</v>
      </c>
      <c r="C13" s="8">
        <f>IF($B13="","",INDEX(_Cust_Helper!$D$2:$D$1501,MATCH(4,_Cust_Helper!$F$2:$F$1501,0)))</f>
        <v>21</v>
      </c>
      <c r="D13" s="10">
        <f>IF($B13="","",INDEX(_Cust_Helper!$E$2:$E$1501,MATCH(4,_Cust_Helper!$F$2:$F$1501,0)))</f>
        <v>613500</v>
      </c>
      <c r="E13" s="10">
        <f t="shared" si="0"/>
        <v>29214.285714285714</v>
      </c>
    </row>
    <row r="14" spans="1:6">
      <c r="A14" s="5">
        <v>5</v>
      </c>
      <c r="B14" s="6" t="str">
        <f>IFERROR(INDEX(_Cust_Helper!$C$2:$C$1501,MATCH(5,_Cust_Helper!$F$2:$F$1501,0)),"")</f>
        <v>Maryani Yani/ mitra pompa</v>
      </c>
      <c r="C14" s="5">
        <f>IF($B14="","",INDEX(_Cust_Helper!$D$2:$D$1501,MATCH(5,_Cust_Helper!$F$2:$F$1501,0)))</f>
        <v>20</v>
      </c>
      <c r="D14" s="7">
        <f>IF($B14="","",INDEX(_Cust_Helper!$E$2:$E$1501,MATCH(5,_Cust_Helper!$F$2:$F$1501,0)))</f>
        <v>605000</v>
      </c>
      <c r="E14" s="7">
        <f t="shared" si="0"/>
        <v>30250</v>
      </c>
    </row>
    <row r="15" spans="1:6">
      <c r="A15" s="8">
        <v>6</v>
      </c>
      <c r="B15" s="9" t="str">
        <f>IFERROR(INDEX(_Cust_Helper!$C$2:$C$1501,MATCH(6,_Cust_Helper!$F$2:$F$1501,0)),"")</f>
        <v>Dani Hamdani (Yasashi Japan)</v>
      </c>
      <c r="C15" s="8">
        <f>IF($B15="","",INDEX(_Cust_Helper!$D$2:$D$1501,MATCH(6,_Cust_Helper!$F$2:$F$1501,0)))</f>
        <v>34</v>
      </c>
      <c r="D15" s="10">
        <f>IF($B15="","",INDEX(_Cust_Helper!$E$2:$E$1501,MATCH(6,_Cust_Helper!$F$2:$F$1501,0)))</f>
        <v>521500</v>
      </c>
      <c r="E15" s="10">
        <f t="shared" si="0"/>
        <v>15338.235294117647</v>
      </c>
    </row>
    <row r="16" spans="1:6">
      <c r="A16" s="5">
        <v>7</v>
      </c>
      <c r="B16" s="6" t="str">
        <f>IFERROR(INDEX(_Cust_Helper!$C$2:$C$1501,MATCH(7,_Cust_Helper!$F$2:$F$1501,0)),"")</f>
        <v>Lunalita (Lutfiyatul Hanifah)</v>
      </c>
      <c r="C16" s="5">
        <f>IF($B16="","",INDEX(_Cust_Helper!$D$2:$D$1501,MATCH(7,_Cust_Helper!$F$2:$F$1501,0)))</f>
        <v>18</v>
      </c>
      <c r="D16" s="7">
        <f>IF($B16="","",INDEX(_Cust_Helper!$E$2:$E$1501,MATCH(7,_Cust_Helper!$F$2:$F$1501,0)))</f>
        <v>521000</v>
      </c>
      <c r="E16" s="7">
        <f t="shared" si="0"/>
        <v>28944.444444444445</v>
      </c>
    </row>
    <row r="17" spans="1:5">
      <c r="A17" s="8">
        <v>8</v>
      </c>
      <c r="B17" s="9" t="str">
        <f>IFERROR(INDEX(_Cust_Helper!$C$2:$C$1501,MATCH(8,_Cust_Helper!$F$2:$F$1501,0)),"")</f>
        <v>SJM Paper &amp; Sticker</v>
      </c>
      <c r="C17" s="8">
        <f>IF($B17="","",INDEX(_Cust_Helper!$D$2:$D$1501,MATCH(8,_Cust_Helper!$F$2:$F$1501,0)))</f>
        <v>16</v>
      </c>
      <c r="D17" s="10">
        <f>IF($B17="","",INDEX(_Cust_Helper!$E$2:$E$1501,MATCH(8,_Cust_Helper!$F$2:$F$1501,0)))</f>
        <v>504000</v>
      </c>
      <c r="E17" s="10">
        <f t="shared" si="0"/>
        <v>31500</v>
      </c>
    </row>
    <row r="18" spans="1:5">
      <c r="A18" s="5">
        <v>9</v>
      </c>
      <c r="B18" s="6" t="str">
        <f>IFERROR(INDEX(_Cust_Helper!$C$2:$C$1501,MATCH(9,_Cust_Helper!$F$2:$F$1501,0)),"")</f>
        <v>Dela Natalia Saputra</v>
      </c>
      <c r="C18" s="5">
        <f>IF($B18="","",INDEX(_Cust_Helper!$D$2:$D$1501,MATCH(9,_Cust_Helper!$F$2:$F$1501,0)))</f>
        <v>25</v>
      </c>
      <c r="D18" s="7">
        <f>IF($B18="","",INDEX(_Cust_Helper!$E$2:$E$1501,MATCH(9,_Cust_Helper!$F$2:$F$1501,0)))</f>
        <v>492000</v>
      </c>
      <c r="E18" s="7">
        <f t="shared" si="0"/>
        <v>19680</v>
      </c>
    </row>
    <row r="19" spans="1:5">
      <c r="A19" s="8">
        <v>10</v>
      </c>
      <c r="B19" s="9" t="str">
        <f>IFERROR(INDEX(_Cust_Helper!$C$2:$C$1501,MATCH(10,_Cust_Helper!$F$2:$F$1501,0)),"")</f>
        <v>May</v>
      </c>
      <c r="C19" s="8">
        <f>IF($B19="","",INDEX(_Cust_Helper!$D$2:$D$1501,MATCH(10,_Cust_Helper!$F$2:$F$1501,0)))</f>
        <v>1</v>
      </c>
      <c r="D19" s="10">
        <f>IF($B19="","",INDEX(_Cust_Helper!$E$2:$E$1501,MATCH(10,_Cust_Helper!$F$2:$F$1501,0)))</f>
        <v>464000</v>
      </c>
      <c r="E19" s="10">
        <f t="shared" si="0"/>
        <v>464000</v>
      </c>
    </row>
    <row r="22" spans="1:5" ht="15.75">
      <c r="A22" s="3" t="s">
        <v>66</v>
      </c>
    </row>
    <row r="23" spans="1:5">
      <c r="A23" s="4" t="s">
        <v>63</v>
      </c>
      <c r="B23" s="4" t="s">
        <v>64</v>
      </c>
      <c r="C23" s="4" t="s">
        <v>68</v>
      </c>
      <c r="D23" s="4" t="s">
        <v>69</v>
      </c>
      <c r="E23" s="4" t="s">
        <v>65</v>
      </c>
    </row>
    <row r="24" spans="1:5">
      <c r="A24" s="5">
        <v>1</v>
      </c>
      <c r="B24" s="6" t="str">
        <f>IFERROR(INDEX(_Cust_Helper!$C$2:$C$1501,MATCH(1,_Cust_Helper!$G$2:$G$1501,0)),"")</f>
        <v>Faradithya Putri Lakcyta</v>
      </c>
      <c r="C24" s="5">
        <f>IF($B24="","",INDEX(_Cust_Helper!$D$2:$D$1501,MATCH(1,_Cust_Helper!$G$2:$G$1501,0)))</f>
        <v>67</v>
      </c>
      <c r="D24" s="7">
        <f>IF($B24="","",INDEX(_Cust_Helper!$E$2:$E$1501,MATCH(1,_Cust_Helper!$G$2:$G$1501,0)))</f>
        <v>1301000</v>
      </c>
      <c r="E24" s="7">
        <f t="shared" ref="E24:E33" si="1">IF($B24="","",IF($C24=0,0,$D24/$C24))</f>
        <v>19417.910447761195</v>
      </c>
    </row>
    <row r="25" spans="1:5">
      <c r="A25" s="8">
        <v>2</v>
      </c>
      <c r="B25" s="9" t="str">
        <f>IFERROR(INDEX(_Cust_Helper!$C$2:$C$1501,MATCH(2,_Cust_Helper!$G$2:$G$1501,0)),"")</f>
        <v>Dani Hamdani (Yasashi Japan)</v>
      </c>
      <c r="C25" s="8">
        <f>IF($B25="","",INDEX(_Cust_Helper!$D$2:$D$1501,MATCH(2,_Cust_Helper!$G$2:$G$1501,0)))</f>
        <v>34</v>
      </c>
      <c r="D25" s="10">
        <f>IF($B25="","",INDEX(_Cust_Helper!$E$2:$E$1501,MATCH(2,_Cust_Helper!$G$2:$G$1501,0)))</f>
        <v>521500</v>
      </c>
      <c r="E25" s="10">
        <f t="shared" si="1"/>
        <v>15338.235294117647</v>
      </c>
    </row>
    <row r="26" spans="1:5">
      <c r="A26" s="5">
        <v>3</v>
      </c>
      <c r="B26" s="6" t="str">
        <f>IFERROR(INDEX(_Cust_Helper!$C$2:$C$1501,MATCH(3,_Cust_Helper!$G$2:$G$1501,0)),"")</f>
        <v>Michael L.</v>
      </c>
      <c r="C26" s="5">
        <f>IF($B26="","",INDEX(_Cust_Helper!$D$2:$D$1501,MATCH(3,_Cust_Helper!$G$2:$G$1501,0)))</f>
        <v>29</v>
      </c>
      <c r="D26" s="7">
        <f>IF($B26="","",INDEX(_Cust_Helper!$E$2:$E$1501,MATCH(3,_Cust_Helper!$G$2:$G$1501,0)))</f>
        <v>825000</v>
      </c>
      <c r="E26" s="7">
        <f t="shared" si="1"/>
        <v>28448.275862068964</v>
      </c>
    </row>
    <row r="27" spans="1:5">
      <c r="A27" s="8">
        <v>4</v>
      </c>
      <c r="B27" s="9" t="str">
        <f>IFERROR(INDEX(_Cust_Helper!$C$2:$C$1501,MATCH(4,_Cust_Helper!$G$2:$G$1501,0)),"")</f>
        <v>Dela Natalia Saputra</v>
      </c>
      <c r="C27" s="8">
        <f>IF($B27="","",INDEX(_Cust_Helper!$D$2:$D$1501,MATCH(4,_Cust_Helper!$G$2:$G$1501,0)))</f>
        <v>25</v>
      </c>
      <c r="D27" s="10">
        <f>IF($B27="","",INDEX(_Cust_Helper!$E$2:$E$1501,MATCH(4,_Cust_Helper!$G$2:$G$1501,0)))</f>
        <v>492000</v>
      </c>
      <c r="E27" s="10">
        <f t="shared" si="1"/>
        <v>19680</v>
      </c>
    </row>
    <row r="28" spans="1:5">
      <c r="A28" s="5">
        <v>5</v>
      </c>
      <c r="B28" s="6" t="str">
        <f>IFERROR(INDEX(_Cust_Helper!$C$2:$C$1501,MATCH(5,_Cust_Helper!$G$2:$G$1501,0)),"")</f>
        <v>ratna (gii)</v>
      </c>
      <c r="C28" s="5">
        <f>IF($B28="","",INDEX(_Cust_Helper!$D$2:$D$1501,MATCH(5,_Cust_Helper!$G$2:$G$1501,0)))</f>
        <v>25</v>
      </c>
      <c r="D28" s="7">
        <f>IF($B28="","",INDEX(_Cust_Helper!$E$2:$E$1501,MATCH(5,_Cust_Helper!$G$2:$G$1501,0)))</f>
        <v>441500</v>
      </c>
      <c r="E28" s="7">
        <f t="shared" si="1"/>
        <v>17660</v>
      </c>
    </row>
    <row r="29" spans="1:5">
      <c r="A29" s="8">
        <v>6</v>
      </c>
      <c r="B29" s="9" t="str">
        <f>IFERROR(INDEX(_Cust_Helper!$C$2:$C$1501,MATCH(6,_Cust_Helper!$G$2:$G$1501,0)),"")</f>
        <v>Pacificdental_group</v>
      </c>
      <c r="C29" s="8">
        <f>IF($B29="","",INDEX(_Cust_Helper!$D$2:$D$1501,MATCH(6,_Cust_Helper!$G$2:$G$1501,0)))</f>
        <v>21</v>
      </c>
      <c r="D29" s="10">
        <f>IF($B29="","",INDEX(_Cust_Helper!$E$2:$E$1501,MATCH(6,_Cust_Helper!$G$2:$G$1501,0)))</f>
        <v>613500</v>
      </c>
      <c r="E29" s="10">
        <f t="shared" si="1"/>
        <v>29214.285714285714</v>
      </c>
    </row>
    <row r="30" spans="1:5">
      <c r="A30" s="5">
        <v>7</v>
      </c>
      <c r="B30" s="6" t="str">
        <f>IFERROR(INDEX(_Cust_Helper!$C$2:$C$1501,MATCH(7,_Cust_Helper!$G$2:$G$1501,0)),"")</f>
        <v>Maryani Yani/ mitra pompa</v>
      </c>
      <c r="C30" s="5">
        <f>IF($B30="","",INDEX(_Cust_Helper!$D$2:$D$1501,MATCH(7,_Cust_Helper!$G$2:$G$1501,0)))</f>
        <v>20</v>
      </c>
      <c r="D30" s="7">
        <f>IF($B30="","",INDEX(_Cust_Helper!$E$2:$E$1501,MATCH(7,_Cust_Helper!$G$2:$G$1501,0)))</f>
        <v>605000</v>
      </c>
      <c r="E30" s="7">
        <f t="shared" si="1"/>
        <v>30250</v>
      </c>
    </row>
    <row r="31" spans="1:5">
      <c r="A31" s="8">
        <v>8</v>
      </c>
      <c r="B31" s="9" t="str">
        <f>IFERROR(INDEX(_Cust_Helper!$C$2:$C$1501,MATCH(8,_Cust_Helper!$G$2:$G$1501,0)),"")</f>
        <v>Lunalita (Lutfiyatul Hanifah)</v>
      </c>
      <c r="C31" s="8">
        <f>IF($B31="","",INDEX(_Cust_Helper!$D$2:$D$1501,MATCH(8,_Cust_Helper!$G$2:$G$1501,0)))</f>
        <v>18</v>
      </c>
      <c r="D31" s="10">
        <f>IF($B31="","",INDEX(_Cust_Helper!$E$2:$E$1501,MATCH(8,_Cust_Helper!$G$2:$G$1501,0)))</f>
        <v>521000</v>
      </c>
      <c r="E31" s="10">
        <f t="shared" si="1"/>
        <v>28944.444444444445</v>
      </c>
    </row>
    <row r="32" spans="1:5">
      <c r="A32" s="5">
        <v>9</v>
      </c>
      <c r="B32" s="6" t="str">
        <f>IFERROR(INDEX(_Cust_Helper!$C$2:$C$1501,MATCH(9,_Cust_Helper!$G$2:$G$1501,0)),"")</f>
        <v>SJM Paper &amp; Sticker</v>
      </c>
      <c r="C32" s="5">
        <f>IF($B32="","",INDEX(_Cust_Helper!$D$2:$D$1501,MATCH(9,_Cust_Helper!$G$2:$G$1501,0)))</f>
        <v>16</v>
      </c>
      <c r="D32" s="7">
        <f>IF($B32="","",INDEX(_Cust_Helper!$E$2:$E$1501,MATCH(9,_Cust_Helper!$G$2:$G$1501,0)))</f>
        <v>504000</v>
      </c>
      <c r="E32" s="7">
        <f t="shared" si="1"/>
        <v>31500</v>
      </c>
    </row>
    <row r="33" spans="1:5">
      <c r="A33" s="8">
        <v>10</v>
      </c>
      <c r="B33" s="9" t="str">
        <f>IFERROR(INDEX(_Cust_Helper!$C$2:$C$1501,MATCH(10,_Cust_Helper!$G$2:$G$1501,0)),"")</f>
        <v>Klinik ESHA Skin Center</v>
      </c>
      <c r="C33" s="8">
        <f>IF($B33="","",INDEX(_Cust_Helper!$D$2:$D$1501,MATCH(10,_Cust_Helper!$G$2:$G$1501,0)))</f>
        <v>16</v>
      </c>
      <c r="D33" s="10">
        <f>IF($B33="","",INDEX(_Cust_Helper!$E$2:$E$1501,MATCH(10,_Cust_Helper!$G$2:$G$1501,0)))</f>
        <v>340000</v>
      </c>
      <c r="E33" s="10">
        <f t="shared" si="1"/>
        <v>21250</v>
      </c>
    </row>
  </sheetData>
  <mergeCells count="4">
    <mergeCell ref="D4:F4"/>
    <mergeCell ref="A4:B4"/>
    <mergeCell ref="A5:B5"/>
    <mergeCell ref="D5:F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Dashboard</vt:lpstr>
      <vt:lpstr>Rekap User</vt:lpstr>
      <vt:lpstr>Rekap Service</vt:lpstr>
      <vt:lpstr>Rekap Marketplace</vt:lpstr>
      <vt:lpstr>_Cust_Helper</vt:lpstr>
      <vt:lpstr>Top 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jne</cp:lastModifiedBy>
  <dcterms:created xsi:type="dcterms:W3CDTF">2026-07-26T08:48:00Z</dcterms:created>
  <dcterms:modified xsi:type="dcterms:W3CDTF">2026-08-01T08:20:10Z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D4FC4C91C52040F4B680BDC0C488671A_12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